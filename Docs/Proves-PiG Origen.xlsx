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A24496E9-B130-480E-8C97-264B92C33BBE}" xr6:coauthVersionLast="47" xr6:coauthVersionMax="47" xr10:uidLastSave="{00000000-0000-0000-0000-000000000000}"/>
  <bookViews>
    <workbookView xWindow="19090" yWindow="-110" windowWidth="19420" windowHeight="10420" xr2:uid="{A356EC3C-A36B-4D01-97F4-538073D64CD4}"/>
  </bookViews>
  <sheets>
    <sheet name="Biotechnology" sheetId="11" r:id="rId1"/>
    <sheet name="Asian Smaller" sheetId="10" r:id="rId2"/>
    <sheet name="PiG 2015" sheetId="9" r:id="rId3"/>
    <sheet name="Proves" sheetId="8" r:id="rId4"/>
    <sheet name="Arcelor" sheetId="6" r:id="rId5"/>
    <sheet name="Aberdeen Standard" sheetId="7" r:id="rId6"/>
    <sheet name="27-Global Technology" sheetId="2" r:id="rId7"/>
    <sheet name="29-CS Corto Plazo" sheetId="3" r:id="rId8"/>
    <sheet name="Comparacio Aplic-Web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2" i="11" l="1"/>
  <c r="M11" i="11"/>
  <c r="M10" i="11"/>
  <c r="M9" i="11"/>
  <c r="I10" i="11"/>
  <c r="I9" i="11"/>
  <c r="H19" i="11"/>
  <c r="H20" i="11" s="1"/>
  <c r="H18" i="11"/>
  <c r="H8" i="11"/>
  <c r="H9" i="11" s="1"/>
  <c r="H10" i="11" s="1"/>
  <c r="I3" i="11"/>
  <c r="J3" i="11" s="1"/>
  <c r="H3" i="11"/>
  <c r="H4" i="11" s="1"/>
  <c r="H5" i="11" s="1"/>
  <c r="H13" i="11" s="1"/>
  <c r="H14" i="11" s="1"/>
  <c r="H15" i="11" s="1"/>
  <c r="Q43" i="6"/>
  <c r="N40" i="6"/>
  <c r="L44" i="6"/>
  <c r="L43" i="6"/>
  <c r="K42" i="6"/>
  <c r="L40" i="6"/>
  <c r="J40" i="6"/>
  <c r="J42" i="6" s="1"/>
  <c r="J43" i="6" s="1"/>
  <c r="J44" i="6" s="1"/>
  <c r="M7" i="8"/>
  <c r="N8" i="8" s="1"/>
  <c r="R9" i="10"/>
  <c r="Q16" i="10"/>
  <c r="O16" i="10"/>
  <c r="G9" i="10"/>
  <c r="H9" i="10"/>
  <c r="J14" i="10"/>
  <c r="J15" i="10" s="1"/>
  <c r="J16" i="10" s="1"/>
  <c r="J17" i="10" s="1"/>
  <c r="J18" i="10" s="1"/>
  <c r="J19" i="10" s="1"/>
  <c r="O9" i="10"/>
  <c r="Q9" i="10" s="1"/>
  <c r="N9" i="10"/>
  <c r="K3" i="10"/>
  <c r="K4" i="10" s="1"/>
  <c r="J3" i="10"/>
  <c r="J4" i="10" s="1"/>
  <c r="J5" i="10" s="1"/>
  <c r="J6" i="10" s="1"/>
  <c r="J7" i="10" s="1"/>
  <c r="J8" i="10" s="1"/>
  <c r="L42" i="6" l="1"/>
  <c r="M40" i="6"/>
  <c r="J41" i="6"/>
  <c r="Q3" i="10"/>
  <c r="L4" i="10"/>
  <c r="L5" i="10" s="1"/>
  <c r="J9" i="10"/>
  <c r="J10" i="10" s="1"/>
  <c r="J11" i="10" s="1"/>
  <c r="M29" i="6"/>
  <c r="M30" i="6"/>
  <c r="M11" i="6"/>
  <c r="M8" i="6"/>
  <c r="M6" i="6"/>
  <c r="M4" i="6"/>
  <c r="M2" i="6"/>
  <c r="N37" i="6"/>
  <c r="I24" i="9"/>
  <c r="Q24" i="9"/>
  <c r="Q22" i="9"/>
  <c r="Q20" i="9"/>
  <c r="Q16" i="9"/>
  <c r="Q15" i="9"/>
  <c r="P24" i="9"/>
  <c r="L16" i="9"/>
  <c r="L15" i="9"/>
  <c r="H29" i="9"/>
  <c r="O22" i="9"/>
  <c r="O20" i="9"/>
  <c r="O16" i="9"/>
  <c r="O15" i="9"/>
  <c r="N23" i="9"/>
  <c r="N21" i="9"/>
  <c r="N19" i="9"/>
  <c r="N18" i="9"/>
  <c r="K17" i="9"/>
  <c r="K10" i="9"/>
  <c r="M24" i="9"/>
  <c r="M23" i="9"/>
  <c r="M21" i="9"/>
  <c r="M19" i="9"/>
  <c r="M18" i="9"/>
  <c r="M22" i="9"/>
  <c r="M20" i="9"/>
  <c r="M16" i="9"/>
  <c r="M15" i="9"/>
  <c r="M13" i="9"/>
  <c r="M12" i="9"/>
  <c r="M11" i="9"/>
  <c r="M9" i="9"/>
  <c r="M7" i="9"/>
  <c r="M6" i="9"/>
  <c r="M4" i="9"/>
  <c r="M5" i="9"/>
  <c r="M3" i="9"/>
  <c r="K3" i="9"/>
  <c r="K15" i="9"/>
  <c r="K9" i="9"/>
  <c r="J35" i="6"/>
  <c r="L35" i="6" s="1"/>
  <c r="D36" i="6"/>
  <c r="F36" i="6" s="1"/>
  <c r="K22" i="6"/>
  <c r="L2" i="6"/>
  <c r="K23" i="6"/>
  <c r="L23" i="6" s="1"/>
  <c r="K24" i="6"/>
  <c r="L24" i="6" s="1"/>
  <c r="K25" i="6"/>
  <c r="L25" i="6" s="1"/>
  <c r="E7" i="8"/>
  <c r="E6" i="8"/>
  <c r="E8" i="8" s="1"/>
  <c r="G4" i="8"/>
  <c r="F4" i="8"/>
  <c r="G3" i="8"/>
  <c r="F3" i="8"/>
  <c r="F2" i="8"/>
  <c r="H5" i="7"/>
  <c r="G5" i="7"/>
  <c r="G4" i="7"/>
  <c r="G3" i="7"/>
  <c r="K15" i="6"/>
  <c r="J2" i="6"/>
  <c r="J3" i="6" s="1"/>
  <c r="J4" i="6" s="1"/>
  <c r="J5" i="6" s="1"/>
  <c r="J6" i="6" s="1"/>
  <c r="J7" i="6" s="1"/>
  <c r="H22" i="5"/>
  <c r="G22" i="5"/>
  <c r="H20" i="5"/>
  <c r="G20" i="5"/>
  <c r="H18" i="5"/>
  <c r="G18" i="5"/>
  <c r="H14" i="5"/>
  <c r="H23" i="5" s="1"/>
  <c r="H25" i="5" s="1"/>
  <c r="G14" i="5"/>
  <c r="H7" i="5"/>
  <c r="G7" i="5"/>
  <c r="H5" i="5"/>
  <c r="H8" i="5" s="1"/>
  <c r="G5" i="5"/>
  <c r="G8" i="5" s="1"/>
  <c r="G38" i="2"/>
  <c r="H38" i="2"/>
  <c r="G36" i="2"/>
  <c r="H36" i="2"/>
  <c r="G34" i="2"/>
  <c r="H34" i="2"/>
  <c r="G30" i="2"/>
  <c r="H30" i="2"/>
  <c r="G23" i="2"/>
  <c r="H23" i="2"/>
  <c r="G21" i="2"/>
  <c r="H21" i="2"/>
  <c r="D13" i="2"/>
  <c r="H10" i="3"/>
  <c r="I14" i="3"/>
  <c r="H12" i="3"/>
  <c r="I10" i="3"/>
  <c r="H11" i="3"/>
  <c r="G10" i="3"/>
  <c r="F10" i="3"/>
  <c r="G12" i="2"/>
  <c r="I12" i="2" s="1"/>
  <c r="G10" i="2"/>
  <c r="I10" i="2" s="1"/>
  <c r="F11" i="2"/>
  <c r="F13" i="2" s="1"/>
  <c r="H12" i="2"/>
  <c r="H10" i="2"/>
  <c r="G2" i="2"/>
  <c r="H2" i="2" s="1"/>
  <c r="H14" i="2" s="1"/>
  <c r="O40" i="6" l="1"/>
  <c r="M31" i="6"/>
  <c r="O31" i="6" s="1"/>
  <c r="Q4" i="10"/>
  <c r="M5" i="10"/>
  <c r="Q5" i="10" s="1"/>
  <c r="I36" i="6"/>
  <c r="G36" i="6" s="1"/>
  <c r="J36" i="6"/>
  <c r="O24" i="9"/>
  <c r="M26" i="9"/>
  <c r="K11" i="9"/>
  <c r="K12" i="9" s="1"/>
  <c r="K4" i="9"/>
  <c r="K16" i="9"/>
  <c r="K28" i="6"/>
  <c r="L28" i="6"/>
  <c r="F7" i="8"/>
  <c r="F6" i="8"/>
  <c r="F8" i="8" s="1"/>
  <c r="G24" i="2"/>
  <c r="G26" i="2" s="1"/>
  <c r="H4" i="7"/>
  <c r="I5" i="7" s="1"/>
  <c r="J8" i="6"/>
  <c r="G23" i="5"/>
  <c r="G25" i="5" s="1"/>
  <c r="G10" i="5"/>
  <c r="G28" i="5" s="1"/>
  <c r="H27" i="5"/>
  <c r="H10" i="5"/>
  <c r="H28" i="5" s="1"/>
  <c r="H24" i="2"/>
  <c r="H26" i="2" s="1"/>
  <c r="G39" i="2"/>
  <c r="G41" i="2" s="1"/>
  <c r="H39" i="2"/>
  <c r="H41" i="2" s="1"/>
  <c r="G11" i="2"/>
  <c r="I11" i="2" s="1"/>
  <c r="I13" i="2" s="1"/>
  <c r="I15" i="2" s="1"/>
  <c r="I12" i="3"/>
  <c r="H11" i="2"/>
  <c r="H13" i="2" s="1"/>
  <c r="H15" i="2" s="1"/>
  <c r="P40" i="6" l="1"/>
  <c r="O42" i="6"/>
  <c r="P42" i="6" s="1"/>
  <c r="L36" i="6"/>
  <c r="L37" i="6" s="1"/>
  <c r="K5" i="9"/>
  <c r="K6" i="9" s="1"/>
  <c r="K18" i="9"/>
  <c r="K19" i="9" s="1"/>
  <c r="K20" i="9" s="1"/>
  <c r="H42" i="2"/>
  <c r="J9" i="6"/>
  <c r="J10" i="6" s="1"/>
  <c r="J11" i="6" s="1"/>
  <c r="J12" i="6" s="1"/>
  <c r="J13" i="6" s="1"/>
  <c r="K13" i="6" s="1"/>
  <c r="N13" i="6" s="1"/>
  <c r="G27" i="5"/>
  <c r="G42" i="2"/>
  <c r="P43" i="6" l="1"/>
  <c r="Q44" i="6" s="1"/>
  <c r="K21" i="9"/>
  <c r="K22" i="9" s="1"/>
  <c r="K23" i="9" s="1"/>
  <c r="O13" i="6"/>
  <c r="Q13" i="6"/>
  <c r="J14" i="6"/>
  <c r="J15" i="6" s="1"/>
  <c r="J16" i="6" s="1"/>
  <c r="P13" i="6" s="1"/>
  <c r="R13" i="6" l="1"/>
  <c r="M13" i="6" s="1"/>
  <c r="J17" i="6"/>
  <c r="J18" i="6" s="1"/>
  <c r="J19" i="6" s="1"/>
  <c r="J20" i="6" s="1"/>
  <c r="J21" i="6" l="1"/>
  <c r="J22" i="6" s="1"/>
  <c r="J23" i="6" s="1"/>
  <c r="J24" i="6" s="1"/>
  <c r="J25" i="6" s="1"/>
  <c r="J26" i="6" s="1"/>
  <c r="J27" i="6" s="1"/>
</calcChain>
</file>

<file path=xl/sharedStrings.xml><?xml version="1.0" encoding="utf-8"?>
<sst xmlns="http://schemas.openxmlformats.org/spreadsheetml/2006/main" count="303" uniqueCount="84">
  <si>
    <t>Id</t>
  </si>
  <si>
    <t>MovIdOrig</t>
  </si>
  <si>
    <t>Parts</t>
  </si>
  <si>
    <t>PU</t>
  </si>
  <si>
    <t>Desp</t>
  </si>
  <si>
    <t>Compra</t>
  </si>
  <si>
    <t>Venda</t>
  </si>
  <si>
    <t>Cost</t>
  </si>
  <si>
    <t>Traspàs C</t>
  </si>
  <si>
    <t>Aberdeen Standard Investments Luxembourg S.A.</t>
  </si>
  <si>
    <t>Brut</t>
  </si>
  <si>
    <t>Fidelity (FIL Inv Mgmt (Lux) S.A.)</t>
  </si>
  <si>
    <t>Traspàs V</t>
  </si>
  <si>
    <t>ProdId</t>
  </si>
  <si>
    <t>Cost en cartera</t>
  </si>
  <si>
    <t>Cost Orig en cartera</t>
  </si>
  <si>
    <t>PU Act</t>
  </si>
  <si>
    <t>Preu act</t>
  </si>
  <si>
    <t>PiG</t>
  </si>
  <si>
    <t>Parts Orig en Cart</t>
  </si>
  <si>
    <t>Parts en Cart</t>
  </si>
  <si>
    <t>Parts Orig</t>
  </si>
  <si>
    <t>Preu Orig</t>
  </si>
  <si>
    <t>Data</t>
  </si>
  <si>
    <t>WEB</t>
  </si>
  <si>
    <t>Dif</t>
  </si>
  <si>
    <t>Data Compra</t>
  </si>
  <si>
    <t>Preu Unit. Compra</t>
  </si>
  <si>
    <t>PigOrigen</t>
  </si>
  <si>
    <t>Total</t>
  </si>
  <si>
    <t>Dif totsl</t>
  </si>
  <si>
    <t>Dividends</t>
  </si>
  <si>
    <t>Net</t>
  </si>
  <si>
    <t>Venda Brut</t>
  </si>
  <si>
    <t>Div</t>
  </si>
  <si>
    <t>PiG Net</t>
  </si>
  <si>
    <t>PiG Brut</t>
  </si>
  <si>
    <t>c</t>
  </si>
  <si>
    <t xml:space="preserve">En cartera </t>
  </si>
  <si>
    <t>PiG vendes reals</t>
  </si>
  <si>
    <t>Pig Vendes reals + en cartera</t>
  </si>
  <si>
    <t>Pig Nomes en cartera</t>
  </si>
  <si>
    <t>v real</t>
  </si>
  <si>
    <t>nomesPartsEnCartera</t>
  </si>
  <si>
    <t>pigOrigen</t>
  </si>
  <si>
    <t>NULL</t>
  </si>
  <si>
    <t>v</t>
  </si>
  <si>
    <t>c1-&gt;5</t>
  </si>
  <si>
    <t>c1-&gt;5; c2-&gt;10; c3-&gt;5</t>
  </si>
  <si>
    <t>Arcelor</t>
  </si>
  <si>
    <t>Santander</t>
  </si>
  <si>
    <t>Telefónica</t>
  </si>
  <si>
    <t>Ampliació de capital de Santander.</t>
  </si>
  <si>
    <t>PiG Total</t>
  </si>
  <si>
    <t>PiG App</t>
  </si>
  <si>
    <t>PiG Excel</t>
  </si>
  <si>
    <t>Dif PiG</t>
  </si>
  <si>
    <t>Vendes Net</t>
  </si>
  <si>
    <t>Compres Net</t>
  </si>
  <si>
    <t>V4</t>
  </si>
  <si>
    <t>V5</t>
  </si>
  <si>
    <t>V6</t>
  </si>
  <si>
    <t>V95</t>
  </si>
  <si>
    <t>V187</t>
  </si>
  <si>
    <t>6-Biotechnology C USD Acc</t>
  </si>
  <si>
    <t>Asian Smaller</t>
  </si>
  <si>
    <t>PiG Orig</t>
  </si>
  <si>
    <t>PU Orig</t>
  </si>
  <si>
    <t>Cost Orig</t>
  </si>
  <si>
    <t>Fons</t>
  </si>
  <si>
    <t>Accions</t>
  </si>
  <si>
    <t>En Cartera</t>
  </si>
  <si>
    <t>A SelfBank</t>
  </si>
  <si>
    <t>En l'app</t>
  </si>
  <si>
    <t>ContSplit</t>
  </si>
  <si>
    <t>PiG Apl</t>
  </si>
  <si>
    <t>PiG no desp</t>
  </si>
  <si>
    <t>V40</t>
  </si>
  <si>
    <t>V202</t>
  </si>
  <si>
    <t>28-Aberdeen Standard Liquidity Fund Euro Fund A-2 Ac</t>
  </si>
  <si>
    <t>Id 7</t>
  </si>
  <si>
    <t>Comp</t>
  </si>
  <si>
    <t>Venud</t>
  </si>
  <si>
    <t>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</si>
</sst>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#,##0\ &quot;€&quot;;[Red]\-#,##0\ &quot;€&quot;"/>
    <numFmt numFmtId="8" formatCode="#,##0.00\ &quot;€&quot;;[Red]\-#,##0.00\ &quot;€&quot;"/>
    <numFmt numFmtId="164" formatCode="#,##0.000\ &quot;€&quot;"/>
    <numFmt numFmtId="165" formatCode="0.000"/>
    <numFmt numFmtId="166" formatCode="#,##0.000"/>
    <numFmt numFmtId="167" formatCode="#,##0.0000\ _€"/>
    <numFmt numFmtId="168" formatCode="#,##0.000\ &quot;€&quot;;[Red]\-#,##0.000\ &quot;€&quot;"/>
    <numFmt numFmtId="169" formatCode="#,##0.00\ &quot;€&quot;"/>
    <numFmt numFmtId="170" formatCode="#,##0_ ;[Red]\-#,##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2" borderId="0" xfId="0" applyFill="1"/>
    <xf numFmtId="14" fontId="0" fillId="0" borderId="0" xfId="0" applyNumberFormat="1"/>
    <xf numFmtId="8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 applyAlignment="1">
      <alignment horizontal="center" wrapText="1"/>
    </xf>
    <xf numFmtId="164" fontId="1" fillId="0" borderId="0" xfId="0" applyNumberFormat="1" applyFont="1"/>
    <xf numFmtId="0" fontId="1" fillId="2" borderId="0" xfId="0" applyFont="1" applyFill="1" applyAlignment="1">
      <alignment horizontal="center"/>
    </xf>
    <xf numFmtId="0" fontId="0" fillId="3" borderId="0" xfId="0" applyFill="1"/>
    <xf numFmtId="0" fontId="1" fillId="3" borderId="0" xfId="0" applyFont="1" applyFill="1" applyAlignment="1">
      <alignment horizontal="center"/>
    </xf>
    <xf numFmtId="166" fontId="0" fillId="0" borderId="0" xfId="0" applyNumberFormat="1"/>
    <xf numFmtId="167" fontId="0" fillId="0" borderId="0" xfId="0" applyNumberFormat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0" fillId="0" borderId="3" xfId="0" applyNumberFormat="1" applyBorder="1"/>
    <xf numFmtId="164" fontId="0" fillId="0" borderId="4" xfId="0" applyNumberFormat="1" applyBorder="1"/>
    <xf numFmtId="164" fontId="1" fillId="0" borderId="3" xfId="0" applyNumberFormat="1" applyFont="1" applyBorder="1"/>
    <xf numFmtId="0" fontId="0" fillId="0" borderId="4" xfId="0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4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1" fillId="0" borderId="9" xfId="0" applyNumberFormat="1" applyFont="1" applyBorder="1"/>
    <xf numFmtId="8" fontId="1" fillId="0" borderId="0" xfId="0" applyNumberFormat="1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3" fontId="0" fillId="0" borderId="0" xfId="0" applyNumberFormat="1"/>
    <xf numFmtId="3" fontId="0" fillId="3" borderId="0" xfId="0" applyNumberFormat="1" applyFill="1"/>
    <xf numFmtId="3" fontId="0" fillId="3" borderId="0" xfId="0" applyNumberFormat="1" applyFill="1" applyAlignment="1">
      <alignment vertical="center" wrapText="1"/>
    </xf>
    <xf numFmtId="0" fontId="0" fillId="4" borderId="0" xfId="0" applyFill="1"/>
    <xf numFmtId="3" fontId="0" fillId="4" borderId="0" xfId="0" applyNumberFormat="1" applyFill="1" applyAlignment="1">
      <alignment vertical="center" wrapText="1"/>
    </xf>
    <xf numFmtId="3" fontId="0" fillId="4" borderId="0" xfId="0" applyNumberFormat="1" applyFill="1"/>
    <xf numFmtId="6" fontId="0" fillId="0" borderId="0" xfId="0" applyNumberFormat="1"/>
    <xf numFmtId="3" fontId="1" fillId="0" borderId="0" xfId="0" applyNumberFormat="1" applyFont="1"/>
    <xf numFmtId="3" fontId="0" fillId="5" borderId="0" xfId="0" applyNumberFormat="1" applyFill="1"/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  <xf numFmtId="166" fontId="0" fillId="0" borderId="0" xfId="0" applyNumberFormat="1" applyAlignment="1">
      <alignment vertical="center" wrapText="1"/>
    </xf>
    <xf numFmtId="168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/>
    <xf numFmtId="169" fontId="0" fillId="0" borderId="0" xfId="0" applyNumberFormat="1"/>
    <xf numFmtId="169" fontId="1" fillId="0" borderId="0" xfId="0" applyNumberFormat="1" applyFont="1"/>
    <xf numFmtId="0" fontId="0" fillId="7" borderId="0" xfId="0" applyFill="1" applyAlignment="1">
      <alignment vertical="center" wrapText="1"/>
    </xf>
    <xf numFmtId="170" fontId="0" fillId="7" borderId="0" xfId="0" applyNumberFormat="1" applyFill="1"/>
    <xf numFmtId="170" fontId="0" fillId="5" borderId="0" xfId="0" applyNumberFormat="1" applyFill="1"/>
    <xf numFmtId="170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349A5-141A-44BF-ACD3-E0C43812C0F3}">
  <dimension ref="A1:P20"/>
  <sheetViews>
    <sheetView tabSelected="1" workbookViewId="0">
      <selection activeCell="B10" sqref="B10"/>
    </sheetView>
  </sheetViews>
  <sheetFormatPr defaultRowHeight="14.5" x14ac:dyDescent="0.35"/>
  <cols>
    <col min="2" max="2" width="12.7265625" customWidth="1"/>
    <col min="3" max="3" width="10.453125" bestFit="1" customWidth="1"/>
    <col min="6" max="6" width="10.26953125" bestFit="1" customWidth="1"/>
    <col min="7" max="7" width="1.36328125" customWidth="1"/>
  </cols>
  <sheetData>
    <row r="1" spans="1:16" x14ac:dyDescent="0.35">
      <c r="A1" s="2"/>
      <c r="B1" s="2"/>
      <c r="C1" s="2" t="s">
        <v>23</v>
      </c>
      <c r="D1" s="2" t="s">
        <v>2</v>
      </c>
      <c r="E1" s="2" t="s">
        <v>3</v>
      </c>
      <c r="F1" s="2" t="s">
        <v>10</v>
      </c>
      <c r="G1" s="2"/>
      <c r="I1" s="2" t="s">
        <v>77</v>
      </c>
      <c r="J1" s="2" t="s">
        <v>78</v>
      </c>
      <c r="K1" s="2"/>
      <c r="L1" s="2"/>
      <c r="M1" s="2"/>
      <c r="O1" s="2" t="s">
        <v>18</v>
      </c>
      <c r="P1" s="2" t="s">
        <v>66</v>
      </c>
    </row>
    <row r="2" spans="1:16" x14ac:dyDescent="0.35">
      <c r="A2" s="49" t="s">
        <v>64</v>
      </c>
    </row>
    <row r="3" spans="1:16" x14ac:dyDescent="0.35">
      <c r="A3" s="30">
        <v>7</v>
      </c>
      <c r="B3" s="30" t="s">
        <v>5</v>
      </c>
      <c r="C3" s="31">
        <v>41492</v>
      </c>
      <c r="D3" s="30">
        <v>24.091999999999999</v>
      </c>
      <c r="E3" s="32">
        <v>250.44120000000001</v>
      </c>
      <c r="F3" s="32">
        <v>6033.63</v>
      </c>
      <c r="G3" s="32"/>
      <c r="H3" s="15">
        <f>D3</f>
        <v>24.091999999999999</v>
      </c>
      <c r="I3">
        <f>D5</f>
        <v>15</v>
      </c>
      <c r="J3">
        <f>D3-I3</f>
        <v>9.0919999999999987</v>
      </c>
    </row>
    <row r="4" spans="1:16" x14ac:dyDescent="0.35">
      <c r="A4" s="30">
        <v>39</v>
      </c>
      <c r="B4" s="30" t="s">
        <v>8</v>
      </c>
      <c r="C4" s="31">
        <v>41673</v>
      </c>
      <c r="D4" s="30">
        <v>3.1440000000000001</v>
      </c>
      <c r="E4" s="32">
        <v>304.8664</v>
      </c>
      <c r="F4" s="32">
        <v>958.5</v>
      </c>
      <c r="G4" s="32"/>
      <c r="H4" s="15">
        <f>H3+D4</f>
        <v>27.235999999999997</v>
      </c>
    </row>
    <row r="5" spans="1:16" x14ac:dyDescent="0.35">
      <c r="A5" s="30">
        <v>40</v>
      </c>
      <c r="B5" s="30" t="s">
        <v>12</v>
      </c>
      <c r="C5" s="31">
        <v>42047</v>
      </c>
      <c r="D5" s="30">
        <v>15</v>
      </c>
      <c r="E5" s="32">
        <v>457.97989999999999</v>
      </c>
      <c r="F5" s="32">
        <v>6869.7</v>
      </c>
      <c r="G5" s="32"/>
      <c r="H5" s="15">
        <f>H4-D5</f>
        <v>12.235999999999997</v>
      </c>
    </row>
    <row r="7" spans="1:16" x14ac:dyDescent="0.35">
      <c r="A7" s="49" t="s">
        <v>65</v>
      </c>
      <c r="B7" s="2"/>
      <c r="C7" s="2"/>
      <c r="D7" s="2"/>
      <c r="E7" s="2"/>
      <c r="F7" s="2"/>
      <c r="I7" s="2" t="s">
        <v>80</v>
      </c>
    </row>
    <row r="8" spans="1:16" x14ac:dyDescent="0.35">
      <c r="A8" s="47">
        <v>41</v>
      </c>
      <c r="B8" s="30" t="s">
        <v>8</v>
      </c>
      <c r="C8" s="31">
        <v>42047</v>
      </c>
      <c r="D8" s="45">
        <v>174.22900000000001</v>
      </c>
      <c r="E8" s="32">
        <v>39.429099999999998</v>
      </c>
      <c r="F8" s="32">
        <v>6869.7</v>
      </c>
      <c r="H8" s="15">
        <f>D8</f>
        <v>174.22900000000001</v>
      </c>
      <c r="I8">
        <v>15</v>
      </c>
    </row>
    <row r="9" spans="1:16" x14ac:dyDescent="0.35">
      <c r="A9" s="47">
        <v>95</v>
      </c>
      <c r="B9" s="30" t="s">
        <v>12</v>
      </c>
      <c r="C9" s="31">
        <v>42207</v>
      </c>
      <c r="D9" s="45">
        <v>150</v>
      </c>
      <c r="E9" s="32">
        <v>39.5777</v>
      </c>
      <c r="F9" s="32">
        <v>5936.65</v>
      </c>
      <c r="H9" s="15">
        <f>H8-D9</f>
        <v>24.229000000000013</v>
      </c>
      <c r="I9">
        <f>D9/D8*I8</f>
        <v>12.914038420699194</v>
      </c>
      <c r="L9" t="s">
        <v>81</v>
      </c>
      <c r="M9">
        <f>D3</f>
        <v>24.091999999999999</v>
      </c>
    </row>
    <row r="10" spans="1:16" x14ac:dyDescent="0.35">
      <c r="A10" s="47">
        <v>187</v>
      </c>
      <c r="B10" s="30" t="s">
        <v>6</v>
      </c>
      <c r="C10" s="31">
        <v>44176</v>
      </c>
      <c r="D10" s="45">
        <v>24.228999999999999</v>
      </c>
      <c r="E10" s="32">
        <v>42.515799999999999</v>
      </c>
      <c r="F10" s="32">
        <v>1030.1199999999999</v>
      </c>
      <c r="H10" s="15">
        <f>H9-D10</f>
        <v>0</v>
      </c>
      <c r="I10">
        <f>D10/D8*I8</f>
        <v>2.0859615793008048</v>
      </c>
      <c r="L10" t="s">
        <v>82</v>
      </c>
      <c r="M10">
        <f>I10</f>
        <v>2.0859615793008048</v>
      </c>
    </row>
    <row r="11" spans="1:16" x14ac:dyDescent="0.35">
      <c r="L11" t="s">
        <v>83</v>
      </c>
      <c r="M11">
        <f>+M9-M10</f>
        <v>22.006038420699195</v>
      </c>
    </row>
    <row r="12" spans="1:16" x14ac:dyDescent="0.35">
      <c r="A12" s="49" t="s">
        <v>64</v>
      </c>
      <c r="M12">
        <f>+M10+M11</f>
        <v>24.091999999999999</v>
      </c>
    </row>
    <row r="13" spans="1:16" x14ac:dyDescent="0.35">
      <c r="A13" s="30">
        <v>96</v>
      </c>
      <c r="B13" s="30" t="s">
        <v>8</v>
      </c>
      <c r="C13" s="31">
        <v>42208</v>
      </c>
      <c r="D13" s="30">
        <v>10.042999999999999</v>
      </c>
      <c r="E13" s="32">
        <v>591.1232</v>
      </c>
      <c r="F13" s="32">
        <v>5936.65</v>
      </c>
      <c r="G13" s="32"/>
      <c r="H13" s="15">
        <f>H5+D13</f>
        <v>22.278999999999996</v>
      </c>
    </row>
    <row r="14" spans="1:16" x14ac:dyDescent="0.35">
      <c r="A14" s="30">
        <v>104</v>
      </c>
      <c r="B14" s="30" t="s">
        <v>8</v>
      </c>
      <c r="C14" s="31">
        <v>42311</v>
      </c>
      <c r="D14" s="30">
        <v>4.7E-2</v>
      </c>
      <c r="E14" s="32">
        <v>507.0213</v>
      </c>
      <c r="F14" s="32">
        <v>23.83</v>
      </c>
      <c r="G14" s="32"/>
      <c r="H14" s="15">
        <f>H13+D14</f>
        <v>22.325999999999997</v>
      </c>
    </row>
    <row r="15" spans="1:16" x14ac:dyDescent="0.35">
      <c r="A15" s="30">
        <v>202</v>
      </c>
      <c r="B15" s="30" t="s">
        <v>12</v>
      </c>
      <c r="C15" s="31">
        <v>44491</v>
      </c>
      <c r="D15" s="30">
        <v>22.326000000000001</v>
      </c>
      <c r="E15" s="32">
        <v>676.48</v>
      </c>
      <c r="F15" s="32">
        <v>15103.09</v>
      </c>
      <c r="G15" s="32"/>
      <c r="H15" s="15">
        <f>H14-D15</f>
        <v>0</v>
      </c>
    </row>
    <row r="17" spans="1:8" x14ac:dyDescent="0.35">
      <c r="A17" s="1" t="s">
        <v>79</v>
      </c>
    </row>
    <row r="18" spans="1:8" x14ac:dyDescent="0.35">
      <c r="A18" s="30">
        <v>197</v>
      </c>
      <c r="B18" s="30" t="s">
        <v>8</v>
      </c>
      <c r="C18" s="31">
        <v>44473</v>
      </c>
      <c r="D18" s="30">
        <v>24.54</v>
      </c>
      <c r="E18" s="32">
        <v>435.1019</v>
      </c>
      <c r="F18" s="32">
        <v>10677.4</v>
      </c>
      <c r="H18">
        <f>D18</f>
        <v>24.54</v>
      </c>
    </row>
    <row r="19" spans="1:8" x14ac:dyDescent="0.35">
      <c r="A19" s="30">
        <v>203</v>
      </c>
      <c r="B19" s="30" t="s">
        <v>8</v>
      </c>
      <c r="C19" s="31">
        <v>44496</v>
      </c>
      <c r="D19" s="30">
        <v>34.723999999999997</v>
      </c>
      <c r="E19" s="32">
        <v>434.9468</v>
      </c>
      <c r="F19" s="32">
        <v>15103.09</v>
      </c>
      <c r="H19" s="15">
        <f t="shared" ref="H19:H20" si="0">H18+D19</f>
        <v>59.263999999999996</v>
      </c>
    </row>
    <row r="20" spans="1:8" x14ac:dyDescent="0.35">
      <c r="A20" s="30">
        <v>205</v>
      </c>
      <c r="B20" s="30" t="s">
        <v>8</v>
      </c>
      <c r="C20" s="31">
        <v>44524</v>
      </c>
      <c r="D20" s="30">
        <v>46.265999999999998</v>
      </c>
      <c r="E20" s="32">
        <v>434.7577</v>
      </c>
      <c r="F20" s="32">
        <v>20114.5</v>
      </c>
      <c r="H20" s="15">
        <f t="shared" si="0"/>
        <v>105.53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3B7FE-9444-4F79-99B0-FA4EF66F88D9}">
  <dimension ref="A1:R22"/>
  <sheetViews>
    <sheetView zoomScaleNormal="100" workbookViewId="0">
      <selection activeCell="B6" sqref="B6"/>
    </sheetView>
  </sheetViews>
  <sheetFormatPr defaultRowHeight="14.5" x14ac:dyDescent="0.35"/>
  <cols>
    <col min="1" max="1" width="3.90625" style="48" bestFit="1" customWidth="1"/>
    <col min="2" max="2" width="8.81640625" bestFit="1" customWidth="1"/>
    <col min="3" max="3" width="10.7265625" bestFit="1" customWidth="1"/>
    <col min="4" max="4" width="9.08984375" bestFit="1" customWidth="1"/>
    <col min="5" max="5" width="7.7265625" bestFit="1" customWidth="1"/>
    <col min="6" max="6" width="10.6328125" bestFit="1" customWidth="1"/>
    <col min="7" max="7" width="10.6328125" customWidth="1"/>
    <col min="8" max="8" width="7.7265625" bestFit="1" customWidth="1"/>
    <col min="9" max="9" width="1.54296875" customWidth="1"/>
    <col min="10" max="11" width="9.08984375" bestFit="1" customWidth="1"/>
    <col min="13" max="13" width="9.08984375" bestFit="1" customWidth="1"/>
    <col min="16" max="16" width="1.90625" customWidth="1"/>
    <col min="17" max="17" width="11.26953125" bestFit="1" customWidth="1"/>
    <col min="18" max="18" width="10.26953125" bestFit="1" customWidth="1"/>
  </cols>
  <sheetData>
    <row r="1" spans="1:18" x14ac:dyDescent="0.35">
      <c r="A1" s="2"/>
      <c r="B1" s="2"/>
      <c r="C1" s="2" t="s">
        <v>23</v>
      </c>
      <c r="D1" s="2" t="s">
        <v>2</v>
      </c>
      <c r="E1" s="2" t="s">
        <v>3</v>
      </c>
      <c r="F1" s="2" t="s">
        <v>10</v>
      </c>
      <c r="G1" s="2" t="s">
        <v>21</v>
      </c>
      <c r="H1" s="2" t="s">
        <v>67</v>
      </c>
      <c r="K1" s="2" t="s">
        <v>59</v>
      </c>
      <c r="L1" s="2" t="s">
        <v>60</v>
      </c>
      <c r="M1" s="2" t="s">
        <v>61</v>
      </c>
      <c r="N1" s="2" t="s">
        <v>62</v>
      </c>
      <c r="O1" s="2" t="s">
        <v>63</v>
      </c>
      <c r="Q1" s="2" t="s">
        <v>18</v>
      </c>
      <c r="R1" s="2" t="s">
        <v>66</v>
      </c>
    </row>
    <row r="2" spans="1:18" x14ac:dyDescent="0.35">
      <c r="A2" s="49" t="s">
        <v>65</v>
      </c>
      <c r="B2" s="2"/>
      <c r="C2" s="2"/>
      <c r="D2" s="2"/>
      <c r="E2" s="2"/>
      <c r="F2" s="2"/>
      <c r="G2" s="2"/>
      <c r="H2" s="2"/>
      <c r="K2" s="2"/>
      <c r="L2" s="2"/>
      <c r="M2" s="2"/>
      <c r="N2" s="2"/>
      <c r="O2" s="2"/>
      <c r="Q2" s="2"/>
    </row>
    <row r="3" spans="1:18" x14ac:dyDescent="0.35">
      <c r="A3" s="47">
        <v>1</v>
      </c>
      <c r="B3" s="30" t="s">
        <v>5</v>
      </c>
      <c r="C3" s="31">
        <v>41172</v>
      </c>
      <c r="D3" s="45">
        <v>325.52199999999999</v>
      </c>
      <c r="E3" s="32">
        <v>30.719899999999999</v>
      </c>
      <c r="F3" s="32">
        <v>9999.99</v>
      </c>
      <c r="G3" s="32"/>
      <c r="H3" s="32"/>
      <c r="J3" s="15">
        <f>D3</f>
        <v>325.52199999999999</v>
      </c>
      <c r="K3" s="15">
        <f>D3</f>
        <v>325.52199999999999</v>
      </c>
      <c r="Q3" s="46">
        <f>K3*E6-F3</f>
        <v>1062.3543348000003</v>
      </c>
    </row>
    <row r="4" spans="1:18" x14ac:dyDescent="0.35">
      <c r="A4" s="47">
        <v>2</v>
      </c>
      <c r="B4" s="30" t="s">
        <v>5</v>
      </c>
      <c r="C4" s="31">
        <v>41187</v>
      </c>
      <c r="D4" s="45">
        <v>1267.6880000000001</v>
      </c>
      <c r="E4" s="32">
        <v>31.5535</v>
      </c>
      <c r="F4" s="32">
        <v>39999.980000000003</v>
      </c>
      <c r="G4" s="32"/>
      <c r="H4" s="32"/>
      <c r="J4" s="15">
        <f>J3+D4</f>
        <v>1593.21</v>
      </c>
      <c r="K4" s="15">
        <f>D6-K3</f>
        <v>1090.0600000000002</v>
      </c>
      <c r="L4" s="15">
        <f>D4-K4</f>
        <v>177.62799999999993</v>
      </c>
      <c r="M4" s="15"/>
      <c r="Q4" s="46">
        <f>K4*E6+L4*E7-F4</f>
        <v>3064.9147432000027</v>
      </c>
    </row>
    <row r="5" spans="1:18" x14ac:dyDescent="0.35">
      <c r="A5" s="47">
        <v>3</v>
      </c>
      <c r="B5" s="30" t="s">
        <v>5</v>
      </c>
      <c r="C5" s="31">
        <v>41410</v>
      </c>
      <c r="D5" s="45">
        <v>522.37400000000002</v>
      </c>
      <c r="E5" s="32">
        <v>38.286799999999999</v>
      </c>
      <c r="F5" s="32">
        <v>20000.02</v>
      </c>
      <c r="G5" s="32"/>
      <c r="H5" s="32"/>
      <c r="J5" s="15">
        <f>J4+D5</f>
        <v>2115.5839999999998</v>
      </c>
      <c r="K5" s="15"/>
      <c r="L5" s="15">
        <f>D7-L4</f>
        <v>0.37200000000007094</v>
      </c>
      <c r="M5" s="15">
        <f>D5-L5</f>
        <v>522.00199999999995</v>
      </c>
      <c r="Q5" s="46">
        <f>L5*E7+M5*E8-F5</f>
        <v>-3037.8489985999986</v>
      </c>
    </row>
    <row r="6" spans="1:18" x14ac:dyDescent="0.35">
      <c r="A6" s="47">
        <v>4</v>
      </c>
      <c r="B6" s="30" t="s">
        <v>6</v>
      </c>
      <c r="C6" s="31">
        <v>41438</v>
      </c>
      <c r="D6" s="45">
        <v>1415.5820000000001</v>
      </c>
      <c r="E6" s="32">
        <v>33.983400000000003</v>
      </c>
      <c r="F6" s="32">
        <v>48106.28</v>
      </c>
      <c r="G6" s="32"/>
      <c r="H6" s="32"/>
      <c r="J6" s="15">
        <f>J5-D6</f>
        <v>700.00199999999973</v>
      </c>
      <c r="L6" s="15"/>
    </row>
    <row r="7" spans="1:18" x14ac:dyDescent="0.35">
      <c r="A7" s="47">
        <v>5</v>
      </c>
      <c r="B7" s="30" t="s">
        <v>6</v>
      </c>
      <c r="C7" s="31">
        <v>41492</v>
      </c>
      <c r="D7" s="45">
        <v>178</v>
      </c>
      <c r="E7" s="32">
        <v>33.8964</v>
      </c>
      <c r="F7" s="32">
        <v>6033.56</v>
      </c>
      <c r="G7" s="32"/>
      <c r="H7" s="32"/>
      <c r="J7" s="15">
        <f>J6-D7</f>
        <v>522.00199999999973</v>
      </c>
    </row>
    <row r="8" spans="1:18" x14ac:dyDescent="0.35">
      <c r="A8" s="47">
        <v>6</v>
      </c>
      <c r="B8" s="30" t="s">
        <v>6</v>
      </c>
      <c r="C8" s="31">
        <v>41506</v>
      </c>
      <c r="D8" s="45">
        <v>522.00199999999995</v>
      </c>
      <c r="E8" s="32">
        <v>32.470300000000002</v>
      </c>
      <c r="F8" s="32">
        <v>16949.560000000001</v>
      </c>
      <c r="G8" s="32"/>
      <c r="H8" s="32"/>
      <c r="J8" s="15">
        <f>J7-D8</f>
        <v>0</v>
      </c>
    </row>
    <row r="9" spans="1:18" x14ac:dyDescent="0.35">
      <c r="A9" s="47">
        <v>41</v>
      </c>
      <c r="B9" s="30" t="s">
        <v>8</v>
      </c>
      <c r="C9" s="31">
        <v>42047</v>
      </c>
      <c r="D9" s="45">
        <v>174.22900000000001</v>
      </c>
      <c r="E9" s="32">
        <v>39.429099999999998</v>
      </c>
      <c r="F9" s="32">
        <v>6869.7</v>
      </c>
      <c r="G9" s="32">
        <f>D16</f>
        <v>15</v>
      </c>
      <c r="H9" s="32">
        <f>E16</f>
        <v>457.97989999999999</v>
      </c>
      <c r="J9" s="15">
        <f>J8+D9</f>
        <v>174.22900000000001</v>
      </c>
      <c r="N9" s="15">
        <f>D10</f>
        <v>150</v>
      </c>
      <c r="O9" s="15">
        <f>D9-D10</f>
        <v>24.229000000000013</v>
      </c>
      <c r="P9" s="15"/>
      <c r="Q9" s="46">
        <f>F11-O9*E9</f>
        <v>74.792336099999375</v>
      </c>
      <c r="R9" s="46">
        <f>F11-Q16</f>
        <v>507.70927892601082</v>
      </c>
    </row>
    <row r="10" spans="1:18" x14ac:dyDescent="0.35">
      <c r="A10" s="47">
        <v>95</v>
      </c>
      <c r="B10" s="30" t="s">
        <v>12</v>
      </c>
      <c r="C10" s="31">
        <v>42207</v>
      </c>
      <c r="D10" s="45">
        <v>150</v>
      </c>
      <c r="E10" s="32">
        <v>39.5777</v>
      </c>
      <c r="F10" s="32">
        <v>5936.65</v>
      </c>
      <c r="G10" s="32"/>
      <c r="H10" s="32"/>
      <c r="J10" s="15">
        <f>J9-D10</f>
        <v>24.229000000000013</v>
      </c>
    </row>
    <row r="11" spans="1:18" x14ac:dyDescent="0.35">
      <c r="A11" s="47">
        <v>187</v>
      </c>
      <c r="B11" s="30" t="s">
        <v>6</v>
      </c>
      <c r="C11" s="31">
        <v>44176</v>
      </c>
      <c r="D11" s="45">
        <v>24.228999999999999</v>
      </c>
      <c r="E11" s="32">
        <v>42.515799999999999</v>
      </c>
      <c r="F11" s="32">
        <v>1030.1199999999999</v>
      </c>
      <c r="G11" s="32"/>
      <c r="H11" s="32"/>
      <c r="J11" s="15">
        <f>J10-D11</f>
        <v>0</v>
      </c>
      <c r="R11" s="46"/>
    </row>
    <row r="12" spans="1:18" x14ac:dyDescent="0.35">
      <c r="R12" s="5"/>
    </row>
    <row r="13" spans="1:18" x14ac:dyDescent="0.35">
      <c r="A13" s="49" t="s">
        <v>64</v>
      </c>
      <c r="R13" s="5"/>
    </row>
    <row r="14" spans="1:18" x14ac:dyDescent="0.35">
      <c r="A14" s="30">
        <v>7</v>
      </c>
      <c r="B14" s="30" t="s">
        <v>5</v>
      </c>
      <c r="C14" s="31">
        <v>41492</v>
      </c>
      <c r="D14" s="30">
        <v>24.091999999999999</v>
      </c>
      <c r="E14" s="32">
        <v>250.44120000000001</v>
      </c>
      <c r="F14" s="32">
        <v>6033.63</v>
      </c>
      <c r="G14" s="32"/>
      <c r="H14" s="32"/>
      <c r="J14" s="15">
        <f>D14</f>
        <v>24.091999999999999</v>
      </c>
      <c r="K14" s="15"/>
    </row>
    <row r="15" spans="1:18" x14ac:dyDescent="0.35">
      <c r="A15" s="30">
        <v>39</v>
      </c>
      <c r="B15" s="30" t="s">
        <v>8</v>
      </c>
      <c r="C15" s="31">
        <v>41673</v>
      </c>
      <c r="D15" s="30">
        <v>3.1440000000000001</v>
      </c>
      <c r="E15" s="32">
        <v>304.8664</v>
      </c>
      <c r="F15" s="32">
        <v>958.5</v>
      </c>
      <c r="G15" s="32"/>
      <c r="H15" s="32"/>
      <c r="J15" s="15">
        <f>J14+D15</f>
        <v>27.235999999999997</v>
      </c>
      <c r="K15" s="15"/>
      <c r="L15" s="15"/>
      <c r="M15" s="15"/>
      <c r="O15" t="s">
        <v>2</v>
      </c>
      <c r="Q15" t="s">
        <v>68</v>
      </c>
    </row>
    <row r="16" spans="1:18" x14ac:dyDescent="0.35">
      <c r="A16" s="30">
        <v>40</v>
      </c>
      <c r="B16" s="30" t="s">
        <v>12</v>
      </c>
      <c r="C16" s="31">
        <v>42047</v>
      </c>
      <c r="D16" s="30">
        <v>15</v>
      </c>
      <c r="E16" s="32">
        <v>457.97989999999999</v>
      </c>
      <c r="F16" s="32">
        <v>6869.7</v>
      </c>
      <c r="G16" s="32"/>
      <c r="H16" s="32"/>
      <c r="J16" s="15">
        <f>J15-D16</f>
        <v>12.235999999999997</v>
      </c>
      <c r="K16" s="15"/>
      <c r="L16" s="15"/>
      <c r="M16" s="15"/>
      <c r="O16" s="46">
        <f>(O9/D9*D16)</f>
        <v>2.0859615793008062</v>
      </c>
      <c r="Q16" s="5">
        <f>+O16*E14</f>
        <v>522.41072107398907</v>
      </c>
      <c r="R16" s="5"/>
    </row>
    <row r="17" spans="1:18" x14ac:dyDescent="0.35">
      <c r="A17" s="30">
        <v>96</v>
      </c>
      <c r="B17" s="30" t="s">
        <v>8</v>
      </c>
      <c r="C17" s="31">
        <v>42208</v>
      </c>
      <c r="D17" s="30">
        <v>10.042999999999999</v>
      </c>
      <c r="E17" s="32">
        <v>591.1232</v>
      </c>
      <c r="F17" s="32">
        <v>5936.65</v>
      </c>
      <c r="G17" s="32"/>
      <c r="H17" s="32"/>
      <c r="J17" s="15">
        <f>J16+D17</f>
        <v>22.278999999999996</v>
      </c>
      <c r="L17" s="15"/>
      <c r="R17" s="5"/>
    </row>
    <row r="18" spans="1:18" x14ac:dyDescent="0.35">
      <c r="A18" s="30">
        <v>104</v>
      </c>
      <c r="B18" s="30" t="s">
        <v>8</v>
      </c>
      <c r="C18" s="31">
        <v>42311</v>
      </c>
      <c r="D18" s="30">
        <v>4.7E-2</v>
      </c>
      <c r="E18" s="32">
        <v>507.0213</v>
      </c>
      <c r="F18" s="32">
        <v>23.83</v>
      </c>
      <c r="G18" s="32"/>
      <c r="H18" s="32"/>
      <c r="J18" s="15">
        <f>J17+D18</f>
        <v>22.325999999999997</v>
      </c>
    </row>
    <row r="19" spans="1:18" x14ac:dyDescent="0.35">
      <c r="A19" s="30">
        <v>202</v>
      </c>
      <c r="B19" s="30" t="s">
        <v>12</v>
      </c>
      <c r="C19" s="31">
        <v>44491</v>
      </c>
      <c r="D19" s="30">
        <v>22.326000000000001</v>
      </c>
      <c r="E19" s="32">
        <v>676.48</v>
      </c>
      <c r="F19" s="32">
        <v>15103.09</v>
      </c>
      <c r="G19" s="32"/>
      <c r="H19" s="32"/>
      <c r="J19" s="15">
        <f>J18-D19</f>
        <v>0</v>
      </c>
    </row>
    <row r="20" spans="1:18" x14ac:dyDescent="0.35">
      <c r="A20" s="47"/>
      <c r="B20" s="30"/>
      <c r="C20" s="31"/>
      <c r="D20" s="45"/>
      <c r="E20" s="32"/>
      <c r="F20" s="32"/>
      <c r="G20" s="32"/>
      <c r="H20" s="32"/>
      <c r="J20" s="15"/>
      <c r="N20" s="15"/>
      <c r="O20" s="15"/>
      <c r="P20" s="15"/>
    </row>
    <row r="21" spans="1:18" x14ac:dyDescent="0.35">
      <c r="A21" s="47"/>
      <c r="B21" s="30"/>
      <c r="C21" s="31"/>
      <c r="D21" s="45"/>
      <c r="E21" s="32"/>
      <c r="F21" s="32"/>
      <c r="G21" s="32"/>
      <c r="H21" s="32"/>
      <c r="J21" s="15"/>
    </row>
    <row r="22" spans="1:18" x14ac:dyDescent="0.35">
      <c r="A22" s="47"/>
      <c r="B22" s="30"/>
      <c r="C22" s="31"/>
      <c r="D22" s="45"/>
      <c r="E22" s="32"/>
      <c r="F22" s="32"/>
      <c r="G22" s="32"/>
      <c r="H22" s="32"/>
      <c r="J22" s="15"/>
    </row>
  </sheetData>
  <pageMargins left="0.7" right="0.7" top="0.75" bottom="0.75" header="0.3" footer="0.3"/>
  <ignoredErrors>
    <ignoredError sqref="J9 J1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B5A1-07D9-4C61-B32E-B06B1CC9D3D5}">
  <dimension ref="A1:Q29"/>
  <sheetViews>
    <sheetView zoomScale="115" zoomScaleNormal="115" workbookViewId="0">
      <pane ySplit="1" topLeftCell="A13" activePane="bottomLeft" state="frozen"/>
      <selection pane="bottomLeft" activeCell="I24" sqref="I24"/>
    </sheetView>
  </sheetViews>
  <sheetFormatPr defaultRowHeight="14.5" x14ac:dyDescent="0.35"/>
  <cols>
    <col min="1" max="1" width="9.453125" bestFit="1" customWidth="1"/>
    <col min="2" max="2" width="9" bestFit="1" customWidth="1"/>
    <col min="3" max="3" width="10.7265625" bestFit="1" customWidth="1"/>
    <col min="4" max="4" width="10.54296875" bestFit="1" customWidth="1"/>
    <col min="5" max="5" width="9.453125" bestFit="1" customWidth="1"/>
    <col min="6" max="7" width="10.54296875" bestFit="1" customWidth="1"/>
    <col min="8" max="8" width="1.90625" hidden="1" customWidth="1"/>
    <col min="9" max="9" width="8" bestFit="1" customWidth="1"/>
    <col min="10" max="10" width="1.1796875" customWidth="1"/>
    <col min="12" max="12" width="6.1796875" customWidth="1"/>
    <col min="13" max="13" width="11.1796875" bestFit="1" customWidth="1"/>
    <col min="14" max="14" width="10.36328125" customWidth="1"/>
    <col min="15" max="16" width="10.08984375" bestFit="1" customWidth="1"/>
    <col min="17" max="17" width="11.1796875" bestFit="1" customWidth="1"/>
  </cols>
  <sheetData>
    <row r="1" spans="1:17" x14ac:dyDescent="0.35">
      <c r="A1" s="2"/>
      <c r="B1" s="2"/>
      <c r="C1" s="2"/>
      <c r="D1" s="2" t="s">
        <v>2</v>
      </c>
      <c r="E1" s="2" t="s">
        <v>3</v>
      </c>
      <c r="F1" s="2" t="s">
        <v>10</v>
      </c>
      <c r="G1" s="2" t="s">
        <v>32</v>
      </c>
      <c r="H1" s="2"/>
      <c r="I1" s="2" t="s">
        <v>4</v>
      </c>
    </row>
    <row r="2" spans="1:17" x14ac:dyDescent="0.35">
      <c r="A2" s="1" t="s">
        <v>49</v>
      </c>
    </row>
    <row r="3" spans="1:17" x14ac:dyDescent="0.35">
      <c r="A3">
        <v>83</v>
      </c>
      <c r="B3" t="s">
        <v>5</v>
      </c>
      <c r="C3" s="4">
        <v>41984</v>
      </c>
      <c r="D3" s="34">
        <v>5386</v>
      </c>
      <c r="E3" s="5">
        <v>9.2676999999999996</v>
      </c>
      <c r="F3" s="5">
        <v>49916.04</v>
      </c>
      <c r="G3" s="5">
        <v>49936.18</v>
      </c>
      <c r="H3">
        <v>1</v>
      </c>
      <c r="I3" s="5">
        <v>20.14</v>
      </c>
      <c r="K3" s="34">
        <f>D3</f>
        <v>5386</v>
      </c>
      <c r="M3" s="5">
        <f>-G3</f>
        <v>-49936.18</v>
      </c>
    </row>
    <row r="4" spans="1:17" x14ac:dyDescent="0.35">
      <c r="A4">
        <v>84</v>
      </c>
      <c r="B4" t="s">
        <v>6</v>
      </c>
      <c r="C4" s="4">
        <v>42047</v>
      </c>
      <c r="D4" s="34">
        <v>5386</v>
      </c>
      <c r="E4" s="5">
        <v>9.0449999999999999</v>
      </c>
      <c r="F4" s="5">
        <v>48716.37</v>
      </c>
      <c r="G4" s="5">
        <v>48696.34</v>
      </c>
      <c r="H4">
        <v>1</v>
      </c>
      <c r="I4" s="5">
        <v>20.03</v>
      </c>
      <c r="K4">
        <f t="shared" ref="K4:K6" si="0">K3-D4</f>
        <v>0</v>
      </c>
      <c r="M4" s="5">
        <f>G4</f>
        <v>48696.34</v>
      </c>
    </row>
    <row r="5" spans="1:17" x14ac:dyDescent="0.35">
      <c r="A5">
        <v>94</v>
      </c>
      <c r="B5" t="s">
        <v>5</v>
      </c>
      <c r="C5" s="4">
        <v>42212</v>
      </c>
      <c r="D5" s="34">
        <v>6415</v>
      </c>
      <c r="E5" s="5">
        <v>7.7939999999999996</v>
      </c>
      <c r="F5" s="5">
        <v>49998.51</v>
      </c>
      <c r="G5" s="5">
        <v>50018.66</v>
      </c>
      <c r="H5">
        <v>1</v>
      </c>
      <c r="I5" s="5">
        <v>20.149999999999999</v>
      </c>
      <c r="K5" s="34">
        <f>K4+D5</f>
        <v>6415</v>
      </c>
      <c r="M5" s="5">
        <f>-G5</f>
        <v>-50018.66</v>
      </c>
    </row>
    <row r="6" spans="1:17" x14ac:dyDescent="0.35">
      <c r="A6">
        <v>97</v>
      </c>
      <c r="B6" t="s">
        <v>6</v>
      </c>
      <c r="C6" s="4">
        <v>42214</v>
      </c>
      <c r="D6" s="34">
        <v>6415</v>
      </c>
      <c r="E6" s="5">
        <v>8.19</v>
      </c>
      <c r="F6" s="5">
        <v>52538.85</v>
      </c>
      <c r="G6" s="5">
        <v>52518.45</v>
      </c>
      <c r="H6">
        <v>1</v>
      </c>
      <c r="I6" s="5">
        <v>20.399999999999999</v>
      </c>
      <c r="K6">
        <f t="shared" si="0"/>
        <v>0</v>
      </c>
      <c r="M6" s="5">
        <f>G6</f>
        <v>52518.45</v>
      </c>
    </row>
    <row r="7" spans="1:17" x14ac:dyDescent="0.35">
      <c r="D7" s="34"/>
      <c r="K7" s="1" t="s">
        <v>18</v>
      </c>
      <c r="L7" s="1"/>
      <c r="M7" s="29">
        <f>SUM(M3:M6)</f>
        <v>1259.9499999999898</v>
      </c>
    </row>
    <row r="8" spans="1:17" x14ac:dyDescent="0.35">
      <c r="A8" s="1" t="s">
        <v>50</v>
      </c>
      <c r="D8" s="34"/>
      <c r="M8" s="5"/>
    </row>
    <row r="9" spans="1:17" x14ac:dyDescent="0.35">
      <c r="A9">
        <v>78</v>
      </c>
      <c r="B9" t="s">
        <v>5</v>
      </c>
      <c r="C9" s="4">
        <v>42058</v>
      </c>
      <c r="D9" s="34">
        <v>7743</v>
      </c>
      <c r="E9" s="5">
        <v>6.4550000000000001</v>
      </c>
      <c r="F9" s="5">
        <v>49981.07</v>
      </c>
      <c r="G9" s="5">
        <v>50001.25</v>
      </c>
      <c r="H9">
        <v>1</v>
      </c>
      <c r="I9" s="5">
        <v>20.18</v>
      </c>
      <c r="K9">
        <f>D9</f>
        <v>7743</v>
      </c>
      <c r="M9" s="5">
        <f>-G9</f>
        <v>-50001.25</v>
      </c>
    </row>
    <row r="10" spans="1:17" x14ac:dyDescent="0.35">
      <c r="A10">
        <v>88</v>
      </c>
      <c r="B10" t="s">
        <v>31</v>
      </c>
      <c r="C10" s="4">
        <v>42117</v>
      </c>
      <c r="D10" s="34">
        <v>0</v>
      </c>
      <c r="E10" s="5">
        <v>2.27</v>
      </c>
      <c r="F10" s="5">
        <v>2.27</v>
      </c>
      <c r="G10" s="5">
        <v>2.27</v>
      </c>
      <c r="H10">
        <v>1</v>
      </c>
      <c r="K10">
        <f>K9-D10</f>
        <v>7743</v>
      </c>
      <c r="M10" s="5"/>
    </row>
    <row r="11" spans="1:17" x14ac:dyDescent="0.35">
      <c r="A11">
        <v>86</v>
      </c>
      <c r="B11" t="s">
        <v>5</v>
      </c>
      <c r="C11" s="4">
        <v>42123</v>
      </c>
      <c r="D11" s="34">
        <v>168</v>
      </c>
      <c r="E11" s="5">
        <v>0</v>
      </c>
      <c r="F11" s="5">
        <v>0</v>
      </c>
      <c r="G11" s="5">
        <v>0</v>
      </c>
      <c r="H11">
        <v>1</v>
      </c>
      <c r="K11">
        <f>K10+D11</f>
        <v>7911</v>
      </c>
      <c r="M11" s="5">
        <f>-G11</f>
        <v>0</v>
      </c>
      <c r="N11" t="s">
        <v>52</v>
      </c>
    </row>
    <row r="12" spans="1:17" x14ac:dyDescent="0.35">
      <c r="A12">
        <v>89</v>
      </c>
      <c r="B12" t="s">
        <v>6</v>
      </c>
      <c r="C12" s="4">
        <v>42200</v>
      </c>
      <c r="D12" s="34">
        <v>7911</v>
      </c>
      <c r="E12" s="5">
        <v>6.63</v>
      </c>
      <c r="F12" s="5">
        <v>52449.93</v>
      </c>
      <c r="G12" s="5">
        <v>52429.55</v>
      </c>
      <c r="H12">
        <v>1</v>
      </c>
      <c r="I12" s="5">
        <v>20.38</v>
      </c>
      <c r="K12">
        <f t="shared" ref="K12" si="1">K11-D12</f>
        <v>0</v>
      </c>
      <c r="M12" s="5">
        <f>G12</f>
        <v>52429.55</v>
      </c>
    </row>
    <row r="13" spans="1:17" x14ac:dyDescent="0.35">
      <c r="D13" s="34"/>
      <c r="K13" s="1" t="s">
        <v>18</v>
      </c>
      <c r="L13" s="1"/>
      <c r="M13" s="29">
        <f>SUM(M9:M12)</f>
        <v>2428.3000000000029</v>
      </c>
    </row>
    <row r="14" spans="1:17" x14ac:dyDescent="0.35">
      <c r="A14" s="1" t="s">
        <v>51</v>
      </c>
      <c r="D14" s="34"/>
      <c r="M14" s="5"/>
      <c r="O14" s="2" t="s">
        <v>55</v>
      </c>
      <c r="P14" s="2" t="s">
        <v>54</v>
      </c>
      <c r="Q14" s="2" t="s">
        <v>56</v>
      </c>
    </row>
    <row r="15" spans="1:17" x14ac:dyDescent="0.35">
      <c r="A15">
        <v>77</v>
      </c>
      <c r="B15" t="s">
        <v>5</v>
      </c>
      <c r="C15" s="4">
        <v>42010</v>
      </c>
      <c r="D15" s="34">
        <v>4388</v>
      </c>
      <c r="E15" s="5">
        <v>11.45</v>
      </c>
      <c r="F15" s="5">
        <v>50242.6</v>
      </c>
      <c r="G15" s="5">
        <v>50262.78</v>
      </c>
      <c r="H15">
        <v>1</v>
      </c>
      <c r="I15" s="5">
        <v>20.18</v>
      </c>
      <c r="K15" s="6">
        <f>D15</f>
        <v>4388</v>
      </c>
      <c r="L15" s="42">
        <f>D15-D18</f>
        <v>126</v>
      </c>
      <c r="M15" s="5">
        <f t="shared" ref="M15:M16" si="2">-G15</f>
        <v>-50262.78</v>
      </c>
      <c r="O15" s="5">
        <f>F18+(D15-D18)*E19-F15</f>
        <v>9456.8799999999974</v>
      </c>
      <c r="P15" s="5">
        <v>9410.6138997265207</v>
      </c>
      <c r="Q15" s="5">
        <f>O15-P15</f>
        <v>46.266100273476695</v>
      </c>
    </row>
    <row r="16" spans="1:17" x14ac:dyDescent="0.35">
      <c r="A16">
        <v>85</v>
      </c>
      <c r="B16" t="s">
        <v>5</v>
      </c>
      <c r="C16" s="4">
        <v>42115</v>
      </c>
      <c r="D16" s="34">
        <v>274</v>
      </c>
      <c r="E16" s="5">
        <v>10.84</v>
      </c>
      <c r="F16" s="5">
        <v>2970.16</v>
      </c>
      <c r="G16" s="5">
        <v>2970.16</v>
      </c>
      <c r="H16">
        <v>1</v>
      </c>
      <c r="K16">
        <f t="shared" ref="K16:K22" si="3">K15+D16</f>
        <v>4662</v>
      </c>
      <c r="L16" s="42">
        <f>D19-L15</f>
        <v>274</v>
      </c>
      <c r="M16" s="5">
        <f t="shared" si="2"/>
        <v>-2970.16</v>
      </c>
      <c r="O16" s="5">
        <f>D16*E19-F16</f>
        <v>805.56</v>
      </c>
      <c r="P16" s="5">
        <v>797.06599999999901</v>
      </c>
      <c r="Q16" s="5">
        <f>O16-P16</f>
        <v>8.4940000000009377</v>
      </c>
    </row>
    <row r="17" spans="1:17" x14ac:dyDescent="0.35">
      <c r="A17">
        <v>87</v>
      </c>
      <c r="B17" t="s">
        <v>31</v>
      </c>
      <c r="C17" s="4">
        <v>42136</v>
      </c>
      <c r="D17" s="34">
        <v>0</v>
      </c>
      <c r="E17" s="5">
        <v>1864.8</v>
      </c>
      <c r="F17" s="5">
        <v>1864.8</v>
      </c>
      <c r="G17" s="5">
        <v>1864.8</v>
      </c>
      <c r="H17">
        <v>1</v>
      </c>
      <c r="K17">
        <f t="shared" si="3"/>
        <v>4662</v>
      </c>
      <c r="L17" s="34"/>
      <c r="M17" s="5"/>
      <c r="Q17" s="34"/>
    </row>
    <row r="18" spans="1:17" x14ac:dyDescent="0.35">
      <c r="A18">
        <v>90</v>
      </c>
      <c r="B18" t="s">
        <v>6</v>
      </c>
      <c r="C18" s="4">
        <v>42200</v>
      </c>
      <c r="D18" s="34">
        <v>4262</v>
      </c>
      <c r="E18" s="5">
        <v>13.6</v>
      </c>
      <c r="F18" s="5">
        <v>57963.199999999997</v>
      </c>
      <c r="G18" s="5">
        <v>57942.28</v>
      </c>
      <c r="H18">
        <v>1</v>
      </c>
      <c r="I18" s="5">
        <v>20.92</v>
      </c>
      <c r="K18">
        <f>K17-D18</f>
        <v>400</v>
      </c>
      <c r="M18" s="5">
        <f>G18</f>
        <v>57942.28</v>
      </c>
      <c r="N18" s="5">
        <f>G18-D18*E15</f>
        <v>9142.3800000000047</v>
      </c>
    </row>
    <row r="19" spans="1:17" x14ac:dyDescent="0.35">
      <c r="A19">
        <v>93</v>
      </c>
      <c r="B19" t="s">
        <v>6</v>
      </c>
      <c r="C19" s="4">
        <v>42201</v>
      </c>
      <c r="D19" s="42">
        <v>400</v>
      </c>
      <c r="E19" s="5">
        <v>13.78</v>
      </c>
      <c r="F19" s="5">
        <v>5512</v>
      </c>
      <c r="G19" s="5">
        <v>5499.6</v>
      </c>
      <c r="H19">
        <v>1</v>
      </c>
      <c r="I19" s="5">
        <v>12.4</v>
      </c>
      <c r="K19">
        <f>K18-D19</f>
        <v>0</v>
      </c>
      <c r="M19" s="5">
        <f>G19</f>
        <v>5499.6</v>
      </c>
      <c r="N19" s="5">
        <f>G19-(D15-D18)*E15-G16</f>
        <v>1086.7400000000007</v>
      </c>
    </row>
    <row r="20" spans="1:17" x14ac:dyDescent="0.35">
      <c r="A20">
        <v>99</v>
      </c>
      <c r="B20" t="s">
        <v>5</v>
      </c>
      <c r="C20" s="4">
        <v>42278</v>
      </c>
      <c r="D20" s="34">
        <v>4570</v>
      </c>
      <c r="E20" s="5">
        <v>10.91</v>
      </c>
      <c r="F20" s="5">
        <v>49858.7</v>
      </c>
      <c r="G20" s="5">
        <v>49878.84</v>
      </c>
      <c r="H20">
        <v>1</v>
      </c>
      <c r="I20" s="5">
        <v>20.14</v>
      </c>
      <c r="K20">
        <f t="shared" si="3"/>
        <v>4570</v>
      </c>
      <c r="M20" s="5">
        <f>-G20</f>
        <v>-49878.84</v>
      </c>
      <c r="O20" s="5">
        <f>F21-F20</f>
        <v>3130.4500000000044</v>
      </c>
      <c r="P20" s="5">
        <v>3089.87</v>
      </c>
      <c r="Q20" s="5">
        <f>O20-P20</f>
        <v>40.580000000004475</v>
      </c>
    </row>
    <row r="21" spans="1:17" x14ac:dyDescent="0.35">
      <c r="A21">
        <v>102</v>
      </c>
      <c r="B21" t="s">
        <v>6</v>
      </c>
      <c r="C21" s="4">
        <v>42289</v>
      </c>
      <c r="D21" s="34">
        <v>4570</v>
      </c>
      <c r="E21" s="5">
        <v>11.595000000000001</v>
      </c>
      <c r="F21" s="5">
        <v>52989.15</v>
      </c>
      <c r="G21" s="5">
        <v>52968.71</v>
      </c>
      <c r="H21">
        <v>1</v>
      </c>
      <c r="I21" s="5">
        <v>20.440000000000001</v>
      </c>
      <c r="K21">
        <f>K20-D21</f>
        <v>0</v>
      </c>
      <c r="M21" s="5">
        <f>G21</f>
        <v>52968.71</v>
      </c>
      <c r="N21" s="5">
        <f>G21-G20</f>
        <v>3089.8700000000026</v>
      </c>
    </row>
    <row r="22" spans="1:17" x14ac:dyDescent="0.35">
      <c r="A22">
        <v>106</v>
      </c>
      <c r="B22" t="s">
        <v>5</v>
      </c>
      <c r="C22" s="4">
        <v>42342</v>
      </c>
      <c r="D22" s="34">
        <v>4492</v>
      </c>
      <c r="E22" s="5">
        <v>11.13</v>
      </c>
      <c r="F22" s="5">
        <v>49995.96</v>
      </c>
      <c r="G22" s="5">
        <v>50016.11</v>
      </c>
      <c r="H22">
        <v>1</v>
      </c>
      <c r="I22" s="5">
        <v>20.149999999999999</v>
      </c>
      <c r="K22">
        <f t="shared" si="3"/>
        <v>4492</v>
      </c>
      <c r="M22" s="5">
        <f>-G22</f>
        <v>-50016.11</v>
      </c>
      <c r="O22" s="5">
        <f>F23-F22</f>
        <v>-3840.6599999999962</v>
      </c>
      <c r="P22" s="5">
        <v>-3880.59</v>
      </c>
      <c r="Q22" s="5">
        <f>O22-P22</f>
        <v>39.930000000003929</v>
      </c>
    </row>
    <row r="23" spans="1:17" x14ac:dyDescent="0.35">
      <c r="A23">
        <v>107</v>
      </c>
      <c r="B23" t="s">
        <v>6</v>
      </c>
      <c r="C23" s="4">
        <v>42369</v>
      </c>
      <c r="D23" s="34">
        <v>4492</v>
      </c>
      <c r="E23" s="5">
        <v>10.275</v>
      </c>
      <c r="F23" s="5">
        <v>46155.3</v>
      </c>
      <c r="G23" s="5">
        <v>46135.519999999997</v>
      </c>
      <c r="H23">
        <v>1</v>
      </c>
      <c r="I23" s="5">
        <v>19.78</v>
      </c>
      <c r="K23">
        <f>K22-D23</f>
        <v>0</v>
      </c>
      <c r="M23" s="5">
        <f>G23</f>
        <v>46135.519999999997</v>
      </c>
      <c r="N23" s="5">
        <f>G23-G22</f>
        <v>-3880.5900000000038</v>
      </c>
    </row>
    <row r="24" spans="1:17" x14ac:dyDescent="0.35">
      <c r="I24" s="29">
        <f>SUM(I15:I23)</f>
        <v>134.01</v>
      </c>
      <c r="K24" s="1" t="s">
        <v>18</v>
      </c>
      <c r="L24" s="1"/>
      <c r="M24" s="29">
        <f>SUM(M15:M23)</f>
        <v>9418.2199999999939</v>
      </c>
      <c r="N24" s="5"/>
      <c r="O24" s="29">
        <f>SUM(O15:O23)</f>
        <v>9552.230000000005</v>
      </c>
      <c r="P24" s="29">
        <f>SUM(P15:P23)</f>
        <v>9416.9598997265202</v>
      </c>
      <c r="Q24" s="29">
        <f>SUM(Q15:Q23)</f>
        <v>135.27010027348604</v>
      </c>
    </row>
    <row r="26" spans="1:17" x14ac:dyDescent="0.35">
      <c r="K26" s="1" t="s">
        <v>53</v>
      </c>
      <c r="M26" s="29">
        <f>M7+M13+M24</f>
        <v>13106.469999999987</v>
      </c>
    </row>
    <row r="29" spans="1:17" x14ac:dyDescent="0.35">
      <c r="B29">
        <v>2015</v>
      </c>
      <c r="C29" s="5">
        <v>22518.35</v>
      </c>
      <c r="D29" s="32">
        <v>13106.48</v>
      </c>
      <c r="H29" s="5">
        <f>+C29-D29</f>
        <v>9411.869999999999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FC7A-A8B1-46AB-BBD2-1EFF59E4C2EB}">
  <dimension ref="A1:N17"/>
  <sheetViews>
    <sheetView zoomScale="115" zoomScaleNormal="115" workbookViewId="0">
      <pane ySplit="1" topLeftCell="A2" activePane="bottomLeft" state="frozen"/>
      <selection pane="bottomLeft" activeCell="L10" sqref="L10"/>
    </sheetView>
  </sheetViews>
  <sheetFormatPr defaultRowHeight="14.5" x14ac:dyDescent="0.35"/>
  <cols>
    <col min="1" max="1" width="4" bestFit="1" customWidth="1"/>
    <col min="2" max="2" width="10" bestFit="1" customWidth="1"/>
    <col min="3" max="3" width="10.7265625" bestFit="1" customWidth="1"/>
    <col min="4" max="4" width="5.453125" bestFit="1" customWidth="1"/>
    <col min="5" max="5" width="8.6328125" bestFit="1" customWidth="1"/>
    <col min="6" max="7" width="10.6328125" bestFit="1" customWidth="1"/>
    <col min="8" max="8" width="1.90625" hidden="1" customWidth="1"/>
    <col min="9" max="9" width="19.08984375" bestFit="1" customWidth="1"/>
    <col min="13" max="13" width="10.54296875" bestFit="1" customWidth="1"/>
    <col min="14" max="14" width="10.54296875" customWidth="1"/>
    <col min="16" max="17" width="11.1796875" bestFit="1" customWidth="1"/>
  </cols>
  <sheetData>
    <row r="1" spans="1:14" x14ac:dyDescent="0.35">
      <c r="D1" t="s">
        <v>2</v>
      </c>
      <c r="E1" t="s">
        <v>3</v>
      </c>
      <c r="F1" t="s">
        <v>7</v>
      </c>
      <c r="G1" t="s">
        <v>6</v>
      </c>
    </row>
    <row r="2" spans="1:14" x14ac:dyDescent="0.35">
      <c r="B2" t="s">
        <v>37</v>
      </c>
      <c r="D2">
        <v>100</v>
      </c>
      <c r="E2" s="40">
        <v>11</v>
      </c>
      <c r="F2" s="40">
        <f>D2*E2</f>
        <v>1100</v>
      </c>
      <c r="G2" s="40"/>
      <c r="M2" s="1" t="s">
        <v>71</v>
      </c>
      <c r="N2" s="1" t="s">
        <v>71</v>
      </c>
    </row>
    <row r="3" spans="1:14" x14ac:dyDescent="0.35">
      <c r="B3" t="s">
        <v>42</v>
      </c>
      <c r="D3">
        <v>80</v>
      </c>
      <c r="E3" s="40">
        <v>9</v>
      </c>
      <c r="F3" s="40">
        <f>D3*E2</f>
        <v>880</v>
      </c>
      <c r="G3" s="40">
        <f>D3*E3</f>
        <v>720</v>
      </c>
      <c r="L3" s="34"/>
      <c r="M3" s="1" t="s">
        <v>72</v>
      </c>
      <c r="N3" s="1" t="s">
        <v>73</v>
      </c>
    </row>
    <row r="4" spans="1:14" x14ac:dyDescent="0.35">
      <c r="B4" t="s">
        <v>38</v>
      </c>
      <c r="D4">
        <v>20</v>
      </c>
      <c r="E4" s="40">
        <v>13</v>
      </c>
      <c r="F4" s="40">
        <f>+D4*E2</f>
        <v>220</v>
      </c>
      <c r="G4" s="40">
        <f>D4*E4</f>
        <v>260</v>
      </c>
      <c r="L4" s="29" t="s">
        <v>69</v>
      </c>
      <c r="M4" s="50">
        <v>4195.84</v>
      </c>
    </row>
    <row r="5" spans="1:14" x14ac:dyDescent="0.35">
      <c r="E5" s="40"/>
      <c r="F5" s="40"/>
      <c r="I5" s="40" t="s">
        <v>43</v>
      </c>
      <c r="J5" t="s">
        <v>44</v>
      </c>
      <c r="L5" s="29" t="s">
        <v>69</v>
      </c>
      <c r="M5" s="50">
        <v>70770.73</v>
      </c>
    </row>
    <row r="6" spans="1:14" x14ac:dyDescent="0.35">
      <c r="B6" t="s">
        <v>39</v>
      </c>
      <c r="E6" s="40">
        <f>D3*E3-D3*E2</f>
        <v>-160</v>
      </c>
      <c r="F6" s="40">
        <f>G3-F3</f>
        <v>-160</v>
      </c>
      <c r="G6" s="40"/>
      <c r="I6" t="b">
        <v>0</v>
      </c>
      <c r="L6" s="29" t="s">
        <v>70</v>
      </c>
      <c r="M6" s="50">
        <v>15658.2</v>
      </c>
    </row>
    <row r="7" spans="1:14" x14ac:dyDescent="0.35">
      <c r="B7" t="s">
        <v>41</v>
      </c>
      <c r="E7" s="40">
        <f>D4*E4-D4*E2</f>
        <v>40</v>
      </c>
      <c r="F7" s="40">
        <f>G4-F4</f>
        <v>40</v>
      </c>
      <c r="G7" s="40"/>
      <c r="I7" t="b">
        <v>1</v>
      </c>
      <c r="L7" s="5"/>
      <c r="M7" s="51">
        <f>SUM(M4:M6)</f>
        <v>90624.76999999999</v>
      </c>
      <c r="N7" s="51">
        <v>89597.064809523305</v>
      </c>
    </row>
    <row r="8" spans="1:14" x14ac:dyDescent="0.35">
      <c r="B8" t="s">
        <v>40</v>
      </c>
      <c r="E8" s="40">
        <f>E6+D4*E4-D4*E2</f>
        <v>-120</v>
      </c>
      <c r="F8" s="40">
        <f>SUM(F6:F7)</f>
        <v>-120</v>
      </c>
      <c r="G8" s="40"/>
      <c r="I8" t="s">
        <v>45</v>
      </c>
      <c r="M8" s="1" t="s">
        <v>25</v>
      </c>
      <c r="N8" s="51">
        <f>+M7-N7</f>
        <v>1027.7051904766849</v>
      </c>
    </row>
    <row r="13" spans="1:14" x14ac:dyDescent="0.35">
      <c r="A13">
        <v>1</v>
      </c>
      <c r="B13" t="s">
        <v>37</v>
      </c>
      <c r="C13">
        <v>10</v>
      </c>
    </row>
    <row r="14" spans="1:14" x14ac:dyDescent="0.35">
      <c r="A14">
        <v>2</v>
      </c>
      <c r="B14" t="s">
        <v>37</v>
      </c>
      <c r="C14">
        <v>10</v>
      </c>
    </row>
    <row r="15" spans="1:14" x14ac:dyDescent="0.35">
      <c r="A15">
        <v>3</v>
      </c>
      <c r="B15" t="s">
        <v>37</v>
      </c>
      <c r="C15">
        <v>10</v>
      </c>
    </row>
    <row r="16" spans="1:14" x14ac:dyDescent="0.35">
      <c r="B16" t="s">
        <v>46</v>
      </c>
      <c r="C16">
        <v>5</v>
      </c>
      <c r="E16" t="s">
        <v>47</v>
      </c>
    </row>
    <row r="17" spans="2:5" x14ac:dyDescent="0.35">
      <c r="B17" t="s">
        <v>46</v>
      </c>
      <c r="C17">
        <v>20</v>
      </c>
      <c r="E17" t="s">
        <v>48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31D83-0E0A-4D88-B489-4583A6E933E1}">
  <dimension ref="A1:R45"/>
  <sheetViews>
    <sheetView zoomScaleNormal="100" workbookViewId="0">
      <pane ySplit="1" topLeftCell="A26" activePane="bottomLeft" state="frozen"/>
      <selection pane="bottomLeft" activeCell="L22" sqref="L22"/>
    </sheetView>
  </sheetViews>
  <sheetFormatPr defaultRowHeight="14.5" x14ac:dyDescent="0.35"/>
  <cols>
    <col min="1" max="1" width="4" bestFit="1" customWidth="1"/>
    <col min="2" max="2" width="9" bestFit="1" customWidth="1"/>
    <col min="3" max="3" width="10.7265625" bestFit="1" customWidth="1"/>
    <col min="4" max="4" width="5.453125" bestFit="1" customWidth="1"/>
    <col min="5" max="5" width="8.6328125" bestFit="1" customWidth="1"/>
    <col min="6" max="6" width="10.6328125" bestFit="1" customWidth="1"/>
    <col min="7" max="7" width="11.1796875" bestFit="1" customWidth="1"/>
    <col min="8" max="8" width="1.90625" hidden="1" customWidth="1"/>
    <col min="9" max="9" width="7" bestFit="1" customWidth="1"/>
    <col min="10" max="10" width="10.54296875" bestFit="1" customWidth="1"/>
    <col min="11" max="11" width="6.1796875" bestFit="1" customWidth="1"/>
    <col min="12" max="12" width="11.26953125" bestFit="1" customWidth="1"/>
    <col min="13" max="13" width="11.6328125" bestFit="1" customWidth="1"/>
    <col min="14" max="14" width="11.26953125" bestFit="1" customWidth="1"/>
    <col min="15" max="15" width="10.54296875" customWidth="1"/>
    <col min="16" max="16" width="10.6328125" bestFit="1" customWidth="1"/>
    <col min="17" max="18" width="11.1796875" bestFit="1" customWidth="1"/>
  </cols>
  <sheetData>
    <row r="1" spans="1:18" x14ac:dyDescent="0.35">
      <c r="A1" s="2"/>
      <c r="B1" s="2"/>
      <c r="C1" s="2" t="s">
        <v>23</v>
      </c>
      <c r="D1" s="2" t="s">
        <v>2</v>
      </c>
      <c r="E1" s="2" t="s">
        <v>3</v>
      </c>
      <c r="F1" s="2" t="s">
        <v>10</v>
      </c>
      <c r="G1" s="2" t="s">
        <v>32</v>
      </c>
      <c r="H1" s="2"/>
      <c r="I1" s="2" t="s">
        <v>4</v>
      </c>
      <c r="M1" s="2" t="s">
        <v>18</v>
      </c>
    </row>
    <row r="2" spans="1:18" x14ac:dyDescent="0.35">
      <c r="A2" s="30">
        <v>79</v>
      </c>
      <c r="B2" s="30" t="s">
        <v>5</v>
      </c>
      <c r="C2" s="31">
        <v>41711</v>
      </c>
      <c r="D2" s="33">
        <v>925</v>
      </c>
      <c r="E2" s="32">
        <v>10.824999999999999</v>
      </c>
      <c r="F2" s="32">
        <v>10013.129999999999</v>
      </c>
      <c r="G2" s="32">
        <v>10028.19</v>
      </c>
      <c r="H2" s="30">
        <v>1</v>
      </c>
      <c r="I2" s="32">
        <v>15.06</v>
      </c>
      <c r="J2" s="34">
        <f>D2</f>
        <v>925</v>
      </c>
      <c r="L2" s="5">
        <f>+G3-G2</f>
        <v>167.73999999999978</v>
      </c>
      <c r="M2" s="5">
        <f>G3-G2</f>
        <v>167.73999999999978</v>
      </c>
    </row>
    <row r="3" spans="1:18" x14ac:dyDescent="0.35">
      <c r="A3" s="30">
        <v>80</v>
      </c>
      <c r="B3" s="30" t="s">
        <v>6</v>
      </c>
      <c r="C3" s="31">
        <v>41717</v>
      </c>
      <c r="D3" s="33">
        <v>925</v>
      </c>
      <c r="E3" s="32">
        <v>11.05</v>
      </c>
      <c r="F3" s="32">
        <v>10221.25</v>
      </c>
      <c r="G3" s="32">
        <v>10195.93</v>
      </c>
      <c r="H3" s="30">
        <v>1</v>
      </c>
      <c r="I3" s="32">
        <v>25.32</v>
      </c>
      <c r="J3" s="34">
        <f>J2-D3</f>
        <v>0</v>
      </c>
      <c r="M3" s="5"/>
    </row>
    <row r="4" spans="1:18" x14ac:dyDescent="0.35">
      <c r="A4" s="30">
        <v>81</v>
      </c>
      <c r="B4" s="30" t="s">
        <v>5</v>
      </c>
      <c r="C4" s="31">
        <v>41830</v>
      </c>
      <c r="D4" s="33">
        <v>929</v>
      </c>
      <c r="E4" s="32">
        <v>10.74</v>
      </c>
      <c r="F4" s="32">
        <v>9977.4599999999991</v>
      </c>
      <c r="G4" s="32">
        <v>9992.52</v>
      </c>
      <c r="H4" s="30">
        <v>1</v>
      </c>
      <c r="I4" s="32">
        <v>15.06</v>
      </c>
      <c r="J4" s="34">
        <f>J3+D4</f>
        <v>929</v>
      </c>
      <c r="M4" s="5">
        <f>G5-G4</f>
        <v>192.80999999999949</v>
      </c>
    </row>
    <row r="5" spans="1:18" x14ac:dyDescent="0.35">
      <c r="A5" s="30">
        <v>82</v>
      </c>
      <c r="B5" s="30" t="s">
        <v>6</v>
      </c>
      <c r="C5" s="31">
        <v>41877</v>
      </c>
      <c r="D5" s="33">
        <v>929</v>
      </c>
      <c r="E5" s="32">
        <v>10.98</v>
      </c>
      <c r="F5" s="32">
        <v>10200.42</v>
      </c>
      <c r="G5" s="32">
        <v>10185.33</v>
      </c>
      <c r="H5" s="30">
        <v>1</v>
      </c>
      <c r="I5" s="32">
        <v>15.09</v>
      </c>
      <c r="J5" s="34">
        <f>J4-D5</f>
        <v>0</v>
      </c>
      <c r="M5" s="5"/>
    </row>
    <row r="6" spans="1:18" x14ac:dyDescent="0.35">
      <c r="A6" s="30">
        <v>83</v>
      </c>
      <c r="B6" s="30" t="s">
        <v>5</v>
      </c>
      <c r="C6" s="31">
        <v>41984</v>
      </c>
      <c r="D6" s="33">
        <v>5386</v>
      </c>
      <c r="E6" s="32">
        <v>9.2676999999999996</v>
      </c>
      <c r="F6" s="32">
        <v>49916.04</v>
      </c>
      <c r="G6" s="32">
        <v>49936.18</v>
      </c>
      <c r="H6" s="30">
        <v>1</v>
      </c>
      <c r="I6" s="32">
        <v>20.14</v>
      </c>
      <c r="J6" s="34">
        <f t="shared" ref="J6:J25" si="0">J5+D6</f>
        <v>5386</v>
      </c>
      <c r="M6" s="5">
        <f>G7-G6</f>
        <v>-1239.8400000000038</v>
      </c>
    </row>
    <row r="7" spans="1:18" x14ac:dyDescent="0.35">
      <c r="A7" s="30">
        <v>84</v>
      </c>
      <c r="B7" s="30" t="s">
        <v>6</v>
      </c>
      <c r="C7" s="31">
        <v>42047</v>
      </c>
      <c r="D7" s="33">
        <v>5386</v>
      </c>
      <c r="E7" s="32">
        <v>9.0449999999999999</v>
      </c>
      <c r="F7" s="32">
        <v>48716.37</v>
      </c>
      <c r="G7" s="32">
        <v>48696.34</v>
      </c>
      <c r="H7" s="30">
        <v>1</v>
      </c>
      <c r="I7" s="32">
        <v>20.03</v>
      </c>
      <c r="J7" s="34">
        <f>J6-D7</f>
        <v>0</v>
      </c>
      <c r="M7" s="5"/>
    </row>
    <row r="8" spans="1:18" x14ac:dyDescent="0.35">
      <c r="A8" s="30">
        <v>94</v>
      </c>
      <c r="B8" s="30" t="s">
        <v>5</v>
      </c>
      <c r="C8" s="31">
        <v>42212</v>
      </c>
      <c r="D8" s="33">
        <v>6415</v>
      </c>
      <c r="E8" s="32">
        <v>7.7939999999999996</v>
      </c>
      <c r="F8" s="32">
        <v>49998.51</v>
      </c>
      <c r="G8" s="32">
        <v>50018.66</v>
      </c>
      <c r="H8" s="30">
        <v>1</v>
      </c>
      <c r="I8" s="32">
        <v>20.149999999999999</v>
      </c>
      <c r="J8" s="34">
        <f t="shared" si="0"/>
        <v>6415</v>
      </c>
      <c r="M8" s="5">
        <f>G9-G8</f>
        <v>2499.7899999999936</v>
      </c>
    </row>
    <row r="9" spans="1:18" x14ac:dyDescent="0.35">
      <c r="A9" s="30">
        <v>97</v>
      </c>
      <c r="B9" s="30" t="s">
        <v>6</v>
      </c>
      <c r="C9" s="31">
        <v>42214</v>
      </c>
      <c r="D9" s="33">
        <v>6415</v>
      </c>
      <c r="E9" s="32">
        <v>8.19</v>
      </c>
      <c r="F9" s="32">
        <v>52538.85</v>
      </c>
      <c r="G9" s="32">
        <v>52518.45</v>
      </c>
      <c r="H9" s="30">
        <v>1</v>
      </c>
      <c r="I9" s="32">
        <v>20.399999999999999</v>
      </c>
      <c r="J9" s="34">
        <f>J8-D9</f>
        <v>0</v>
      </c>
      <c r="M9" s="5"/>
    </row>
    <row r="10" spans="1:18" x14ac:dyDescent="0.35">
      <c r="A10" s="30">
        <v>138</v>
      </c>
      <c r="B10" s="30" t="s">
        <v>74</v>
      </c>
      <c r="C10" s="31">
        <v>42822</v>
      </c>
      <c r="D10" s="33">
        <v>1581</v>
      </c>
      <c r="E10" s="32">
        <v>7.5910000000000002</v>
      </c>
      <c r="F10" s="32">
        <v>12001.37</v>
      </c>
      <c r="G10" s="32">
        <v>12001.37</v>
      </c>
      <c r="H10" s="30">
        <v>1</v>
      </c>
      <c r="I10" s="32">
        <v>0</v>
      </c>
      <c r="J10" s="34">
        <f>J9</f>
        <v>0</v>
      </c>
      <c r="K10" s="5"/>
      <c r="M10" s="5"/>
    </row>
    <row r="11" spans="1:18" x14ac:dyDescent="0.35">
      <c r="A11" s="30">
        <v>151</v>
      </c>
      <c r="B11" s="30" t="s">
        <v>5</v>
      </c>
      <c r="C11" s="31">
        <v>42822</v>
      </c>
      <c r="D11" s="33">
        <v>527</v>
      </c>
      <c r="E11" s="32">
        <v>22.773</v>
      </c>
      <c r="F11" s="32">
        <v>12001.37</v>
      </c>
      <c r="G11" s="32">
        <v>12016.52</v>
      </c>
      <c r="H11" s="30">
        <v>1</v>
      </c>
      <c r="I11" s="32">
        <v>15.15</v>
      </c>
      <c r="J11" s="34">
        <f t="shared" si="0"/>
        <v>527</v>
      </c>
      <c r="M11" s="5">
        <f>G12-G11</f>
        <v>3985.2799999999988</v>
      </c>
    </row>
    <row r="12" spans="1:18" x14ac:dyDescent="0.35">
      <c r="A12" s="30">
        <v>165</v>
      </c>
      <c r="B12" s="30" t="s">
        <v>6</v>
      </c>
      <c r="C12" s="31">
        <v>43236</v>
      </c>
      <c r="D12" s="33">
        <v>527</v>
      </c>
      <c r="E12" s="32">
        <v>30.416</v>
      </c>
      <c r="F12" s="32">
        <v>16029.25</v>
      </c>
      <c r="G12" s="32">
        <v>16001.8</v>
      </c>
      <c r="H12" s="30">
        <v>1</v>
      </c>
      <c r="I12" s="32">
        <v>27.45</v>
      </c>
      <c r="J12" s="34">
        <f>J11-D12</f>
        <v>0</v>
      </c>
      <c r="M12" s="5"/>
      <c r="N12" s="2" t="s">
        <v>33</v>
      </c>
      <c r="O12" s="2" t="s">
        <v>4</v>
      </c>
      <c r="P12" s="2" t="s">
        <v>34</v>
      </c>
      <c r="Q12" s="2" t="s">
        <v>36</v>
      </c>
      <c r="R12" s="2" t="s">
        <v>35</v>
      </c>
    </row>
    <row r="13" spans="1:18" x14ac:dyDescent="0.35">
      <c r="A13" s="30">
        <v>166</v>
      </c>
      <c r="B13" s="30" t="s">
        <v>5</v>
      </c>
      <c r="C13" s="31">
        <v>43389</v>
      </c>
      <c r="D13" s="33">
        <v>1600</v>
      </c>
      <c r="E13" s="32">
        <v>24.388000000000002</v>
      </c>
      <c r="F13" s="32">
        <v>39020.800000000003</v>
      </c>
      <c r="G13" s="32">
        <v>39049.31</v>
      </c>
      <c r="H13" s="30">
        <v>1</v>
      </c>
      <c r="I13" s="32">
        <v>28.51</v>
      </c>
      <c r="J13" s="34">
        <f t="shared" si="0"/>
        <v>1600</v>
      </c>
      <c r="K13" s="35">
        <f>J13-D14</f>
        <v>952</v>
      </c>
      <c r="L13" s="37">
        <v>0</v>
      </c>
      <c r="M13" s="5">
        <f>R13</f>
        <v>-12190.883321275795</v>
      </c>
      <c r="N13" s="5">
        <f>F14+K13*E17</f>
        <v>26706.527999999998</v>
      </c>
      <c r="O13" s="5">
        <f>I13+I14+I17/D17*K13</f>
        <v>46.219456869009583</v>
      </c>
      <c r="P13" s="5">
        <f>E16/J16*K13</f>
        <v>169.60813559322034</v>
      </c>
      <c r="Q13" s="5">
        <f>N13-F13</f>
        <v>-12314.272000000004</v>
      </c>
      <c r="R13" s="5">
        <f>Q13-O13+P13</f>
        <v>-12190.883321275795</v>
      </c>
    </row>
    <row r="14" spans="1:18" x14ac:dyDescent="0.35">
      <c r="A14" s="30">
        <v>169</v>
      </c>
      <c r="B14" s="30" t="s">
        <v>6</v>
      </c>
      <c r="C14" s="31">
        <v>43458</v>
      </c>
      <c r="D14" s="36">
        <v>648</v>
      </c>
      <c r="E14" s="32">
        <v>18.260000000000002</v>
      </c>
      <c r="F14" s="32">
        <v>11832.48</v>
      </c>
      <c r="G14" s="32">
        <v>11822.42</v>
      </c>
      <c r="H14" s="30">
        <v>1</v>
      </c>
      <c r="I14" s="32">
        <v>10.06</v>
      </c>
      <c r="J14" s="34">
        <f>J13-D14</f>
        <v>952</v>
      </c>
      <c r="M14" s="5"/>
    </row>
    <row r="15" spans="1:18" x14ac:dyDescent="0.35">
      <c r="A15" s="30">
        <v>174</v>
      </c>
      <c r="B15" s="30" t="s">
        <v>5</v>
      </c>
      <c r="C15" s="31">
        <v>43550</v>
      </c>
      <c r="D15" s="33">
        <v>700</v>
      </c>
      <c r="E15" s="32">
        <v>18.027999999999999</v>
      </c>
      <c r="F15" s="32">
        <v>12619.6</v>
      </c>
      <c r="G15" s="32">
        <v>12629.66</v>
      </c>
      <c r="H15" s="30">
        <v>1</v>
      </c>
      <c r="I15" s="32">
        <v>10.06</v>
      </c>
      <c r="J15" s="34">
        <f t="shared" si="0"/>
        <v>1652</v>
      </c>
      <c r="K15" s="39">
        <f>D15-(D17+D14-D13)</f>
        <v>400</v>
      </c>
      <c r="M15" s="5"/>
    </row>
    <row r="16" spans="1:18" x14ac:dyDescent="0.35">
      <c r="A16" s="30">
        <v>176</v>
      </c>
      <c r="B16" s="30" t="s">
        <v>31</v>
      </c>
      <c r="C16" s="31">
        <v>43629</v>
      </c>
      <c r="D16" s="33">
        <v>0</v>
      </c>
      <c r="E16" s="32">
        <v>294.32</v>
      </c>
      <c r="F16" s="32">
        <v>294.32</v>
      </c>
      <c r="G16" s="32">
        <v>294.32</v>
      </c>
      <c r="H16" s="30">
        <v>1</v>
      </c>
      <c r="I16" s="32">
        <v>0</v>
      </c>
      <c r="J16" s="34">
        <f t="shared" si="0"/>
        <v>1652</v>
      </c>
      <c r="M16" s="5"/>
      <c r="N16" s="5"/>
    </row>
    <row r="17" spans="1:15" x14ac:dyDescent="0.35">
      <c r="A17" s="30">
        <v>177</v>
      </c>
      <c r="B17" s="30" t="s">
        <v>6</v>
      </c>
      <c r="C17" s="31">
        <v>43797</v>
      </c>
      <c r="D17" s="38">
        <v>1252</v>
      </c>
      <c r="E17" s="32">
        <v>15.624000000000001</v>
      </c>
      <c r="F17" s="32">
        <v>19561.25</v>
      </c>
      <c r="G17" s="32">
        <v>19551.189999999999</v>
      </c>
      <c r="H17" s="30">
        <v>1</v>
      </c>
      <c r="I17" s="32">
        <v>10.06</v>
      </c>
      <c r="J17" s="34">
        <f>J16-D17</f>
        <v>400</v>
      </c>
      <c r="M17" s="5"/>
    </row>
    <row r="18" spans="1:15" x14ac:dyDescent="0.35">
      <c r="A18" s="30">
        <v>178</v>
      </c>
      <c r="B18" s="30" t="s">
        <v>5</v>
      </c>
      <c r="C18" s="31">
        <v>43802</v>
      </c>
      <c r="D18" s="33">
        <v>500</v>
      </c>
      <c r="E18" s="32">
        <v>15.32</v>
      </c>
      <c r="F18" s="32">
        <v>7660</v>
      </c>
      <c r="G18" s="32">
        <v>7670.06</v>
      </c>
      <c r="H18" s="30">
        <v>1</v>
      </c>
      <c r="I18" s="32">
        <v>10.06</v>
      </c>
      <c r="J18" s="34">
        <f t="shared" si="0"/>
        <v>900</v>
      </c>
    </row>
    <row r="19" spans="1:15" x14ac:dyDescent="0.35">
      <c r="A19" s="30">
        <v>190</v>
      </c>
      <c r="B19" s="30" t="s">
        <v>5</v>
      </c>
      <c r="C19" s="31">
        <v>43802</v>
      </c>
      <c r="D19" s="33">
        <v>92</v>
      </c>
      <c r="E19" s="32">
        <v>15.32</v>
      </c>
      <c r="F19" s="32">
        <v>1409.44</v>
      </c>
      <c r="G19" s="32">
        <v>1414.5</v>
      </c>
      <c r="H19" s="30">
        <v>1</v>
      </c>
      <c r="I19" s="32">
        <v>5.0599999999999996</v>
      </c>
      <c r="J19" s="34">
        <f t="shared" si="0"/>
        <v>992</v>
      </c>
      <c r="K19" s="34"/>
      <c r="L19" s="34"/>
    </row>
    <row r="20" spans="1:15" x14ac:dyDescent="0.35">
      <c r="A20" s="30">
        <v>191</v>
      </c>
      <c r="B20" s="30" t="s">
        <v>5</v>
      </c>
      <c r="C20" s="31">
        <v>43802</v>
      </c>
      <c r="D20" s="33">
        <v>660</v>
      </c>
      <c r="E20" s="32">
        <v>15.31</v>
      </c>
      <c r="F20" s="32">
        <v>10104.6</v>
      </c>
      <c r="G20" s="32">
        <v>10114.77</v>
      </c>
      <c r="H20" s="30">
        <v>1</v>
      </c>
      <c r="I20" s="32">
        <v>10.17</v>
      </c>
      <c r="J20" s="34">
        <f t="shared" si="0"/>
        <v>1652</v>
      </c>
      <c r="K20" s="34">
        <v>400</v>
      </c>
      <c r="L20" s="34"/>
    </row>
    <row r="21" spans="1:15" x14ac:dyDescent="0.35">
      <c r="A21" s="30">
        <v>179</v>
      </c>
      <c r="B21" s="30" t="s">
        <v>6</v>
      </c>
      <c r="C21" s="31">
        <v>43872</v>
      </c>
      <c r="D21" s="33">
        <v>1252</v>
      </c>
      <c r="E21" s="32">
        <v>16.611999999999998</v>
      </c>
      <c r="F21" s="32">
        <v>20798.22</v>
      </c>
      <c r="G21" s="32">
        <v>20781.68</v>
      </c>
      <c r="H21" s="30">
        <v>1</v>
      </c>
      <c r="I21" s="32">
        <v>16.54</v>
      </c>
      <c r="J21" s="34">
        <f>J20-D21</f>
        <v>400</v>
      </c>
      <c r="K21" s="34"/>
      <c r="L21" s="34"/>
    </row>
    <row r="22" spans="1:15" x14ac:dyDescent="0.35">
      <c r="A22" s="30">
        <v>182</v>
      </c>
      <c r="B22" s="30" t="s">
        <v>5</v>
      </c>
      <c r="C22" s="31">
        <v>43893</v>
      </c>
      <c r="D22" s="33">
        <v>567</v>
      </c>
      <c r="E22" s="32">
        <v>13.28</v>
      </c>
      <c r="F22" s="32">
        <v>7529.76</v>
      </c>
      <c r="G22" s="32">
        <v>7539.93</v>
      </c>
      <c r="H22" s="30">
        <v>1</v>
      </c>
      <c r="I22" s="32">
        <v>10.17</v>
      </c>
      <c r="J22" s="34">
        <f t="shared" si="0"/>
        <v>967</v>
      </c>
      <c r="K22" s="34">
        <f>D22</f>
        <v>567</v>
      </c>
      <c r="L22" s="34">
        <v>67</v>
      </c>
      <c r="M22" s="5"/>
    </row>
    <row r="23" spans="1:15" x14ac:dyDescent="0.35">
      <c r="A23" s="30">
        <v>192</v>
      </c>
      <c r="B23" s="30" t="s">
        <v>5</v>
      </c>
      <c r="C23" s="31">
        <v>43893</v>
      </c>
      <c r="D23" s="33">
        <v>500</v>
      </c>
      <c r="E23" s="32">
        <v>13.28</v>
      </c>
      <c r="F23" s="32">
        <v>6640</v>
      </c>
      <c r="G23" s="32">
        <v>6650.06</v>
      </c>
      <c r="H23" s="30">
        <v>1</v>
      </c>
      <c r="I23" s="32">
        <v>10.06</v>
      </c>
      <c r="J23" s="34">
        <f t="shared" si="0"/>
        <v>1467</v>
      </c>
      <c r="K23" s="34">
        <f>D23</f>
        <v>500</v>
      </c>
      <c r="L23" s="34">
        <f t="shared" ref="L23:L25" si="1">K23</f>
        <v>500</v>
      </c>
      <c r="M23" s="5"/>
    </row>
    <row r="24" spans="1:15" x14ac:dyDescent="0.35">
      <c r="A24" s="30">
        <v>193</v>
      </c>
      <c r="B24" s="30" t="s">
        <v>5</v>
      </c>
      <c r="C24" s="31">
        <v>43893</v>
      </c>
      <c r="D24" s="33">
        <v>433</v>
      </c>
      <c r="E24" s="32">
        <v>13.29</v>
      </c>
      <c r="F24" s="32">
        <v>5754.57</v>
      </c>
      <c r="G24" s="32">
        <v>5762.63</v>
      </c>
      <c r="H24" s="30">
        <v>1</v>
      </c>
      <c r="I24" s="32">
        <v>8.06</v>
      </c>
      <c r="J24" s="34">
        <f t="shared" si="0"/>
        <v>1900</v>
      </c>
      <c r="K24" s="34">
        <f>D24</f>
        <v>433</v>
      </c>
      <c r="L24" s="34">
        <f t="shared" si="1"/>
        <v>433</v>
      </c>
      <c r="M24" s="5"/>
    </row>
    <row r="25" spans="1:15" x14ac:dyDescent="0.35">
      <c r="A25" s="30">
        <v>195</v>
      </c>
      <c r="B25" s="30" t="s">
        <v>31</v>
      </c>
      <c r="C25" s="31">
        <v>44362</v>
      </c>
      <c r="D25" s="33">
        <v>0</v>
      </c>
      <c r="E25" s="32">
        <v>467.17</v>
      </c>
      <c r="F25" s="32">
        <v>467.17</v>
      </c>
      <c r="G25" s="32">
        <v>467.17</v>
      </c>
      <c r="H25" s="30">
        <v>1</v>
      </c>
      <c r="I25" s="32">
        <v>0</v>
      </c>
      <c r="J25" s="34">
        <f t="shared" si="0"/>
        <v>1900</v>
      </c>
      <c r="K25" s="34">
        <f>D25</f>
        <v>0</v>
      </c>
      <c r="L25" s="34">
        <f t="shared" si="1"/>
        <v>0</v>
      </c>
      <c r="M25" s="5"/>
    </row>
    <row r="26" spans="1:15" x14ac:dyDescent="0.35">
      <c r="A26" s="30">
        <v>206</v>
      </c>
      <c r="B26" s="30" t="s">
        <v>6</v>
      </c>
      <c r="C26" s="31">
        <v>44559</v>
      </c>
      <c r="D26" s="30">
        <v>54</v>
      </c>
      <c r="E26" s="32">
        <v>28.6</v>
      </c>
      <c r="F26" s="32">
        <v>1544.4</v>
      </c>
      <c r="G26" s="32">
        <v>1543.79</v>
      </c>
      <c r="H26" s="30">
        <v>1</v>
      </c>
      <c r="I26" s="32">
        <v>0.61</v>
      </c>
      <c r="J26" s="34">
        <f t="shared" ref="J26:J27" si="2">J25-D26</f>
        <v>1846</v>
      </c>
      <c r="M26" s="5"/>
    </row>
    <row r="27" spans="1:15" x14ac:dyDescent="0.35">
      <c r="A27" s="30">
        <v>207</v>
      </c>
      <c r="B27" s="30" t="s">
        <v>6</v>
      </c>
      <c r="C27" s="31">
        <v>44559</v>
      </c>
      <c r="D27" s="30">
        <v>846</v>
      </c>
      <c r="E27" s="32">
        <v>28.6</v>
      </c>
      <c r="F27" s="32">
        <v>24195.599999999999</v>
      </c>
      <c r="G27" s="32">
        <v>24186.04</v>
      </c>
      <c r="H27" s="30">
        <v>1</v>
      </c>
      <c r="I27" s="32">
        <v>9.56</v>
      </c>
      <c r="J27" s="34">
        <f t="shared" si="2"/>
        <v>1000</v>
      </c>
      <c r="M27" s="5"/>
    </row>
    <row r="28" spans="1:15" x14ac:dyDescent="0.35">
      <c r="K28" s="41">
        <f>SUM(K20:K25)</f>
        <v>1900</v>
      </c>
      <c r="L28" s="41">
        <f>SUM(L20:L25)</f>
        <v>1000</v>
      </c>
    </row>
    <row r="29" spans="1:15" x14ac:dyDescent="0.35">
      <c r="K29" s="41"/>
      <c r="L29" s="41" t="s">
        <v>58</v>
      </c>
      <c r="M29" s="29">
        <f>G2+G4+G6+G8+G11+G13+G15+G18+G19+G20+(D22-L22)*E22</f>
        <v>209510.37</v>
      </c>
    </row>
    <row r="30" spans="1:15" x14ac:dyDescent="0.35">
      <c r="K30" s="41"/>
      <c r="L30" s="41" t="s">
        <v>57</v>
      </c>
      <c r="M30" s="29">
        <f>G27+G26+G21+G17+G14+G12+G9+G7+G5+G3</f>
        <v>215482.96999999997</v>
      </c>
    </row>
    <row r="31" spans="1:15" x14ac:dyDescent="0.35">
      <c r="E31" s="40"/>
      <c r="F31" s="40"/>
      <c r="G31" s="40"/>
      <c r="L31" s="41" t="s">
        <v>18</v>
      </c>
      <c r="M31" s="29">
        <f>+M30-M29</f>
        <v>5972.5999999999767</v>
      </c>
      <c r="N31" s="5">
        <v>5963.64</v>
      </c>
      <c r="O31" s="5">
        <f>+M31-N31</f>
        <v>8.9599999999763895</v>
      </c>
    </row>
    <row r="32" spans="1:15" x14ac:dyDescent="0.35">
      <c r="E32" s="40"/>
      <c r="F32" s="40"/>
      <c r="G32" s="40"/>
    </row>
    <row r="33" spans="1:18" x14ac:dyDescent="0.35">
      <c r="E33" s="40"/>
      <c r="F33" s="40"/>
      <c r="G33" s="40"/>
      <c r="J33" s="1" t="s">
        <v>5</v>
      </c>
      <c r="K33" s="1" t="s">
        <v>6</v>
      </c>
      <c r="L33" s="1" t="s">
        <v>18</v>
      </c>
      <c r="M33" s="1"/>
    </row>
    <row r="34" spans="1:18" x14ac:dyDescent="0.35">
      <c r="A34" s="30">
        <v>166</v>
      </c>
      <c r="B34" s="30" t="s">
        <v>5</v>
      </c>
      <c r="C34" s="31">
        <v>43389</v>
      </c>
      <c r="D34" s="33">
        <v>1600</v>
      </c>
      <c r="E34" s="32">
        <v>24.388000000000002</v>
      </c>
      <c r="F34" s="32">
        <v>39020.800000000003</v>
      </c>
      <c r="G34" s="32">
        <v>39049.31</v>
      </c>
      <c r="H34" s="30">
        <v>1</v>
      </c>
      <c r="I34" s="32">
        <v>28.51</v>
      </c>
      <c r="J34" s="34"/>
    </row>
    <row r="35" spans="1:18" x14ac:dyDescent="0.35">
      <c r="A35" s="30">
        <v>169</v>
      </c>
      <c r="B35" s="30" t="s">
        <v>6</v>
      </c>
      <c r="C35" s="31">
        <v>43458</v>
      </c>
      <c r="D35" s="33">
        <v>648</v>
      </c>
      <c r="E35" s="32">
        <v>18.260000000000002</v>
      </c>
      <c r="F35" s="32">
        <v>11832.48</v>
      </c>
      <c r="G35" s="32">
        <v>11822.42</v>
      </c>
      <c r="H35" s="30">
        <v>1</v>
      </c>
      <c r="I35" s="32">
        <v>10.06</v>
      </c>
      <c r="J35" s="32">
        <f>G$34/D$34*D35</f>
        <v>15814.970549999998</v>
      </c>
      <c r="L35" s="5">
        <f>+G35-J35</f>
        <v>-3992.5505499999981</v>
      </c>
      <c r="M35" s="5"/>
      <c r="N35" s="5">
        <v>-3992.5505499999899</v>
      </c>
    </row>
    <row r="36" spans="1:18" x14ac:dyDescent="0.35">
      <c r="A36" s="30">
        <v>177</v>
      </c>
      <c r="B36" s="30" t="s">
        <v>6</v>
      </c>
      <c r="C36" s="31">
        <v>43797</v>
      </c>
      <c r="D36" s="33">
        <f>+D34-D35</f>
        <v>952</v>
      </c>
      <c r="E36" s="32">
        <v>15.624000000000001</v>
      </c>
      <c r="F36" s="32">
        <f>D36*E36</f>
        <v>14874.048000000001</v>
      </c>
      <c r="G36" s="32">
        <f>F36-I36</f>
        <v>14866.39854313099</v>
      </c>
      <c r="H36" s="30">
        <v>1</v>
      </c>
      <c r="I36" s="32">
        <f>10.06/D17*D36</f>
        <v>7.6494568690095841</v>
      </c>
      <c r="J36" s="32">
        <f>G$34/D$34*D36</f>
        <v>23234.339449999999</v>
      </c>
      <c r="L36" s="5">
        <f>+G36-J36</f>
        <v>-8367.9409068690093</v>
      </c>
      <c r="M36" s="5"/>
      <c r="N36" s="5">
        <v>-8367.9409068690093</v>
      </c>
    </row>
    <row r="37" spans="1:18" x14ac:dyDescent="0.35">
      <c r="G37" s="5"/>
      <c r="L37" s="29">
        <f>SUM(L35:L36)</f>
        <v>-12360.491456869007</v>
      </c>
      <c r="M37" s="29"/>
      <c r="N37" s="29">
        <f>SUM(N35:N36)</f>
        <v>-12360.491456869</v>
      </c>
    </row>
    <row r="39" spans="1:18" x14ac:dyDescent="0.35">
      <c r="L39" s="1" t="s">
        <v>7</v>
      </c>
      <c r="P39" s="1" t="s">
        <v>76</v>
      </c>
      <c r="Q39" s="1" t="s">
        <v>75</v>
      </c>
    </row>
    <row r="40" spans="1:18" x14ac:dyDescent="0.35">
      <c r="A40" s="30">
        <v>191</v>
      </c>
      <c r="B40" s="30" t="s">
        <v>5</v>
      </c>
      <c r="C40" s="31">
        <v>43802</v>
      </c>
      <c r="D40" s="33">
        <v>660</v>
      </c>
      <c r="E40" s="32">
        <v>15.31</v>
      </c>
      <c r="F40" s="32">
        <v>10104.6</v>
      </c>
      <c r="G40" s="32">
        <v>10114.77</v>
      </c>
      <c r="H40" s="30">
        <v>1</v>
      </c>
      <c r="I40" s="32">
        <v>10.17</v>
      </c>
      <c r="J40" s="34">
        <f>D40</f>
        <v>660</v>
      </c>
      <c r="K40" s="34">
        <v>400</v>
      </c>
      <c r="L40" s="5">
        <f>-K40*E40</f>
        <v>-6124</v>
      </c>
      <c r="M40" s="53">
        <f>J40-K40</f>
        <v>260</v>
      </c>
      <c r="N40" s="54">
        <f>D43</f>
        <v>54</v>
      </c>
      <c r="O40" s="55">
        <f>D40-M40-N40</f>
        <v>346</v>
      </c>
      <c r="P40" s="29">
        <f>M40*E41+N40*E43+O40*E44-F40</f>
        <v>5654.52</v>
      </c>
      <c r="Q40" s="29">
        <v>5636.4</v>
      </c>
    </row>
    <row r="41" spans="1:18" x14ac:dyDescent="0.35">
      <c r="A41" s="52">
        <v>179</v>
      </c>
      <c r="B41" s="30" t="s">
        <v>6</v>
      </c>
      <c r="C41" s="31">
        <v>43872</v>
      </c>
      <c r="D41" s="33">
        <v>1252</v>
      </c>
      <c r="E41" s="32">
        <v>16.611999999999998</v>
      </c>
      <c r="F41" s="32">
        <v>20798.22</v>
      </c>
      <c r="G41" s="32">
        <v>20781.68</v>
      </c>
      <c r="H41" s="30">
        <v>1</v>
      </c>
      <c r="I41" s="32">
        <v>16.54</v>
      </c>
      <c r="J41" s="34">
        <f>J40-D41</f>
        <v>-592</v>
      </c>
      <c r="K41" s="34"/>
      <c r="L41" s="34"/>
    </row>
    <row r="42" spans="1:18" x14ac:dyDescent="0.35">
      <c r="A42" s="30">
        <v>182</v>
      </c>
      <c r="B42" s="30" t="s">
        <v>5</v>
      </c>
      <c r="C42" s="31">
        <v>43893</v>
      </c>
      <c r="D42" s="33">
        <v>567</v>
      </c>
      <c r="E42" s="32">
        <v>13.28</v>
      </c>
      <c r="F42" s="32">
        <v>7529.76</v>
      </c>
      <c r="G42" s="32">
        <v>7539.93</v>
      </c>
      <c r="H42" s="30">
        <v>1</v>
      </c>
      <c r="I42" s="32">
        <v>10.17</v>
      </c>
      <c r="J42" s="34">
        <f>J40+D42</f>
        <v>1227</v>
      </c>
      <c r="K42" s="34">
        <f>D43+D44-K40</f>
        <v>500</v>
      </c>
      <c r="L42" s="5">
        <f>-K42*E42</f>
        <v>-6640</v>
      </c>
      <c r="M42" s="5"/>
      <c r="O42" s="55">
        <f>D44-O40</f>
        <v>500</v>
      </c>
      <c r="P42" s="29">
        <f>O42*E44+L42</f>
        <v>7660</v>
      </c>
      <c r="Q42" s="29">
        <v>7645.38</v>
      </c>
    </row>
    <row r="43" spans="1:18" x14ac:dyDescent="0.35">
      <c r="A43" s="43">
        <v>206</v>
      </c>
      <c r="B43" s="30" t="s">
        <v>6</v>
      </c>
      <c r="C43" s="31">
        <v>44559</v>
      </c>
      <c r="D43" s="30">
        <v>54</v>
      </c>
      <c r="E43" s="32">
        <v>28.6</v>
      </c>
      <c r="F43" s="32">
        <v>1544.4</v>
      </c>
      <c r="G43" s="32">
        <v>1543.79</v>
      </c>
      <c r="H43" s="30">
        <v>1</v>
      </c>
      <c r="I43" s="32">
        <v>0.61</v>
      </c>
      <c r="J43" s="34">
        <f>J42-D43</f>
        <v>1173</v>
      </c>
      <c r="L43" s="5">
        <f>G43</f>
        <v>1543.79</v>
      </c>
      <c r="M43" s="5"/>
      <c r="P43" s="5">
        <f>SUM(P40:P42)</f>
        <v>13314.52</v>
      </c>
      <c r="Q43" s="5">
        <f>SUM(Q40:Q42)</f>
        <v>13281.779999999999</v>
      </c>
      <c r="R43" s="32">
        <v>467.17</v>
      </c>
    </row>
    <row r="44" spans="1:18" x14ac:dyDescent="0.35">
      <c r="A44" s="44">
        <v>207</v>
      </c>
      <c r="B44" s="30" t="s">
        <v>6</v>
      </c>
      <c r="C44" s="31">
        <v>44559</v>
      </c>
      <c r="D44" s="30">
        <v>846</v>
      </c>
      <c r="E44" s="32">
        <v>28.6</v>
      </c>
      <c r="F44" s="32">
        <v>24195.599999999999</v>
      </c>
      <c r="G44" s="32">
        <v>24186.04</v>
      </c>
      <c r="H44" s="30">
        <v>1</v>
      </c>
      <c r="I44" s="32">
        <v>9.56</v>
      </c>
      <c r="J44" s="34">
        <f>J43-D44</f>
        <v>327</v>
      </c>
      <c r="L44" s="5">
        <f>G44</f>
        <v>24186.04</v>
      </c>
      <c r="M44" s="5"/>
      <c r="Q44" s="5">
        <f>+P43-Q43</f>
        <v>32.740000000001601</v>
      </c>
    </row>
    <row r="45" spans="1:18" x14ac:dyDescent="0.35">
      <c r="I45" s="5"/>
      <c r="P45" s="6"/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5C9F5-04DD-4DF6-B6C4-239116C295E5}">
  <dimension ref="A1:I100"/>
  <sheetViews>
    <sheetView zoomScale="130" zoomScaleNormal="130" workbookViewId="0">
      <selection activeCell="A7" sqref="A7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9" x14ac:dyDescent="0.35">
      <c r="A1" s="1"/>
      <c r="D1" s="2" t="s">
        <v>2</v>
      </c>
      <c r="E1" s="2" t="s">
        <v>3</v>
      </c>
      <c r="F1" s="2" t="s">
        <v>10</v>
      </c>
      <c r="G1">
        <v>206</v>
      </c>
      <c r="H1">
        <v>207</v>
      </c>
      <c r="I1">
        <v>208</v>
      </c>
    </row>
    <row r="2" spans="1:9" x14ac:dyDescent="0.35">
      <c r="A2" s="1" t="s">
        <v>9</v>
      </c>
    </row>
    <row r="3" spans="1:9" x14ac:dyDescent="0.35">
      <c r="A3">
        <v>197</v>
      </c>
      <c r="B3" t="s">
        <v>8</v>
      </c>
      <c r="C3" s="4">
        <v>44473</v>
      </c>
      <c r="D3">
        <v>24.54</v>
      </c>
      <c r="E3" s="5">
        <v>435.1019</v>
      </c>
      <c r="F3" s="5">
        <v>10677.4</v>
      </c>
      <c r="G3">
        <f>D3-D6</f>
        <v>14.54</v>
      </c>
      <c r="H3">
        <v>0</v>
      </c>
      <c r="I3">
        <v>0</v>
      </c>
    </row>
    <row r="4" spans="1:9" x14ac:dyDescent="0.35">
      <c r="A4">
        <v>203</v>
      </c>
      <c r="B4" t="s">
        <v>8</v>
      </c>
      <c r="C4" s="4">
        <v>44496</v>
      </c>
      <c r="D4">
        <v>34.723999999999997</v>
      </c>
      <c r="E4" s="5">
        <v>434.9468</v>
      </c>
      <c r="F4" s="5">
        <v>15103.09</v>
      </c>
      <c r="G4">
        <f>D4</f>
        <v>34.723999999999997</v>
      </c>
      <c r="H4">
        <f>G4+G3-D7</f>
        <v>29.263999999999996</v>
      </c>
      <c r="I4">
        <v>0</v>
      </c>
    </row>
    <row r="5" spans="1:9" x14ac:dyDescent="0.35">
      <c r="A5">
        <v>205</v>
      </c>
      <c r="B5" t="s">
        <v>8</v>
      </c>
      <c r="C5" s="4">
        <v>44524</v>
      </c>
      <c r="D5">
        <v>46.265999999999998</v>
      </c>
      <c r="E5" s="5">
        <v>434.7577</v>
      </c>
      <c r="F5" s="5">
        <v>20114.5</v>
      </c>
      <c r="G5">
        <f>D5</f>
        <v>46.265999999999998</v>
      </c>
      <c r="H5">
        <f>D5</f>
        <v>46.265999999999998</v>
      </c>
      <c r="I5">
        <f>+H4+H5-D8</f>
        <v>35.53</v>
      </c>
    </row>
    <row r="6" spans="1:9" x14ac:dyDescent="0.35">
      <c r="A6">
        <v>206</v>
      </c>
      <c r="B6" t="s">
        <v>6</v>
      </c>
      <c r="C6" s="4">
        <v>44559</v>
      </c>
      <c r="D6">
        <v>10</v>
      </c>
      <c r="E6" s="5">
        <v>500</v>
      </c>
      <c r="F6" s="5">
        <v>5000</v>
      </c>
    </row>
    <row r="7" spans="1:9" x14ac:dyDescent="0.35">
      <c r="A7">
        <v>207</v>
      </c>
      <c r="B7" t="s">
        <v>6</v>
      </c>
      <c r="C7" s="4">
        <v>44559</v>
      </c>
      <c r="D7">
        <v>20</v>
      </c>
      <c r="E7" s="5">
        <v>400</v>
      </c>
      <c r="F7" s="5">
        <v>8000</v>
      </c>
    </row>
    <row r="8" spans="1:9" x14ac:dyDescent="0.35">
      <c r="A8">
        <v>208</v>
      </c>
      <c r="B8" t="s">
        <v>6</v>
      </c>
      <c r="C8" s="4">
        <v>44559</v>
      </c>
      <c r="D8">
        <v>40</v>
      </c>
      <c r="E8" s="5">
        <v>440</v>
      </c>
      <c r="F8" s="5">
        <v>17600</v>
      </c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68C22-9B46-4722-8C3E-CFEEA15AC7BA}">
  <dimension ref="A1:J42"/>
  <sheetViews>
    <sheetView topLeftCell="A4" zoomScale="130" zoomScaleNormal="130" workbookViewId="0">
      <selection activeCell="D14" sqref="D14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10" x14ac:dyDescent="0.35">
      <c r="A1" s="1" t="s">
        <v>11</v>
      </c>
      <c r="D1" s="2" t="s">
        <v>2</v>
      </c>
      <c r="E1" s="2" t="s">
        <v>3</v>
      </c>
      <c r="F1" s="2" t="s">
        <v>10</v>
      </c>
      <c r="G1" s="12">
        <v>198</v>
      </c>
      <c r="H1" s="14">
        <v>200</v>
      </c>
    </row>
    <row r="2" spans="1:10" x14ac:dyDescent="0.35">
      <c r="A2">
        <v>173</v>
      </c>
      <c r="B2" t="s">
        <v>8</v>
      </c>
      <c r="C2" s="4">
        <v>43525</v>
      </c>
      <c r="D2" s="6">
        <v>1778.69</v>
      </c>
      <c r="E2" s="5">
        <v>17.05</v>
      </c>
      <c r="F2" s="5">
        <v>30326.66</v>
      </c>
      <c r="G2" s="6">
        <f>D2-D3</f>
        <v>1491.66</v>
      </c>
      <c r="H2" s="6">
        <f>G2-D4</f>
        <v>1204.6300000000001</v>
      </c>
    </row>
    <row r="3" spans="1:10" x14ac:dyDescent="0.35">
      <c r="A3" s="3">
        <v>198</v>
      </c>
      <c r="B3" t="s">
        <v>12</v>
      </c>
      <c r="C3" s="4">
        <v>44470</v>
      </c>
      <c r="D3">
        <v>287.02999999999997</v>
      </c>
      <c r="E3" s="5">
        <v>34.770000000000003</v>
      </c>
      <c r="F3" s="5">
        <v>9980.0300000000007</v>
      </c>
    </row>
    <row r="4" spans="1:10" x14ac:dyDescent="0.35">
      <c r="A4" s="13">
        <v>200</v>
      </c>
      <c r="B4" t="s">
        <v>12</v>
      </c>
      <c r="C4" s="4">
        <v>44473</v>
      </c>
      <c r="D4">
        <v>287.02999999999997</v>
      </c>
      <c r="E4" s="5">
        <v>34.270000000000003</v>
      </c>
      <c r="F4" s="5">
        <v>9836.52</v>
      </c>
    </row>
    <row r="5" spans="1:10" x14ac:dyDescent="0.35">
      <c r="C5" s="4"/>
      <c r="E5" s="5"/>
      <c r="F5" s="5"/>
    </row>
    <row r="6" spans="1:10" x14ac:dyDescent="0.35">
      <c r="A6" s="2" t="s">
        <v>0</v>
      </c>
      <c r="B6" s="2"/>
      <c r="C6" s="2" t="s">
        <v>13</v>
      </c>
      <c r="D6" s="2"/>
      <c r="E6" s="2"/>
      <c r="F6" s="2"/>
      <c r="G6" s="2" t="s">
        <v>2</v>
      </c>
      <c r="H6" s="2" t="s">
        <v>3</v>
      </c>
      <c r="J6" s="1"/>
    </row>
    <row r="7" spans="1:10" x14ac:dyDescent="0.35">
      <c r="A7">
        <v>173</v>
      </c>
      <c r="B7">
        <v>1</v>
      </c>
      <c r="C7">
        <v>27</v>
      </c>
      <c r="D7">
        <v>0</v>
      </c>
      <c r="E7">
        <v>172</v>
      </c>
      <c r="F7" s="4">
        <v>43525</v>
      </c>
      <c r="G7">
        <v>1778.69</v>
      </c>
      <c r="H7" s="7">
        <v>17.05</v>
      </c>
      <c r="J7" s="9"/>
    </row>
    <row r="8" spans="1:10" ht="15" thickBot="1" x14ac:dyDescent="0.4">
      <c r="G8" s="1" t="s">
        <v>16</v>
      </c>
      <c r="H8" s="11">
        <v>37.79</v>
      </c>
    </row>
    <row r="9" spans="1:10" ht="29" x14ac:dyDescent="0.35">
      <c r="A9" s="10" t="s">
        <v>23</v>
      </c>
      <c r="B9" s="10" t="s">
        <v>1</v>
      </c>
      <c r="C9" s="10" t="s">
        <v>22</v>
      </c>
      <c r="D9" s="10" t="s">
        <v>2</v>
      </c>
      <c r="E9" s="10" t="s">
        <v>21</v>
      </c>
      <c r="F9" s="10" t="s">
        <v>20</v>
      </c>
      <c r="G9" s="10" t="s">
        <v>19</v>
      </c>
      <c r="H9" s="17" t="s">
        <v>14</v>
      </c>
      <c r="I9" s="18" t="s">
        <v>15</v>
      </c>
    </row>
    <row r="10" spans="1:10" x14ac:dyDescent="0.35">
      <c r="A10" s="4">
        <v>36841</v>
      </c>
      <c r="B10">
        <v>15</v>
      </c>
      <c r="C10" s="8">
        <v>22.9920399034783</v>
      </c>
      <c r="D10">
        <v>544.95190000000002</v>
      </c>
      <c r="E10" s="8">
        <v>679.64</v>
      </c>
      <c r="F10" s="8">
        <v>0</v>
      </c>
      <c r="G10" s="8">
        <f>E10*F10/D10</f>
        <v>0</v>
      </c>
      <c r="H10" s="19">
        <f>F10*H$7</f>
        <v>0</v>
      </c>
      <c r="I10" s="20">
        <f>G10*C10</f>
        <v>0</v>
      </c>
    </row>
    <row r="11" spans="1:10" x14ac:dyDescent="0.35">
      <c r="A11" s="4">
        <v>41166</v>
      </c>
      <c r="B11">
        <v>16</v>
      </c>
      <c r="C11" s="8">
        <v>18.259999998612201</v>
      </c>
      <c r="D11">
        <v>1065.5911000000001</v>
      </c>
      <c r="E11" s="8">
        <v>547.64509999999996</v>
      </c>
      <c r="F11" s="8">
        <f>D11-29.11</f>
        <v>1036.4811000000002</v>
      </c>
      <c r="G11" s="8">
        <f>E11*F11/D11</f>
        <v>532.68443745223658</v>
      </c>
      <c r="H11" s="19">
        <f t="shared" ref="H11:H12" si="0">F11*H$7</f>
        <v>17672.002755000005</v>
      </c>
      <c r="I11" s="20">
        <f>G11*C11</f>
        <v>9726.8178271385805</v>
      </c>
    </row>
    <row r="12" spans="1:10" x14ac:dyDescent="0.35">
      <c r="A12" s="4">
        <v>41377</v>
      </c>
      <c r="B12">
        <v>17</v>
      </c>
      <c r="C12" s="8">
        <v>19.7899983277443</v>
      </c>
      <c r="D12">
        <v>168.14699999999999</v>
      </c>
      <c r="E12" s="8">
        <v>86.4482</v>
      </c>
      <c r="F12" s="8">
        <v>168.14699999999999</v>
      </c>
      <c r="G12" s="8">
        <f>E12*F12/D12</f>
        <v>86.4482</v>
      </c>
      <c r="H12" s="19">
        <f t="shared" si="0"/>
        <v>2866.9063499999997</v>
      </c>
      <c r="I12" s="20">
        <f>G12*C12</f>
        <v>1710.8097334365048</v>
      </c>
    </row>
    <row r="13" spans="1:10" x14ac:dyDescent="0.35">
      <c r="D13">
        <f>SUM(D10:D12)</f>
        <v>1778.69</v>
      </c>
      <c r="F13" s="8">
        <f>SUM(F10:F12)</f>
        <v>1204.6281000000001</v>
      </c>
      <c r="G13" s="1" t="s">
        <v>7</v>
      </c>
      <c r="H13" s="21">
        <f>SUM(H10:H12)</f>
        <v>20538.909105000006</v>
      </c>
      <c r="I13" s="25">
        <f>SUM(I10:I12)</f>
        <v>11437.627560575085</v>
      </c>
    </row>
    <row r="14" spans="1:10" x14ac:dyDescent="0.35">
      <c r="E14" s="6"/>
      <c r="G14" s="1" t="s">
        <v>17</v>
      </c>
      <c r="H14" s="21">
        <f>H8*H2</f>
        <v>45522.967700000001</v>
      </c>
      <c r="I14" s="22"/>
    </row>
    <row r="15" spans="1:10" ht="15" thickBot="1" x14ac:dyDescent="0.4">
      <c r="B15" s="8"/>
      <c r="G15" s="1" t="s">
        <v>18</v>
      </c>
      <c r="H15" s="23">
        <f>+H14-H13</f>
        <v>24984.058594999995</v>
      </c>
      <c r="I15" s="24">
        <f>H14-I13</f>
        <v>34085.340139424916</v>
      </c>
    </row>
    <row r="17" spans="2:8" x14ac:dyDescent="0.35">
      <c r="H17" s="7"/>
    </row>
    <row r="18" spans="2:8" x14ac:dyDescent="0.35">
      <c r="B18" t="s">
        <v>0</v>
      </c>
      <c r="C18" t="s">
        <v>26</v>
      </c>
      <c r="D18" t="s">
        <v>27</v>
      </c>
      <c r="E18" t="s">
        <v>28</v>
      </c>
      <c r="F18" t="s">
        <v>18</v>
      </c>
      <c r="G18" s="7"/>
    </row>
    <row r="19" spans="2:8" x14ac:dyDescent="0.35">
      <c r="B19">
        <v>108</v>
      </c>
      <c r="C19" s="4">
        <v>42387</v>
      </c>
      <c r="D19" s="5">
        <v>1860.4649999999999</v>
      </c>
      <c r="E19" s="5">
        <v>20.72</v>
      </c>
      <c r="F19" s="5">
        <v>20.72</v>
      </c>
      <c r="G19" s="7"/>
    </row>
    <row r="20" spans="2:8" x14ac:dyDescent="0.35">
      <c r="B20">
        <v>171</v>
      </c>
      <c r="C20" s="4">
        <v>43516</v>
      </c>
      <c r="D20" s="5">
        <v>1895.242</v>
      </c>
      <c r="E20" s="5">
        <v>308.07</v>
      </c>
      <c r="F20" s="5">
        <v>1.77</v>
      </c>
      <c r="G20" s="11"/>
    </row>
    <row r="21" spans="2:8" x14ac:dyDescent="0.35">
      <c r="B21">
        <v>201</v>
      </c>
      <c r="C21" s="4">
        <v>44477</v>
      </c>
      <c r="D21" s="5">
        <v>1904.162</v>
      </c>
      <c r="E21" s="5">
        <v>2140.9699999999998</v>
      </c>
      <c r="F21" s="5">
        <v>-26.57</v>
      </c>
      <c r="G21" s="7">
        <f>SUM(E19:E21)</f>
        <v>2469.7599999999998</v>
      </c>
      <c r="H21" s="5">
        <f>SUM(F19:F21)</f>
        <v>-4.0800000000000018</v>
      </c>
    </row>
    <row r="22" spans="2:8" x14ac:dyDescent="0.35">
      <c r="B22" t="s">
        <v>0</v>
      </c>
      <c r="C22" t="s">
        <v>26</v>
      </c>
      <c r="D22" t="s">
        <v>27</v>
      </c>
      <c r="E22" t="s">
        <v>28</v>
      </c>
      <c r="F22" t="s">
        <v>18</v>
      </c>
      <c r="G22" s="7"/>
    </row>
    <row r="23" spans="2:8" x14ac:dyDescent="0.35">
      <c r="B23">
        <v>199</v>
      </c>
      <c r="C23" s="4">
        <v>44476</v>
      </c>
      <c r="D23" s="5">
        <v>13.04</v>
      </c>
      <c r="E23" s="5">
        <v>1738.21</v>
      </c>
      <c r="F23" s="5">
        <v>-11.33</v>
      </c>
      <c r="G23" s="5">
        <f>+E23</f>
        <v>1738.21</v>
      </c>
      <c r="H23" s="5">
        <f>+F23</f>
        <v>-11.33</v>
      </c>
    </row>
    <row r="24" spans="2:8" x14ac:dyDescent="0.35">
      <c r="C24" s="4"/>
      <c r="D24" s="5"/>
      <c r="E24" s="29"/>
      <c r="F24" s="29"/>
      <c r="G24" s="29">
        <f t="shared" ref="G24" si="1">SUM(G19:G23)</f>
        <v>4207.9699999999993</v>
      </c>
      <c r="H24" s="29">
        <f>SUM(H19:H23)</f>
        <v>-15.410000000000002</v>
      </c>
    </row>
    <row r="25" spans="2:8" x14ac:dyDescent="0.35">
      <c r="C25" s="4"/>
      <c r="D25" s="5"/>
      <c r="E25" s="29"/>
      <c r="F25" t="s">
        <v>24</v>
      </c>
      <c r="G25" s="29">
        <v>4199.55</v>
      </c>
      <c r="H25" s="29">
        <v>-15.37</v>
      </c>
    </row>
    <row r="26" spans="2:8" x14ac:dyDescent="0.35">
      <c r="C26" s="4"/>
      <c r="D26" s="5"/>
      <c r="E26" s="29"/>
      <c r="F26" t="s">
        <v>25</v>
      </c>
      <c r="G26" s="5">
        <f>+G24-G25</f>
        <v>8.4199999999991633</v>
      </c>
      <c r="H26" s="5">
        <f>+H24-H25</f>
        <v>-4.00000000000027E-2</v>
      </c>
    </row>
    <row r="27" spans="2:8" x14ac:dyDescent="0.35">
      <c r="C27" s="4"/>
      <c r="D27" s="5"/>
      <c r="E27" s="5"/>
      <c r="F27" s="5"/>
    </row>
    <row r="28" spans="2:8" x14ac:dyDescent="0.35">
      <c r="B28" t="s">
        <v>0</v>
      </c>
      <c r="C28" t="s">
        <v>26</v>
      </c>
      <c r="D28" t="s">
        <v>27</v>
      </c>
      <c r="E28" t="s">
        <v>28</v>
      </c>
      <c r="F28" t="s">
        <v>18</v>
      </c>
    </row>
    <row r="29" spans="2:8" x14ac:dyDescent="0.35">
      <c r="B29">
        <v>26</v>
      </c>
      <c r="C29" s="4">
        <v>41439</v>
      </c>
      <c r="D29" s="5">
        <v>139.71</v>
      </c>
      <c r="E29" s="5">
        <v>0</v>
      </c>
      <c r="F29" s="5">
        <v>0</v>
      </c>
    </row>
    <row r="30" spans="2:8" x14ac:dyDescent="0.35">
      <c r="B30">
        <v>31</v>
      </c>
      <c r="C30" s="4">
        <v>41976</v>
      </c>
      <c r="D30" s="5">
        <v>168.57</v>
      </c>
      <c r="E30" s="5">
        <v>631.16</v>
      </c>
      <c r="F30" s="5">
        <v>566.08000000000004</v>
      </c>
      <c r="G30" s="5">
        <f>SUM(E29:E30)</f>
        <v>631.16</v>
      </c>
      <c r="H30" s="5">
        <f>SUM(F29:F30)</f>
        <v>566.08000000000004</v>
      </c>
    </row>
    <row r="31" spans="2:8" x14ac:dyDescent="0.35">
      <c r="B31" t="s">
        <v>0</v>
      </c>
      <c r="C31" t="s">
        <v>26</v>
      </c>
      <c r="D31" t="s">
        <v>27</v>
      </c>
      <c r="E31" t="s">
        <v>28</v>
      </c>
      <c r="F31" t="s">
        <v>18</v>
      </c>
    </row>
    <row r="32" spans="2:8" x14ac:dyDescent="0.35">
      <c r="B32">
        <v>197</v>
      </c>
      <c r="C32" s="4">
        <v>44473</v>
      </c>
      <c r="D32" s="5">
        <v>435.10199999999998</v>
      </c>
      <c r="E32" s="5">
        <v>6181.47</v>
      </c>
      <c r="F32" s="5">
        <v>-13.79</v>
      </c>
    </row>
    <row r="33" spans="2:8" x14ac:dyDescent="0.35">
      <c r="B33">
        <v>203</v>
      </c>
      <c r="C33" s="4">
        <v>44496</v>
      </c>
      <c r="D33" s="5">
        <v>434.947</v>
      </c>
      <c r="E33" s="5">
        <v>8577.75</v>
      </c>
      <c r="F33" s="5">
        <v>-14.13</v>
      </c>
    </row>
    <row r="34" spans="2:8" x14ac:dyDescent="0.35">
      <c r="B34">
        <v>205</v>
      </c>
      <c r="C34" s="4">
        <v>44524</v>
      </c>
      <c r="D34" s="5">
        <v>434.75799999999998</v>
      </c>
      <c r="E34" s="5">
        <v>12260.68</v>
      </c>
      <c r="F34" s="5">
        <v>-10.08</v>
      </c>
      <c r="G34" s="5">
        <f>SUM(E32:E34)</f>
        <v>27019.9</v>
      </c>
      <c r="H34" s="5">
        <f>SUM(F32:F34)</f>
        <v>-38</v>
      </c>
    </row>
    <row r="35" spans="2:8" x14ac:dyDescent="0.35">
      <c r="B35" t="s">
        <v>0</v>
      </c>
      <c r="C35" t="s">
        <v>26</v>
      </c>
      <c r="D35" t="s">
        <v>27</v>
      </c>
      <c r="E35" t="s">
        <v>28</v>
      </c>
      <c r="F35" t="s">
        <v>18</v>
      </c>
    </row>
    <row r="36" spans="2:8" x14ac:dyDescent="0.35">
      <c r="B36">
        <v>173</v>
      </c>
      <c r="C36" s="4">
        <v>43525</v>
      </c>
      <c r="D36" s="5">
        <v>17.05</v>
      </c>
      <c r="E36" s="5">
        <v>34085.32</v>
      </c>
      <c r="F36" s="5">
        <v>24984.03</v>
      </c>
      <c r="G36" s="5">
        <f>E36</f>
        <v>34085.32</v>
      </c>
      <c r="H36" s="5">
        <f>F36</f>
        <v>24984.03</v>
      </c>
    </row>
    <row r="37" spans="2:8" x14ac:dyDescent="0.35">
      <c r="B37" t="s">
        <v>0</v>
      </c>
      <c r="C37" t="s">
        <v>26</v>
      </c>
      <c r="D37" t="s">
        <v>27</v>
      </c>
      <c r="E37" t="s">
        <v>28</v>
      </c>
      <c r="F37" t="s">
        <v>18</v>
      </c>
    </row>
    <row r="38" spans="2:8" x14ac:dyDescent="0.35">
      <c r="B38">
        <v>101</v>
      </c>
      <c r="C38" s="4">
        <v>42279</v>
      </c>
      <c r="D38" s="5">
        <v>323.52999999999997</v>
      </c>
      <c r="E38" s="5">
        <v>8666.33</v>
      </c>
      <c r="F38" s="5">
        <v>6180.75</v>
      </c>
      <c r="G38" s="5">
        <f>E38</f>
        <v>8666.33</v>
      </c>
      <c r="H38" s="5">
        <f>F38</f>
        <v>6180.75</v>
      </c>
    </row>
    <row r="39" spans="2:8" x14ac:dyDescent="0.35">
      <c r="E39" s="29"/>
      <c r="G39" s="29">
        <f>SUM(G29:G38)</f>
        <v>70402.710000000006</v>
      </c>
      <c r="H39" s="29">
        <f>SUM(H29:H38)</f>
        <v>31692.86</v>
      </c>
    </row>
    <row r="40" spans="2:8" x14ac:dyDescent="0.35">
      <c r="F40" t="s">
        <v>24</v>
      </c>
      <c r="G40" s="29">
        <v>70786.7</v>
      </c>
      <c r="H40" s="29">
        <v>31693.15</v>
      </c>
    </row>
    <row r="41" spans="2:8" x14ac:dyDescent="0.35">
      <c r="F41" t="s">
        <v>25</v>
      </c>
      <c r="G41" s="5">
        <f>+G39-G40</f>
        <v>-383.98999999999069</v>
      </c>
      <c r="H41" s="5">
        <f>+H39-H40</f>
        <v>-0.29000000000087311</v>
      </c>
    </row>
    <row r="42" spans="2:8" x14ac:dyDescent="0.35">
      <c r="F42" t="s">
        <v>29</v>
      </c>
      <c r="G42" s="29">
        <f>+G24+G39</f>
        <v>74610.680000000008</v>
      </c>
      <c r="H42" s="29">
        <f>+H24+H39</f>
        <v>31677.45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274DA-F909-48E4-B094-8A2D400FEEEF}">
  <dimension ref="A1:I14"/>
  <sheetViews>
    <sheetView topLeftCell="A2" zoomScale="130" zoomScaleNormal="130" workbookViewId="0">
      <selection activeCell="C12" sqref="C12"/>
    </sheetView>
  </sheetViews>
  <sheetFormatPr defaultRowHeight="14.5" x14ac:dyDescent="0.35"/>
  <cols>
    <col min="1" max="1" width="10.7265625" bestFit="1" customWidth="1"/>
    <col min="2" max="2" width="9.90625" bestFit="1" customWidth="1"/>
    <col min="3" max="3" width="10.7265625" bestFit="1" customWidth="1"/>
    <col min="4" max="4" width="9.1796875" bestFit="1" customWidth="1"/>
    <col min="5" max="5" width="9.08984375" bestFit="1" customWidth="1"/>
    <col min="6" max="6" width="11.7265625" bestFit="1" customWidth="1"/>
    <col min="7" max="7" width="9.26953125" customWidth="1"/>
    <col min="8" max="8" width="12.26953125" customWidth="1"/>
    <col min="9" max="9" width="14.453125" customWidth="1"/>
  </cols>
  <sheetData>
    <row r="1" spans="1:9" x14ac:dyDescent="0.35">
      <c r="A1" s="1"/>
      <c r="D1" s="2" t="s">
        <v>2</v>
      </c>
      <c r="E1" s="2" t="s">
        <v>3</v>
      </c>
      <c r="F1" s="2" t="s">
        <v>10</v>
      </c>
    </row>
    <row r="2" spans="1:9" x14ac:dyDescent="0.35">
      <c r="A2">
        <v>199</v>
      </c>
      <c r="B2" t="s">
        <v>8</v>
      </c>
      <c r="C2" s="4">
        <v>44476</v>
      </c>
      <c r="D2">
        <v>765.3691</v>
      </c>
      <c r="E2" s="5">
        <v>13.0395</v>
      </c>
      <c r="F2" s="5">
        <v>9980.0300000000007</v>
      </c>
    </row>
    <row r="5" spans="1:9" x14ac:dyDescent="0.35">
      <c r="A5" s="2" t="s">
        <v>0</v>
      </c>
      <c r="B5" s="2"/>
      <c r="C5" s="2" t="s">
        <v>13</v>
      </c>
      <c r="D5" s="2"/>
      <c r="E5" s="2"/>
      <c r="F5" s="2"/>
      <c r="G5" s="2" t="s">
        <v>2</v>
      </c>
      <c r="H5" s="2" t="s">
        <v>3</v>
      </c>
    </row>
    <row r="6" spans="1:9" x14ac:dyDescent="0.35">
      <c r="A6">
        <v>199</v>
      </c>
      <c r="C6">
        <v>29</v>
      </c>
      <c r="F6" s="4">
        <v>44476.938761574071</v>
      </c>
      <c r="G6" s="15">
        <v>765.3691</v>
      </c>
      <c r="H6" s="16">
        <v>13.039503554559399</v>
      </c>
    </row>
    <row r="7" spans="1:9" x14ac:dyDescent="0.35">
      <c r="G7" s="1" t="s">
        <v>16</v>
      </c>
      <c r="H7" s="11">
        <v>13.024699999999999</v>
      </c>
    </row>
    <row r="8" spans="1:9" ht="15" thickBot="1" x14ac:dyDescent="0.4">
      <c r="G8" s="1"/>
      <c r="H8" s="11"/>
    </row>
    <row r="9" spans="1:9" ht="29" customHeight="1" x14ac:dyDescent="0.35">
      <c r="A9" s="10" t="s">
        <v>23</v>
      </c>
      <c r="B9" s="10" t="s">
        <v>1</v>
      </c>
      <c r="C9" s="10" t="s">
        <v>22</v>
      </c>
      <c r="D9" s="10" t="s">
        <v>2</v>
      </c>
      <c r="E9" s="10" t="s">
        <v>21</v>
      </c>
      <c r="F9" s="10" t="s">
        <v>20</v>
      </c>
      <c r="G9" s="10" t="s">
        <v>19</v>
      </c>
      <c r="H9" s="17" t="s">
        <v>14</v>
      </c>
      <c r="I9" s="18" t="s">
        <v>15</v>
      </c>
    </row>
    <row r="10" spans="1:9" x14ac:dyDescent="0.35">
      <c r="A10" s="4">
        <v>36841</v>
      </c>
      <c r="B10">
        <v>15</v>
      </c>
      <c r="C10" s="8">
        <v>22.9920399034783</v>
      </c>
      <c r="D10">
        <v>765.3691</v>
      </c>
      <c r="E10" s="8">
        <v>357.97120000000001</v>
      </c>
      <c r="F10">
        <f>D10</f>
        <v>765.3691</v>
      </c>
      <c r="G10">
        <f>E10</f>
        <v>357.97120000000001</v>
      </c>
      <c r="H10" s="19">
        <f>G6*H6</f>
        <v>9980.0330999999278</v>
      </c>
      <c r="I10" s="20">
        <f>G10*C10</f>
        <v>8230.4881146960124</v>
      </c>
    </row>
    <row r="11" spans="1:9" ht="15" thickBot="1" x14ac:dyDescent="0.4">
      <c r="G11" s="1" t="s">
        <v>17</v>
      </c>
      <c r="H11" s="21">
        <f>G6*H7</f>
        <v>9968.7029167700002</v>
      </c>
      <c r="I11" s="22"/>
    </row>
    <row r="12" spans="1:9" ht="15" thickBot="1" x14ac:dyDescent="0.4">
      <c r="G12" s="1" t="s">
        <v>18</v>
      </c>
      <c r="H12" s="27">
        <f>H11-H10</f>
        <v>-11.33018322992757</v>
      </c>
      <c r="I12" s="28">
        <f>+H11-I10</f>
        <v>1738.2148020739878</v>
      </c>
    </row>
    <row r="13" spans="1:9" x14ac:dyDescent="0.35">
      <c r="H13" s="1" t="s">
        <v>24</v>
      </c>
      <c r="I13" s="26">
        <v>1035.99</v>
      </c>
    </row>
    <row r="14" spans="1:9" x14ac:dyDescent="0.35">
      <c r="H14" s="1" t="s">
        <v>25</v>
      </c>
      <c r="I14" s="11">
        <f>+I12-I13</f>
        <v>702.2248020739878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F3808-9942-41FF-8964-468989940CAA}">
  <dimension ref="B1:J28"/>
  <sheetViews>
    <sheetView zoomScale="130" zoomScaleNormal="130" workbookViewId="0">
      <selection activeCell="H3" sqref="H3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2:10" x14ac:dyDescent="0.35">
      <c r="H1" s="7"/>
    </row>
    <row r="2" spans="2:10" x14ac:dyDescent="0.35">
      <c r="B2" t="s">
        <v>0</v>
      </c>
      <c r="C2" t="s">
        <v>26</v>
      </c>
      <c r="D2" t="s">
        <v>27</v>
      </c>
      <c r="E2" t="s">
        <v>28</v>
      </c>
      <c r="F2" t="s">
        <v>18</v>
      </c>
      <c r="G2" s="7"/>
    </row>
    <row r="3" spans="2:10" x14ac:dyDescent="0.35">
      <c r="B3">
        <v>108</v>
      </c>
      <c r="C3" s="4">
        <v>42387</v>
      </c>
      <c r="D3" s="5">
        <v>1860.4649999999999</v>
      </c>
      <c r="E3" s="5">
        <v>20.72</v>
      </c>
      <c r="F3" s="5">
        <v>20.72</v>
      </c>
      <c r="G3" s="7"/>
    </row>
    <row r="4" spans="2:10" x14ac:dyDescent="0.35">
      <c r="B4">
        <v>171</v>
      </c>
      <c r="C4" s="4">
        <v>43516</v>
      </c>
      <c r="D4" s="5">
        <v>1895.242</v>
      </c>
      <c r="E4" s="5">
        <v>308.07</v>
      </c>
      <c r="F4" s="5">
        <v>1.77</v>
      </c>
      <c r="G4" s="11"/>
    </row>
    <row r="5" spans="2:10" x14ac:dyDescent="0.35">
      <c r="B5">
        <v>201</v>
      </c>
      <c r="C5" s="4">
        <v>44477</v>
      </c>
      <c r="D5" s="5">
        <v>1904.162</v>
      </c>
      <c r="E5" s="5">
        <v>2140.9699999999998</v>
      </c>
      <c r="F5" s="5">
        <v>-26.57</v>
      </c>
      <c r="G5" s="7">
        <f>SUM(E3:E5)</f>
        <v>2469.7599999999998</v>
      </c>
      <c r="H5" s="5">
        <f>SUM(F3:F5)</f>
        <v>-4.0800000000000018</v>
      </c>
      <c r="I5" s="7">
        <v>3163.56</v>
      </c>
      <c r="J5" s="5">
        <v>-4.04</v>
      </c>
    </row>
    <row r="6" spans="2:10" x14ac:dyDescent="0.35">
      <c r="B6" t="s">
        <v>0</v>
      </c>
      <c r="C6" t="s">
        <v>26</v>
      </c>
      <c r="D6" t="s">
        <v>27</v>
      </c>
      <c r="E6" t="s">
        <v>28</v>
      </c>
      <c r="F6" t="s">
        <v>18</v>
      </c>
      <c r="G6" s="7"/>
    </row>
    <row r="7" spans="2:10" x14ac:dyDescent="0.35">
      <c r="B7">
        <v>199</v>
      </c>
      <c r="C7" s="4">
        <v>44476</v>
      </c>
      <c r="D7" s="5">
        <v>13.04</v>
      </c>
      <c r="E7" s="5">
        <v>1738.21</v>
      </c>
      <c r="F7" s="5">
        <v>-11.33</v>
      </c>
      <c r="G7" s="5">
        <f>+E7</f>
        <v>1738.21</v>
      </c>
      <c r="H7" s="5">
        <f>+F7</f>
        <v>-11.33</v>
      </c>
    </row>
    <row r="8" spans="2:10" x14ac:dyDescent="0.35">
      <c r="C8" s="4"/>
      <c r="D8" s="5"/>
      <c r="E8" s="29"/>
      <c r="F8" s="29"/>
      <c r="G8" s="29">
        <f t="shared" ref="G8" si="0">SUM(G3:G7)</f>
        <v>4207.9699999999993</v>
      </c>
      <c r="H8" s="29">
        <f>SUM(H3:H7)</f>
        <v>-15.410000000000002</v>
      </c>
    </row>
    <row r="9" spans="2:10" x14ac:dyDescent="0.35">
      <c r="C9" s="4"/>
      <c r="D9" s="5"/>
      <c r="E9" s="29"/>
      <c r="F9" t="s">
        <v>24</v>
      </c>
      <c r="G9" s="29">
        <v>4199.55</v>
      </c>
      <c r="H9" s="29">
        <v>-15.37</v>
      </c>
    </row>
    <row r="10" spans="2:10" x14ac:dyDescent="0.35">
      <c r="C10" s="4"/>
      <c r="D10" s="5"/>
      <c r="E10" s="29"/>
      <c r="F10" t="s">
        <v>25</v>
      </c>
      <c r="G10" s="29">
        <f>+G8-G9</f>
        <v>8.4199999999991633</v>
      </c>
      <c r="H10" s="29">
        <f>+H8-H9</f>
        <v>-4.00000000000027E-2</v>
      </c>
    </row>
    <row r="11" spans="2:10" x14ac:dyDescent="0.35">
      <c r="C11" s="4"/>
      <c r="D11" s="5"/>
      <c r="E11" s="5"/>
      <c r="F11" s="5"/>
    </row>
    <row r="12" spans="2:10" x14ac:dyDescent="0.35">
      <c r="B12" t="s">
        <v>0</v>
      </c>
      <c r="C12" t="s">
        <v>26</v>
      </c>
      <c r="D12" t="s">
        <v>27</v>
      </c>
      <c r="E12" t="s">
        <v>28</v>
      </c>
      <c r="F12" t="s">
        <v>18</v>
      </c>
    </row>
    <row r="13" spans="2:10" x14ac:dyDescent="0.35">
      <c r="B13">
        <v>26</v>
      </c>
      <c r="C13" s="4">
        <v>41439</v>
      </c>
      <c r="D13" s="5">
        <v>139.71</v>
      </c>
      <c r="E13" s="5">
        <v>0</v>
      </c>
      <c r="F13" s="5">
        <v>0</v>
      </c>
    </row>
    <row r="14" spans="2:10" x14ac:dyDescent="0.35">
      <c r="B14">
        <v>31</v>
      </c>
      <c r="C14" s="4">
        <v>41976</v>
      </c>
      <c r="D14" s="5">
        <v>168.57</v>
      </c>
      <c r="E14" s="5">
        <v>631.16</v>
      </c>
      <c r="F14" s="5">
        <v>566.08000000000004</v>
      </c>
      <c r="G14" s="5">
        <f>SUM(E13:E14)</f>
        <v>631.16</v>
      </c>
      <c r="H14" s="5">
        <f>SUM(F13:F14)</f>
        <v>566.08000000000004</v>
      </c>
    </row>
    <row r="15" spans="2:10" x14ac:dyDescent="0.35">
      <c r="B15" t="s">
        <v>0</v>
      </c>
      <c r="C15" t="s">
        <v>26</v>
      </c>
      <c r="D15" t="s">
        <v>27</v>
      </c>
      <c r="E15" t="s">
        <v>28</v>
      </c>
      <c r="F15" t="s">
        <v>18</v>
      </c>
    </row>
    <row r="16" spans="2:10" x14ac:dyDescent="0.35">
      <c r="B16">
        <v>197</v>
      </c>
      <c r="C16" s="4">
        <v>44473</v>
      </c>
      <c r="D16" s="5">
        <v>435.10199999999998</v>
      </c>
      <c r="E16" s="5">
        <v>6181.47</v>
      </c>
      <c r="F16" s="5">
        <v>-13.79</v>
      </c>
    </row>
    <row r="17" spans="2:8" x14ac:dyDescent="0.35">
      <c r="B17">
        <v>203</v>
      </c>
      <c r="C17" s="4">
        <v>44496</v>
      </c>
      <c r="D17" s="5">
        <v>434.947</v>
      </c>
      <c r="E17" s="5">
        <v>8577.75</v>
      </c>
      <c r="F17" s="5">
        <v>-14.13</v>
      </c>
    </row>
    <row r="18" spans="2:8" x14ac:dyDescent="0.35">
      <c r="B18">
        <v>205</v>
      </c>
      <c r="C18" s="4">
        <v>44524</v>
      </c>
      <c r="D18" s="5">
        <v>434.75799999999998</v>
      </c>
      <c r="E18" s="5">
        <v>12260.68</v>
      </c>
      <c r="F18" s="5">
        <v>-10.08</v>
      </c>
      <c r="G18" s="5">
        <f>SUM(E16:E18)</f>
        <v>27019.9</v>
      </c>
      <c r="H18" s="5">
        <f>SUM(F16:F18)</f>
        <v>-38</v>
      </c>
    </row>
    <row r="19" spans="2:8" x14ac:dyDescent="0.35">
      <c r="B19" t="s">
        <v>0</v>
      </c>
      <c r="C19" t="s">
        <v>26</v>
      </c>
      <c r="D19" t="s">
        <v>27</v>
      </c>
      <c r="E19" t="s">
        <v>28</v>
      </c>
      <c r="F19" t="s">
        <v>18</v>
      </c>
    </row>
    <row r="20" spans="2:8" x14ac:dyDescent="0.35">
      <c r="B20">
        <v>173</v>
      </c>
      <c r="C20" s="4">
        <v>43525</v>
      </c>
      <c r="D20" s="5">
        <v>17.05</v>
      </c>
      <c r="E20" s="5">
        <v>34085.32</v>
      </c>
      <c r="F20" s="5">
        <v>24984.03</v>
      </c>
      <c r="G20" s="5">
        <f>E20</f>
        <v>34085.32</v>
      </c>
      <c r="H20" s="5">
        <f>F20</f>
        <v>24984.03</v>
      </c>
    </row>
    <row r="21" spans="2:8" x14ac:dyDescent="0.35">
      <c r="B21" t="s">
        <v>0</v>
      </c>
      <c r="C21" t="s">
        <v>26</v>
      </c>
      <c r="D21" t="s">
        <v>27</v>
      </c>
      <c r="E21" t="s">
        <v>28</v>
      </c>
      <c r="F21" t="s">
        <v>18</v>
      </c>
    </row>
    <row r="22" spans="2:8" x14ac:dyDescent="0.35">
      <c r="B22">
        <v>101</v>
      </c>
      <c r="C22" s="4">
        <v>42279</v>
      </c>
      <c r="D22" s="5">
        <v>323.52999999999997</v>
      </c>
      <c r="E22" s="5">
        <v>8666.33</v>
      </c>
      <c r="F22" s="5">
        <v>6180.75</v>
      </c>
      <c r="G22" s="5">
        <f>E22</f>
        <v>8666.33</v>
      </c>
      <c r="H22" s="5">
        <f>F22</f>
        <v>6180.75</v>
      </c>
    </row>
    <row r="23" spans="2:8" x14ac:dyDescent="0.35">
      <c r="E23" s="29"/>
      <c r="G23" s="29">
        <f>SUM(G13:G22)</f>
        <v>70402.710000000006</v>
      </c>
      <c r="H23" s="29">
        <f>SUM(H13:H22)</f>
        <v>31692.86</v>
      </c>
    </row>
    <row r="24" spans="2:8" x14ac:dyDescent="0.35">
      <c r="F24" t="s">
        <v>24</v>
      </c>
      <c r="G24" s="29">
        <v>70786.7</v>
      </c>
      <c r="H24" s="29">
        <v>31693.15</v>
      </c>
    </row>
    <row r="25" spans="2:8" x14ac:dyDescent="0.35">
      <c r="F25" t="s">
        <v>25</v>
      </c>
      <c r="G25" s="29">
        <f>+G23-G24</f>
        <v>-383.98999999999069</v>
      </c>
      <c r="H25" s="29">
        <f>+H23-H24</f>
        <v>-0.29000000000087311</v>
      </c>
    </row>
    <row r="26" spans="2:8" x14ac:dyDescent="0.35">
      <c r="G26" s="29"/>
      <c r="H26" s="29"/>
    </row>
    <row r="27" spans="2:8" x14ac:dyDescent="0.35">
      <c r="F27" t="s">
        <v>29</v>
      </c>
      <c r="G27" s="29">
        <f>+G8+G23</f>
        <v>74610.680000000008</v>
      </c>
      <c r="H27" s="29">
        <f>+H8+H23</f>
        <v>31677.45</v>
      </c>
    </row>
    <row r="28" spans="2:8" x14ac:dyDescent="0.35">
      <c r="F28" t="s">
        <v>30</v>
      </c>
      <c r="G28" s="29">
        <f>G10+G25</f>
        <v>-375.56999999999152</v>
      </c>
      <c r="H28" s="29">
        <f>H10+H25</f>
        <v>-0.33000000000087581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Biotechnology</vt:lpstr>
      <vt:lpstr>Asian Smaller</vt:lpstr>
      <vt:lpstr>PiG 2015</vt:lpstr>
      <vt:lpstr>Proves</vt:lpstr>
      <vt:lpstr>Arcelor</vt:lpstr>
      <vt:lpstr>Aberdeen Standard</vt:lpstr>
      <vt:lpstr>27-Global Technology</vt:lpstr>
      <vt:lpstr>29-CS Corto Plazo</vt:lpstr>
      <vt:lpstr>Comparacio Aplic-Web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2021-12-29T15:51:58Z</dcterms:created>
  <dcterms:modified xsi:type="dcterms:W3CDTF">2022-01-10T06:23:57Z</dcterms:modified>
</cp:coreProperties>
</file>