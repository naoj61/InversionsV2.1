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Meus\InversionsV2\Docs\"/>
    </mc:Choice>
  </mc:AlternateContent>
  <xr:revisionPtr revIDLastSave="0" documentId="13_ncr:1_{E43DB364-106D-4065-9D3D-D7129F382482}" xr6:coauthVersionLast="47" xr6:coauthVersionMax="47" xr10:uidLastSave="{00000000-0000-0000-0000-000000000000}"/>
  <bookViews>
    <workbookView xWindow="19090" yWindow="-110" windowWidth="19420" windowHeight="10420" activeTab="1" xr2:uid="{A356EC3C-A36B-4D01-97F4-538073D64CD4}"/>
  </bookViews>
  <sheets>
    <sheet name="Proves" sheetId="8" r:id="rId1"/>
    <sheet name="Arcelor" sheetId="6" r:id="rId2"/>
    <sheet name="Aberdeen Standard" sheetId="7" r:id="rId3"/>
    <sheet name="27-Global Technology" sheetId="2" r:id="rId4"/>
    <sheet name="29-CS Corto Plazo" sheetId="3" r:id="rId5"/>
    <sheet name="Comparacio Aplic-Web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4" i="6" l="1"/>
  <c r="L34" i="6"/>
  <c r="L33" i="6"/>
  <c r="L32" i="6"/>
  <c r="J33" i="6"/>
  <c r="J32" i="6"/>
  <c r="I33" i="6"/>
  <c r="G33" i="6" s="1"/>
  <c r="F33" i="6"/>
  <c r="D33" i="6"/>
  <c r="K22" i="6"/>
  <c r="L2" i="6"/>
  <c r="K23" i="6"/>
  <c r="L23" i="6" s="1"/>
  <c r="K24" i="6"/>
  <c r="L24" i="6" s="1"/>
  <c r="K25" i="6"/>
  <c r="L25" i="6" s="1"/>
  <c r="E7" i="8"/>
  <c r="E6" i="8"/>
  <c r="E8" i="8" s="1"/>
  <c r="G4" i="8"/>
  <c r="F4" i="8"/>
  <c r="G3" i="8"/>
  <c r="F3" i="8"/>
  <c r="F2" i="8"/>
  <c r="H5" i="7"/>
  <c r="G5" i="7"/>
  <c r="G4" i="7"/>
  <c r="G3" i="7"/>
  <c r="K15" i="6"/>
  <c r="J2" i="6"/>
  <c r="J3" i="6" s="1"/>
  <c r="J4" i="6" s="1"/>
  <c r="J5" i="6" s="1"/>
  <c r="J6" i="6" s="1"/>
  <c r="J7" i="6" s="1"/>
  <c r="H22" i="5"/>
  <c r="G22" i="5"/>
  <c r="H20" i="5"/>
  <c r="G20" i="5"/>
  <c r="H18" i="5"/>
  <c r="G18" i="5"/>
  <c r="H14" i="5"/>
  <c r="H23" i="5" s="1"/>
  <c r="H25" i="5" s="1"/>
  <c r="G14" i="5"/>
  <c r="H7" i="5"/>
  <c r="G7" i="5"/>
  <c r="H5" i="5"/>
  <c r="H8" i="5" s="1"/>
  <c r="G5" i="5"/>
  <c r="G8" i="5" s="1"/>
  <c r="G38" i="2"/>
  <c r="H38" i="2"/>
  <c r="G36" i="2"/>
  <c r="H36" i="2"/>
  <c r="G34" i="2"/>
  <c r="H34" i="2"/>
  <c r="G30" i="2"/>
  <c r="H30" i="2"/>
  <c r="G23" i="2"/>
  <c r="H23" i="2"/>
  <c r="G21" i="2"/>
  <c r="H21" i="2"/>
  <c r="D13" i="2"/>
  <c r="H10" i="3"/>
  <c r="I14" i="3"/>
  <c r="H12" i="3"/>
  <c r="I10" i="3"/>
  <c r="H11" i="3"/>
  <c r="G10" i="3"/>
  <c r="F10" i="3"/>
  <c r="G12" i="2"/>
  <c r="I12" i="2" s="1"/>
  <c r="G10" i="2"/>
  <c r="I10" i="2" s="1"/>
  <c r="F11" i="2"/>
  <c r="F13" i="2" s="1"/>
  <c r="H12" i="2"/>
  <c r="H10" i="2"/>
  <c r="G2" i="2"/>
  <c r="H2" i="2" s="1"/>
  <c r="H14" i="2" s="1"/>
  <c r="K26" i="6" l="1"/>
  <c r="L26" i="6"/>
  <c r="F7" i="8"/>
  <c r="F6" i="8"/>
  <c r="F8" i="8" s="1"/>
  <c r="G24" i="2"/>
  <c r="G26" i="2" s="1"/>
  <c r="H4" i="7"/>
  <c r="I5" i="7" s="1"/>
  <c r="J8" i="6"/>
  <c r="G23" i="5"/>
  <c r="G25" i="5" s="1"/>
  <c r="G10" i="5"/>
  <c r="G28" i="5" s="1"/>
  <c r="H27" i="5"/>
  <c r="H10" i="5"/>
  <c r="H28" i="5" s="1"/>
  <c r="H24" i="2"/>
  <c r="H26" i="2" s="1"/>
  <c r="G39" i="2"/>
  <c r="G41" i="2" s="1"/>
  <c r="H39" i="2"/>
  <c r="H41" i="2" s="1"/>
  <c r="G11" i="2"/>
  <c r="I11" i="2" s="1"/>
  <c r="I13" i="2" s="1"/>
  <c r="I15" i="2" s="1"/>
  <c r="I12" i="3"/>
  <c r="H11" i="2"/>
  <c r="H13" i="2" s="1"/>
  <c r="H15" i="2" s="1"/>
  <c r="H42" i="2" l="1"/>
  <c r="J9" i="6"/>
  <c r="J10" i="6" s="1"/>
  <c r="J11" i="6" s="1"/>
  <c r="J12" i="6" s="1"/>
  <c r="J13" i="6" s="1"/>
  <c r="K13" i="6" s="1"/>
  <c r="G27" i="5"/>
  <c r="G42" i="2"/>
  <c r="N13" i="6" l="1"/>
  <c r="M13" i="6"/>
  <c r="P13" i="6" s="1"/>
  <c r="J14" i="6"/>
  <c r="J15" i="6" s="1"/>
  <c r="J16" i="6" s="1"/>
  <c r="O13" i="6" s="1"/>
  <c r="Q13" i="6" l="1"/>
  <c r="J17" i="6"/>
  <c r="J18" i="6" s="1"/>
  <c r="J19" i="6" s="1"/>
  <c r="J20" i="6" s="1"/>
  <c r="J21" i="6" l="1"/>
  <c r="J22" i="6" s="1"/>
  <c r="J23" i="6" s="1"/>
  <c r="J24" i="6" s="1"/>
  <c r="J25" i="6" s="1"/>
</calcChain>
</file>

<file path=xl/sharedStrings.xml><?xml version="1.0" encoding="utf-8"?>
<sst xmlns="http://schemas.openxmlformats.org/spreadsheetml/2006/main" count="188" uniqueCount="50">
  <si>
    <t>Id</t>
  </si>
  <si>
    <t>MovIdOrig</t>
  </si>
  <si>
    <t>Parts</t>
  </si>
  <si>
    <t>PU</t>
  </si>
  <si>
    <t>Desp</t>
  </si>
  <si>
    <t>Compra</t>
  </si>
  <si>
    <t>Venda</t>
  </si>
  <si>
    <t>Cost</t>
  </si>
  <si>
    <t>Traspàs C</t>
  </si>
  <si>
    <t>Aberdeen Standard Investments Luxembourg S.A.</t>
  </si>
  <si>
    <t>Brut</t>
  </si>
  <si>
    <t>Fidelity (FIL Inv Mgmt (Lux) S.A.)</t>
  </si>
  <si>
    <t>Traspàs V</t>
  </si>
  <si>
    <t>ProdId</t>
  </si>
  <si>
    <t>Cost en cartera</t>
  </si>
  <si>
    <t>Cost Orig en cartera</t>
  </si>
  <si>
    <t>PU Act</t>
  </si>
  <si>
    <t>Preu act</t>
  </si>
  <si>
    <t>PiG</t>
  </si>
  <si>
    <t>Parts Orig en Cart</t>
  </si>
  <si>
    <t>Parts en Cart</t>
  </si>
  <si>
    <t>Parts Orig</t>
  </si>
  <si>
    <t>Preu Orig</t>
  </si>
  <si>
    <t>Data</t>
  </si>
  <si>
    <t>WEB</t>
  </si>
  <si>
    <t>Dif</t>
  </si>
  <si>
    <t>Data Compra</t>
  </si>
  <si>
    <t>Preu Unit. Compra</t>
  </si>
  <si>
    <t>PigOrigen</t>
  </si>
  <si>
    <t>Total</t>
  </si>
  <si>
    <t>Dif totsl</t>
  </si>
  <si>
    <t>ContraSplit</t>
  </si>
  <si>
    <t>Dividends</t>
  </si>
  <si>
    <t>Net</t>
  </si>
  <si>
    <t>Venda Brut</t>
  </si>
  <si>
    <t>Div</t>
  </si>
  <si>
    <t>PiG Net</t>
  </si>
  <si>
    <t>PiG Brut</t>
  </si>
  <si>
    <t>c</t>
  </si>
  <si>
    <t xml:space="preserve">En cartera </t>
  </si>
  <si>
    <t>PiG vendes reals</t>
  </si>
  <si>
    <t>Pig Vendes reals + en cartera</t>
  </si>
  <si>
    <t>Pig Nomes en cartera</t>
  </si>
  <si>
    <t>v real</t>
  </si>
  <si>
    <t>nomesPartsEnCartera</t>
  </si>
  <si>
    <t>pigOrigen</t>
  </si>
  <si>
    <t>NULL</t>
  </si>
  <si>
    <t>v</t>
  </si>
  <si>
    <t>c1-&gt;5</t>
  </si>
  <si>
    <t>c1-&gt;5; c2-&gt;10; c3-&gt;5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</si>
</sst>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#,##0\ &quot;€&quot;;[Red]\-#,##0\ &quot;€&quot;"/>
    <numFmt numFmtId="8" formatCode="#,##0.00\ &quot;€&quot;;[Red]\-#,##0.00\ &quot;€&quot;"/>
    <numFmt numFmtId="164" formatCode="#,##0.000\ &quot;€&quot;"/>
    <numFmt numFmtId="165" formatCode="0.000"/>
    <numFmt numFmtId="166" formatCode="#,##0.000"/>
    <numFmt numFmtId="167" formatCode="#,##0.0000\ _€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14" fontId="0" fillId="0" borderId="0" xfId="0" applyNumberFormat="1"/>
    <xf numFmtId="8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0" fontId="1" fillId="0" borderId="0" xfId="0" applyFont="1" applyAlignment="1">
      <alignment horizontal="center" wrapText="1"/>
    </xf>
    <xf numFmtId="164" fontId="1" fillId="0" borderId="0" xfId="0" applyNumberFormat="1" applyFont="1"/>
    <xf numFmtId="0" fontId="1" fillId="2" borderId="0" xfId="0" applyFont="1" applyFill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166" fontId="0" fillId="0" borderId="0" xfId="0" applyNumberFormat="1"/>
    <xf numFmtId="167" fontId="0" fillId="0" borderId="0" xfId="0" applyNumberFormat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164" fontId="0" fillId="0" borderId="3" xfId="0" applyNumberFormat="1" applyBorder="1"/>
    <xf numFmtId="164" fontId="0" fillId="0" borderId="4" xfId="0" applyNumberFormat="1" applyBorder="1"/>
    <xf numFmtId="164" fontId="1" fillId="0" borderId="3" xfId="0" applyNumberFormat="1" applyFont="1" applyBorder="1"/>
    <xf numFmtId="0" fontId="0" fillId="0" borderId="4" xfId="0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164" fontId="1" fillId="0" borderId="4" xfId="0" applyNumberFormat="1" applyFont="1" applyBorder="1"/>
    <xf numFmtId="164" fontId="1" fillId="0" borderId="7" xfId="0" applyNumberFormat="1" applyFont="1" applyBorder="1"/>
    <xf numFmtId="164" fontId="1" fillId="0" borderId="8" xfId="0" applyNumberFormat="1" applyFont="1" applyBorder="1"/>
    <xf numFmtId="164" fontId="1" fillId="0" borderId="9" xfId="0" applyNumberFormat="1" applyFont="1" applyBorder="1"/>
    <xf numFmtId="8" fontId="1" fillId="0" borderId="0" xfId="0" applyNumberFormat="1" applyFon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0" fillId="0" borderId="0" xfId="0" applyNumberFormat="1"/>
    <xf numFmtId="3" fontId="0" fillId="3" borderId="0" xfId="0" applyNumberFormat="1" applyFill="1"/>
    <xf numFmtId="3" fontId="0" fillId="3" borderId="0" xfId="0" applyNumberFormat="1" applyFill="1" applyAlignment="1">
      <alignment vertical="center" wrapText="1"/>
    </xf>
    <xf numFmtId="0" fontId="0" fillId="4" borderId="0" xfId="0" applyFill="1"/>
    <xf numFmtId="3" fontId="0" fillId="4" borderId="0" xfId="0" applyNumberFormat="1" applyFill="1" applyAlignment="1">
      <alignment vertical="center" wrapText="1"/>
    </xf>
    <xf numFmtId="3" fontId="0" fillId="4" borderId="0" xfId="0" applyNumberFormat="1" applyFill="1"/>
    <xf numFmtId="6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FC7A-A8B1-46AB-BBD2-1EFF59E4C2EB}">
  <dimension ref="A1:J17"/>
  <sheetViews>
    <sheetView zoomScale="115" zoomScaleNormal="115" workbookViewId="0">
      <pane ySplit="1" topLeftCell="A2" activePane="bottomLeft" state="frozen"/>
      <selection pane="bottomLeft" activeCell="E18" sqref="E18"/>
    </sheetView>
  </sheetViews>
  <sheetFormatPr defaultRowHeight="14.5" x14ac:dyDescent="0.35"/>
  <cols>
    <col min="1" max="1" width="4" bestFit="1" customWidth="1"/>
    <col min="2" max="2" width="10" bestFit="1" customWidth="1"/>
    <col min="3" max="3" width="10.7265625" bestFit="1" customWidth="1"/>
    <col min="4" max="4" width="5.453125" bestFit="1" customWidth="1"/>
    <col min="5" max="5" width="8.6328125" bestFit="1" customWidth="1"/>
    <col min="6" max="7" width="10.6328125" bestFit="1" customWidth="1"/>
    <col min="8" max="8" width="1.90625" hidden="1" customWidth="1"/>
    <col min="9" max="9" width="19.08984375" bestFit="1" customWidth="1"/>
    <col min="13" max="13" width="10.54296875" bestFit="1" customWidth="1"/>
    <col min="14" max="14" width="10.54296875" customWidth="1"/>
    <col min="16" max="17" width="11.1796875" bestFit="1" customWidth="1"/>
  </cols>
  <sheetData>
    <row r="1" spans="1:10" x14ac:dyDescent="0.35">
      <c r="D1" t="s">
        <v>2</v>
      </c>
      <c r="E1" t="s">
        <v>3</v>
      </c>
      <c r="F1" t="s">
        <v>7</v>
      </c>
      <c r="G1" t="s">
        <v>6</v>
      </c>
    </row>
    <row r="2" spans="1:10" x14ac:dyDescent="0.35">
      <c r="B2" t="s">
        <v>38</v>
      </c>
      <c r="D2">
        <v>100</v>
      </c>
      <c r="E2" s="40">
        <v>11</v>
      </c>
      <c r="F2" s="40">
        <f>D2*E2</f>
        <v>1100</v>
      </c>
      <c r="G2" s="40"/>
    </row>
    <row r="3" spans="1:10" x14ac:dyDescent="0.35">
      <c r="B3" t="s">
        <v>43</v>
      </c>
      <c r="D3">
        <v>80</v>
      </c>
      <c r="E3" s="40">
        <v>9</v>
      </c>
      <c r="F3" s="40">
        <f>D3*E2</f>
        <v>880</v>
      </c>
      <c r="G3" s="40">
        <f>D3*E3</f>
        <v>720</v>
      </c>
    </row>
    <row r="4" spans="1:10" x14ac:dyDescent="0.35">
      <c r="B4" t="s">
        <v>39</v>
      </c>
      <c r="D4">
        <v>20</v>
      </c>
      <c r="E4" s="40">
        <v>13</v>
      </c>
      <c r="F4" s="40">
        <f>+D4*E2</f>
        <v>220</v>
      </c>
      <c r="G4" s="40">
        <f>D4*E4</f>
        <v>260</v>
      </c>
    </row>
    <row r="5" spans="1:10" x14ac:dyDescent="0.35">
      <c r="E5" s="40"/>
      <c r="F5" s="40"/>
      <c r="I5" s="40" t="s">
        <v>44</v>
      </c>
      <c r="J5" t="s">
        <v>45</v>
      </c>
    </row>
    <row r="6" spans="1:10" x14ac:dyDescent="0.35">
      <c r="B6" t="s">
        <v>40</v>
      </c>
      <c r="E6" s="40">
        <f>D3*E3-D3*E2</f>
        <v>-160</v>
      </c>
      <c r="F6" s="40">
        <f>G3-F3</f>
        <v>-160</v>
      </c>
      <c r="G6" s="40"/>
      <c r="I6" t="b">
        <v>0</v>
      </c>
    </row>
    <row r="7" spans="1:10" x14ac:dyDescent="0.35">
      <c r="B7" t="s">
        <v>42</v>
      </c>
      <c r="E7" s="40">
        <f>D4*E4-D4*E2</f>
        <v>40</v>
      </c>
      <c r="F7" s="40">
        <f>G4-F4</f>
        <v>40</v>
      </c>
      <c r="G7" s="40"/>
      <c r="I7" t="b">
        <v>1</v>
      </c>
    </row>
    <row r="8" spans="1:10" x14ac:dyDescent="0.35">
      <c r="B8" t="s">
        <v>41</v>
      </c>
      <c r="E8" s="40">
        <f>E6+D4*E4-D4*E2</f>
        <v>-120</v>
      </c>
      <c r="F8" s="40">
        <f>SUM(F6:F7)</f>
        <v>-120</v>
      </c>
      <c r="G8" s="40"/>
      <c r="I8" t="s">
        <v>46</v>
      </c>
    </row>
    <row r="13" spans="1:10" x14ac:dyDescent="0.35">
      <c r="A13">
        <v>1</v>
      </c>
      <c r="B13" t="s">
        <v>38</v>
      </c>
      <c r="C13">
        <v>10</v>
      </c>
    </row>
    <row r="14" spans="1:10" x14ac:dyDescent="0.35">
      <c r="A14">
        <v>2</v>
      </c>
      <c r="B14" t="s">
        <v>38</v>
      </c>
      <c r="C14">
        <v>10</v>
      </c>
    </row>
    <row r="15" spans="1:10" x14ac:dyDescent="0.35">
      <c r="A15">
        <v>3</v>
      </c>
      <c r="B15" t="s">
        <v>38</v>
      </c>
      <c r="C15">
        <v>10</v>
      </c>
    </row>
    <row r="16" spans="1:10" x14ac:dyDescent="0.35">
      <c r="B16" t="s">
        <v>47</v>
      </c>
      <c r="C16">
        <v>5</v>
      </c>
      <c r="E16" t="s">
        <v>48</v>
      </c>
    </row>
    <row r="17" spans="2:5" x14ac:dyDescent="0.35">
      <c r="B17" t="s">
        <v>47</v>
      </c>
      <c r="C17">
        <v>20</v>
      </c>
      <c r="E17" t="s">
        <v>49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31D83-0E0A-4D88-B489-4583A6E933E1}">
  <dimension ref="A1:Q34"/>
  <sheetViews>
    <sheetView tabSelected="1" zoomScale="115" zoomScaleNormal="115" workbookViewId="0">
      <pane ySplit="1" topLeftCell="A20" activePane="bottomLeft" state="frozen"/>
      <selection pane="bottomLeft" activeCell="M32" sqref="M32"/>
    </sheetView>
  </sheetViews>
  <sheetFormatPr defaultRowHeight="14.5" x14ac:dyDescent="0.35"/>
  <cols>
    <col min="1" max="1" width="4" bestFit="1" customWidth="1"/>
    <col min="2" max="2" width="10" bestFit="1" customWidth="1"/>
    <col min="3" max="3" width="10.7265625" bestFit="1" customWidth="1"/>
    <col min="4" max="4" width="5.453125" bestFit="1" customWidth="1"/>
    <col min="5" max="5" width="8.6328125" bestFit="1" customWidth="1"/>
    <col min="6" max="6" width="10.6328125" bestFit="1" customWidth="1"/>
    <col min="7" max="7" width="11.1796875" bestFit="1" customWidth="1"/>
    <col min="8" max="8" width="1.90625" hidden="1" customWidth="1"/>
    <col min="9" max="9" width="7" bestFit="1" customWidth="1"/>
    <col min="10" max="10" width="10.54296875" bestFit="1" customWidth="1"/>
    <col min="12" max="13" width="11.26953125" bestFit="1" customWidth="1"/>
    <col min="14" max="14" width="10.54296875" customWidth="1"/>
    <col min="16" max="17" width="11.1796875" bestFit="1" customWidth="1"/>
  </cols>
  <sheetData>
    <row r="1" spans="1:17" x14ac:dyDescent="0.35">
      <c r="A1" s="2"/>
      <c r="B1" s="2"/>
      <c r="C1" s="2" t="s">
        <v>23</v>
      </c>
      <c r="D1" s="2" t="s">
        <v>2</v>
      </c>
      <c r="E1" s="2" t="s">
        <v>3</v>
      </c>
      <c r="F1" s="2" t="s">
        <v>10</v>
      </c>
      <c r="G1" s="2" t="s">
        <v>33</v>
      </c>
      <c r="H1" s="2"/>
      <c r="I1" s="2" t="s">
        <v>4</v>
      </c>
    </row>
    <row r="2" spans="1:17" x14ac:dyDescent="0.35">
      <c r="A2" s="30">
        <v>79</v>
      </c>
      <c r="B2" s="30" t="s">
        <v>5</v>
      </c>
      <c r="C2" s="31">
        <v>41711</v>
      </c>
      <c r="D2" s="33">
        <v>925</v>
      </c>
      <c r="E2" s="32">
        <v>10.824999999999999</v>
      </c>
      <c r="F2" s="32">
        <v>10013.129999999999</v>
      </c>
      <c r="G2" s="32">
        <v>10028.19</v>
      </c>
      <c r="H2" s="30">
        <v>1</v>
      </c>
      <c r="I2" s="32">
        <v>15.06</v>
      </c>
      <c r="J2" s="34">
        <f>D2</f>
        <v>925</v>
      </c>
      <c r="L2" s="5">
        <f>+G3-G2</f>
        <v>167.73999999999978</v>
      </c>
    </row>
    <row r="3" spans="1:17" x14ac:dyDescent="0.35">
      <c r="A3" s="30">
        <v>80</v>
      </c>
      <c r="B3" s="30" t="s">
        <v>6</v>
      </c>
      <c r="C3" s="31">
        <v>41717</v>
      </c>
      <c r="D3" s="33">
        <v>925</v>
      </c>
      <c r="E3" s="32">
        <v>11.05</v>
      </c>
      <c r="F3" s="32">
        <v>10221.25</v>
      </c>
      <c r="G3" s="32">
        <v>10195.93</v>
      </c>
      <c r="H3" s="30">
        <v>1</v>
      </c>
      <c r="I3" s="32">
        <v>25.32</v>
      </c>
      <c r="J3" s="34">
        <f>J2-D3</f>
        <v>0</v>
      </c>
    </row>
    <row r="4" spans="1:17" x14ac:dyDescent="0.35">
      <c r="A4" s="30">
        <v>81</v>
      </c>
      <c r="B4" s="30" t="s">
        <v>5</v>
      </c>
      <c r="C4" s="31">
        <v>41830</v>
      </c>
      <c r="D4" s="33">
        <v>929</v>
      </c>
      <c r="E4" s="32">
        <v>10.74</v>
      </c>
      <c r="F4" s="32">
        <v>9977.4599999999991</v>
      </c>
      <c r="G4" s="32">
        <v>9992.52</v>
      </c>
      <c r="H4" s="30">
        <v>1</v>
      </c>
      <c r="I4" s="32">
        <v>15.06</v>
      </c>
      <c r="J4" s="34">
        <f>J3+D4</f>
        <v>929</v>
      </c>
    </row>
    <row r="5" spans="1:17" x14ac:dyDescent="0.35">
      <c r="A5" s="30">
        <v>82</v>
      </c>
      <c r="B5" s="30" t="s">
        <v>6</v>
      </c>
      <c r="C5" s="31">
        <v>41877</v>
      </c>
      <c r="D5" s="33">
        <v>929</v>
      </c>
      <c r="E5" s="32">
        <v>10.98</v>
      </c>
      <c r="F5" s="32">
        <v>10200.42</v>
      </c>
      <c r="G5" s="32">
        <v>10185.33</v>
      </c>
      <c r="H5" s="30">
        <v>1</v>
      </c>
      <c r="I5" s="32">
        <v>15.09</v>
      </c>
      <c r="J5" s="34">
        <f>J4-D5</f>
        <v>0</v>
      </c>
    </row>
    <row r="6" spans="1:17" x14ac:dyDescent="0.35">
      <c r="A6" s="30">
        <v>83</v>
      </c>
      <c r="B6" s="30" t="s">
        <v>5</v>
      </c>
      <c r="C6" s="31">
        <v>41984</v>
      </c>
      <c r="D6" s="33">
        <v>5386</v>
      </c>
      <c r="E6" s="32">
        <v>9.2676999999999996</v>
      </c>
      <c r="F6" s="32">
        <v>49916.04</v>
      </c>
      <c r="G6" s="32">
        <v>49936.18</v>
      </c>
      <c r="H6" s="30">
        <v>1</v>
      </c>
      <c r="I6" s="32">
        <v>20.14</v>
      </c>
      <c r="J6" s="34">
        <f t="shared" ref="J6:J25" si="0">J5+D6</f>
        <v>5386</v>
      </c>
    </row>
    <row r="7" spans="1:17" x14ac:dyDescent="0.35">
      <c r="A7" s="30">
        <v>84</v>
      </c>
      <c r="B7" s="30" t="s">
        <v>6</v>
      </c>
      <c r="C7" s="31">
        <v>42047</v>
      </c>
      <c r="D7" s="33">
        <v>5386</v>
      </c>
      <c r="E7" s="32">
        <v>9.0449999999999999</v>
      </c>
      <c r="F7" s="32">
        <v>48716.37</v>
      </c>
      <c r="G7" s="32">
        <v>48696.34</v>
      </c>
      <c r="H7" s="30">
        <v>1</v>
      </c>
      <c r="I7" s="32">
        <v>20.03</v>
      </c>
      <c r="J7" s="34">
        <f>J6-D7</f>
        <v>0</v>
      </c>
    </row>
    <row r="8" spans="1:17" x14ac:dyDescent="0.35">
      <c r="A8" s="30">
        <v>94</v>
      </c>
      <c r="B8" s="30" t="s">
        <v>5</v>
      </c>
      <c r="C8" s="31">
        <v>42212</v>
      </c>
      <c r="D8" s="33">
        <v>6415</v>
      </c>
      <c r="E8" s="32">
        <v>7.7939999999999996</v>
      </c>
      <c r="F8" s="32">
        <v>49998.51</v>
      </c>
      <c r="G8" s="32">
        <v>50018.66</v>
      </c>
      <c r="H8" s="30">
        <v>1</v>
      </c>
      <c r="I8" s="32">
        <v>20.149999999999999</v>
      </c>
      <c r="J8" s="34">
        <f t="shared" si="0"/>
        <v>6415</v>
      </c>
    </row>
    <row r="9" spans="1:17" x14ac:dyDescent="0.35">
      <c r="A9" s="30">
        <v>97</v>
      </c>
      <c r="B9" s="30" t="s">
        <v>6</v>
      </c>
      <c r="C9" s="31">
        <v>42214</v>
      </c>
      <c r="D9" s="33">
        <v>6415</v>
      </c>
      <c r="E9" s="32">
        <v>8.19</v>
      </c>
      <c r="F9" s="32">
        <v>52538.85</v>
      </c>
      <c r="G9" s="32">
        <v>52518.45</v>
      </c>
      <c r="H9" s="30">
        <v>1</v>
      </c>
      <c r="I9" s="32">
        <v>20.399999999999999</v>
      </c>
      <c r="J9" s="34">
        <f>J8-D9</f>
        <v>0</v>
      </c>
    </row>
    <row r="10" spans="1:17" x14ac:dyDescent="0.35">
      <c r="A10" s="30">
        <v>138</v>
      </c>
      <c r="B10" s="30" t="s">
        <v>31</v>
      </c>
      <c r="C10" s="31">
        <v>42822</v>
      </c>
      <c r="D10" s="33">
        <v>1581</v>
      </c>
      <c r="E10" s="32">
        <v>7.5910000000000002</v>
      </c>
      <c r="F10" s="32">
        <v>12001.37</v>
      </c>
      <c r="G10" s="32">
        <v>12001.37</v>
      </c>
      <c r="H10" s="30">
        <v>1</v>
      </c>
      <c r="I10" s="32">
        <v>0</v>
      </c>
      <c r="J10" s="34">
        <f>J9</f>
        <v>0</v>
      </c>
      <c r="K10" s="5"/>
    </row>
    <row r="11" spans="1:17" x14ac:dyDescent="0.35">
      <c r="A11" s="30">
        <v>151</v>
      </c>
      <c r="B11" s="30" t="s">
        <v>5</v>
      </c>
      <c r="C11" s="31">
        <v>42822</v>
      </c>
      <c r="D11" s="33">
        <v>527</v>
      </c>
      <c r="E11" s="32">
        <v>22.773</v>
      </c>
      <c r="F11" s="32">
        <v>12001.37</v>
      </c>
      <c r="G11" s="32">
        <v>12016.52</v>
      </c>
      <c r="H11" s="30">
        <v>1</v>
      </c>
      <c r="I11" s="32">
        <v>15.15</v>
      </c>
      <c r="J11" s="34">
        <f t="shared" si="0"/>
        <v>527</v>
      </c>
    </row>
    <row r="12" spans="1:17" x14ac:dyDescent="0.35">
      <c r="A12" s="30">
        <v>165</v>
      </c>
      <c r="B12" s="30" t="s">
        <v>6</v>
      </c>
      <c r="C12" s="31">
        <v>43236</v>
      </c>
      <c r="D12" s="33">
        <v>527</v>
      </c>
      <c r="E12" s="32">
        <v>30.416</v>
      </c>
      <c r="F12" s="32">
        <v>16029.25</v>
      </c>
      <c r="G12" s="32">
        <v>16001.8</v>
      </c>
      <c r="H12" s="30">
        <v>1</v>
      </c>
      <c r="I12" s="32">
        <v>27.45</v>
      </c>
      <c r="J12" s="34">
        <f>J11-D12</f>
        <v>0</v>
      </c>
      <c r="M12" s="2" t="s">
        <v>34</v>
      </c>
      <c r="N12" s="2" t="s">
        <v>4</v>
      </c>
      <c r="O12" s="2" t="s">
        <v>35</v>
      </c>
      <c r="P12" s="2" t="s">
        <v>37</v>
      </c>
      <c r="Q12" s="2" t="s">
        <v>36</v>
      </c>
    </row>
    <row r="13" spans="1:17" x14ac:dyDescent="0.35">
      <c r="A13" s="30">
        <v>166</v>
      </c>
      <c r="B13" s="30" t="s">
        <v>5</v>
      </c>
      <c r="C13" s="31">
        <v>43389</v>
      </c>
      <c r="D13" s="33">
        <v>1600</v>
      </c>
      <c r="E13" s="32">
        <v>24.388000000000002</v>
      </c>
      <c r="F13" s="32">
        <v>39020.800000000003</v>
      </c>
      <c r="G13" s="32">
        <v>39049.31</v>
      </c>
      <c r="H13" s="30">
        <v>1</v>
      </c>
      <c r="I13" s="32">
        <v>28.51</v>
      </c>
      <c r="J13" s="34">
        <f t="shared" si="0"/>
        <v>1600</v>
      </c>
      <c r="K13" s="35">
        <f>J13-D14</f>
        <v>952</v>
      </c>
      <c r="L13" s="37">
        <v>0</v>
      </c>
      <c r="M13" s="5">
        <f>F14+K13*E17</f>
        <v>26706.527999999998</v>
      </c>
      <c r="N13" s="5">
        <f>I13+I14+I17/D17*K13</f>
        <v>46.219456869009583</v>
      </c>
      <c r="O13" s="5">
        <f>E16/J16*K13</f>
        <v>169.60813559322034</v>
      </c>
      <c r="P13" s="5">
        <f>M13-F13</f>
        <v>-12314.272000000004</v>
      </c>
      <c r="Q13" s="5">
        <f>P13-N13+O13</f>
        <v>-12190.883321275795</v>
      </c>
    </row>
    <row r="14" spans="1:17" x14ac:dyDescent="0.35">
      <c r="A14" s="30">
        <v>169</v>
      </c>
      <c r="B14" s="30" t="s">
        <v>6</v>
      </c>
      <c r="C14" s="31">
        <v>43458</v>
      </c>
      <c r="D14" s="36">
        <v>648</v>
      </c>
      <c r="E14" s="32">
        <v>18.260000000000002</v>
      </c>
      <c r="F14" s="32">
        <v>11832.48</v>
      </c>
      <c r="G14" s="32">
        <v>11822.42</v>
      </c>
      <c r="H14" s="30">
        <v>1</v>
      </c>
      <c r="I14" s="32">
        <v>10.06</v>
      </c>
      <c r="J14" s="34">
        <f>J13-D14</f>
        <v>952</v>
      </c>
    </row>
    <row r="15" spans="1:17" x14ac:dyDescent="0.35">
      <c r="A15" s="30">
        <v>174</v>
      </c>
      <c r="B15" s="30" t="s">
        <v>5</v>
      </c>
      <c r="C15" s="31">
        <v>43550</v>
      </c>
      <c r="D15" s="33">
        <v>700</v>
      </c>
      <c r="E15" s="32">
        <v>18.027999999999999</v>
      </c>
      <c r="F15" s="32">
        <v>12619.6</v>
      </c>
      <c r="G15" s="32">
        <v>12629.66</v>
      </c>
      <c r="H15" s="30">
        <v>1</v>
      </c>
      <c r="I15" s="32">
        <v>10.06</v>
      </c>
      <c r="J15" s="34">
        <f t="shared" si="0"/>
        <v>1652</v>
      </c>
      <c r="K15" s="39">
        <f>D15-(D17+D14-D13)</f>
        <v>400</v>
      </c>
    </row>
    <row r="16" spans="1:17" x14ac:dyDescent="0.35">
      <c r="A16" s="30">
        <v>176</v>
      </c>
      <c r="B16" s="30" t="s">
        <v>32</v>
      </c>
      <c r="C16" s="31">
        <v>43629</v>
      </c>
      <c r="D16" s="33">
        <v>0</v>
      </c>
      <c r="E16" s="32">
        <v>294.32</v>
      </c>
      <c r="F16" s="32">
        <v>294.32</v>
      </c>
      <c r="G16" s="32">
        <v>294.32</v>
      </c>
      <c r="H16" s="30">
        <v>1</v>
      </c>
      <c r="I16" s="32">
        <v>0</v>
      </c>
      <c r="J16" s="34">
        <f t="shared" si="0"/>
        <v>1652</v>
      </c>
      <c r="M16" s="5"/>
    </row>
    <row r="17" spans="1:13" x14ac:dyDescent="0.35">
      <c r="A17" s="30">
        <v>177</v>
      </c>
      <c r="B17" s="30" t="s">
        <v>6</v>
      </c>
      <c r="C17" s="31">
        <v>43797</v>
      </c>
      <c r="D17" s="38">
        <v>1252</v>
      </c>
      <c r="E17" s="32">
        <v>15.624000000000001</v>
      </c>
      <c r="F17" s="32">
        <v>19561.25</v>
      </c>
      <c r="G17" s="32">
        <v>19551.189999999999</v>
      </c>
      <c r="H17" s="30">
        <v>1</v>
      </c>
      <c r="I17" s="32">
        <v>10.06</v>
      </c>
      <c r="J17" s="34">
        <f>J16-D17</f>
        <v>400</v>
      </c>
      <c r="M17" s="34"/>
    </row>
    <row r="18" spans="1:13" x14ac:dyDescent="0.35">
      <c r="A18" s="30">
        <v>178</v>
      </c>
      <c r="B18" s="30" t="s">
        <v>5</v>
      </c>
      <c r="C18" s="31">
        <v>43802</v>
      </c>
      <c r="D18" s="33">
        <v>500</v>
      </c>
      <c r="E18" s="32">
        <v>15.32</v>
      </c>
      <c r="F18" s="32">
        <v>7660</v>
      </c>
      <c r="G18" s="32">
        <v>7670.06</v>
      </c>
      <c r="H18" s="30">
        <v>1</v>
      </c>
      <c r="I18" s="32">
        <v>10.06</v>
      </c>
      <c r="J18" s="34">
        <f t="shared" si="0"/>
        <v>900</v>
      </c>
    </row>
    <row r="19" spans="1:13" x14ac:dyDescent="0.35">
      <c r="A19" s="30">
        <v>190</v>
      </c>
      <c r="B19" s="30" t="s">
        <v>5</v>
      </c>
      <c r="C19" s="31">
        <v>43802</v>
      </c>
      <c r="D19" s="33">
        <v>92</v>
      </c>
      <c r="E19" s="32">
        <v>15.32</v>
      </c>
      <c r="F19" s="32">
        <v>1409.44</v>
      </c>
      <c r="G19" s="32">
        <v>1414.5</v>
      </c>
      <c r="H19" s="30">
        <v>1</v>
      </c>
      <c r="I19" s="32">
        <v>5.0599999999999996</v>
      </c>
      <c r="J19" s="34">
        <f t="shared" si="0"/>
        <v>992</v>
      </c>
      <c r="K19" s="34"/>
    </row>
    <row r="20" spans="1:13" x14ac:dyDescent="0.35">
      <c r="A20" s="30">
        <v>191</v>
      </c>
      <c r="B20" s="30" t="s">
        <v>5</v>
      </c>
      <c r="C20" s="31">
        <v>43802</v>
      </c>
      <c r="D20" s="33">
        <v>660</v>
      </c>
      <c r="E20" s="32">
        <v>15.31</v>
      </c>
      <c r="F20" s="32">
        <v>10104.6</v>
      </c>
      <c r="G20" s="32">
        <v>10114.77</v>
      </c>
      <c r="H20" s="30">
        <v>1</v>
      </c>
      <c r="I20" s="32">
        <v>10.17</v>
      </c>
      <c r="J20" s="34">
        <f t="shared" si="0"/>
        <v>1652</v>
      </c>
      <c r="K20" s="34">
        <v>400</v>
      </c>
      <c r="L20" s="34"/>
    </row>
    <row r="21" spans="1:13" x14ac:dyDescent="0.35">
      <c r="A21" s="30">
        <v>179</v>
      </c>
      <c r="B21" s="30" t="s">
        <v>6</v>
      </c>
      <c r="C21" s="31">
        <v>43872</v>
      </c>
      <c r="D21" s="33">
        <v>1252</v>
      </c>
      <c r="E21" s="32">
        <v>16.611999999999998</v>
      </c>
      <c r="F21" s="32">
        <v>20798.22</v>
      </c>
      <c r="G21" s="32">
        <v>20781.68</v>
      </c>
      <c r="H21" s="30">
        <v>1</v>
      </c>
      <c r="I21" s="32">
        <v>16.54</v>
      </c>
      <c r="J21" s="34">
        <f>J20-D21</f>
        <v>400</v>
      </c>
      <c r="K21" s="34"/>
      <c r="L21" s="34"/>
    </row>
    <row r="22" spans="1:13" x14ac:dyDescent="0.35">
      <c r="A22" s="30">
        <v>182</v>
      </c>
      <c r="B22" s="30" t="s">
        <v>5</v>
      </c>
      <c r="C22" s="31">
        <v>43893</v>
      </c>
      <c r="D22" s="33">
        <v>567</v>
      </c>
      <c r="E22" s="32">
        <v>13.28</v>
      </c>
      <c r="F22" s="32">
        <v>7529.76</v>
      </c>
      <c r="G22" s="32">
        <v>7539.93</v>
      </c>
      <c r="H22" s="30">
        <v>1</v>
      </c>
      <c r="I22" s="32">
        <v>10.17</v>
      </c>
      <c r="J22" s="34">
        <f t="shared" si="0"/>
        <v>967</v>
      </c>
      <c r="K22" s="34">
        <f>D22</f>
        <v>567</v>
      </c>
      <c r="L22" s="34">
        <v>67</v>
      </c>
    </row>
    <row r="23" spans="1:13" x14ac:dyDescent="0.35">
      <c r="A23" s="30">
        <v>192</v>
      </c>
      <c r="B23" s="30" t="s">
        <v>5</v>
      </c>
      <c r="C23" s="31">
        <v>43893</v>
      </c>
      <c r="D23" s="33">
        <v>500</v>
      </c>
      <c r="E23" s="32">
        <v>13.28</v>
      </c>
      <c r="F23" s="32">
        <v>6640</v>
      </c>
      <c r="G23" s="32">
        <v>6650.06</v>
      </c>
      <c r="H23" s="30">
        <v>1</v>
      </c>
      <c r="I23" s="32">
        <v>10.06</v>
      </c>
      <c r="J23" s="34">
        <f t="shared" si="0"/>
        <v>1467</v>
      </c>
      <c r="K23" s="34">
        <f>D23</f>
        <v>500</v>
      </c>
      <c r="L23" s="34">
        <f t="shared" ref="L23:L25" si="1">K23</f>
        <v>500</v>
      </c>
    </row>
    <row r="24" spans="1:13" x14ac:dyDescent="0.35">
      <c r="A24" s="30">
        <v>193</v>
      </c>
      <c r="B24" s="30" t="s">
        <v>5</v>
      </c>
      <c r="C24" s="31">
        <v>43893</v>
      </c>
      <c r="D24" s="33">
        <v>433</v>
      </c>
      <c r="E24" s="32">
        <v>13.29</v>
      </c>
      <c r="F24" s="32">
        <v>5754.57</v>
      </c>
      <c r="G24" s="32">
        <v>5762.63</v>
      </c>
      <c r="H24" s="30">
        <v>1</v>
      </c>
      <c r="I24" s="32">
        <v>8.06</v>
      </c>
      <c r="J24" s="34">
        <f t="shared" si="0"/>
        <v>1900</v>
      </c>
      <c r="K24" s="34">
        <f>D24</f>
        <v>433</v>
      </c>
      <c r="L24" s="34">
        <f t="shared" si="1"/>
        <v>433</v>
      </c>
    </row>
    <row r="25" spans="1:13" x14ac:dyDescent="0.35">
      <c r="A25" s="30">
        <v>195</v>
      </c>
      <c r="B25" s="30" t="s">
        <v>32</v>
      </c>
      <c r="C25" s="31">
        <v>44362</v>
      </c>
      <c r="D25" s="33">
        <v>0</v>
      </c>
      <c r="E25" s="32">
        <v>467.17</v>
      </c>
      <c r="F25" s="32">
        <v>467.17</v>
      </c>
      <c r="G25" s="32">
        <v>467.17</v>
      </c>
      <c r="H25" s="30">
        <v>1</v>
      </c>
      <c r="I25" s="32">
        <v>0</v>
      </c>
      <c r="J25" s="34">
        <f t="shared" si="0"/>
        <v>1900</v>
      </c>
      <c r="K25" s="34">
        <f>D25</f>
        <v>0</v>
      </c>
      <c r="L25" s="34">
        <f t="shared" si="1"/>
        <v>0</v>
      </c>
    </row>
    <row r="26" spans="1:13" x14ac:dyDescent="0.35">
      <c r="K26" s="41">
        <f>SUM(K20:K25)</f>
        <v>1900</v>
      </c>
      <c r="L26" s="41">
        <f>SUM(L20:L25)</f>
        <v>1000</v>
      </c>
    </row>
    <row r="29" spans="1:13" x14ac:dyDescent="0.35">
      <c r="E29" s="40"/>
      <c r="F29" s="40"/>
      <c r="G29" s="40"/>
    </row>
    <row r="30" spans="1:13" x14ac:dyDescent="0.35">
      <c r="E30" s="40"/>
      <c r="F30" s="40"/>
      <c r="G30" s="40"/>
      <c r="J30" s="1" t="s">
        <v>5</v>
      </c>
      <c r="K30" s="1" t="s">
        <v>6</v>
      </c>
      <c r="L30" s="1" t="s">
        <v>18</v>
      </c>
    </row>
    <row r="31" spans="1:13" x14ac:dyDescent="0.35">
      <c r="A31" s="30">
        <v>166</v>
      </c>
      <c r="B31" s="30" t="s">
        <v>5</v>
      </c>
      <c r="C31" s="31">
        <v>43389</v>
      </c>
      <c r="D31" s="33">
        <v>1600</v>
      </c>
      <c r="E31" s="32">
        <v>24.388000000000002</v>
      </c>
      <c r="F31" s="32">
        <v>39020.800000000003</v>
      </c>
      <c r="G31" s="32">
        <v>39049.31</v>
      </c>
      <c r="H31" s="30">
        <v>1</v>
      </c>
      <c r="I31" s="32">
        <v>28.51</v>
      </c>
      <c r="J31" s="34"/>
    </row>
    <row r="32" spans="1:13" x14ac:dyDescent="0.35">
      <c r="A32" s="30">
        <v>169</v>
      </c>
      <c r="B32" s="30" t="s">
        <v>6</v>
      </c>
      <c r="C32" s="31">
        <v>43458</v>
      </c>
      <c r="D32" s="33">
        <v>648</v>
      </c>
      <c r="E32" s="32">
        <v>18.260000000000002</v>
      </c>
      <c r="F32" s="32">
        <v>11832.48</v>
      </c>
      <c r="G32" s="32">
        <v>11822.42</v>
      </c>
      <c r="H32" s="30">
        <v>1</v>
      </c>
      <c r="I32" s="32">
        <v>10.06</v>
      </c>
      <c r="J32" s="32">
        <f>G$31/D$31*D32</f>
        <v>15814.970549999998</v>
      </c>
      <c r="L32" s="5">
        <f>+G32-J32</f>
        <v>-3992.5505499999981</v>
      </c>
      <c r="M32" s="5">
        <v>-3992.5505499999899</v>
      </c>
    </row>
    <row r="33" spans="1:13" x14ac:dyDescent="0.35">
      <c r="A33" s="30">
        <v>177</v>
      </c>
      <c r="B33" s="30" t="s">
        <v>6</v>
      </c>
      <c r="C33" s="31">
        <v>43797</v>
      </c>
      <c r="D33" s="33">
        <f>+D31-D32</f>
        <v>952</v>
      </c>
      <c r="E33" s="32">
        <v>15.624000000000001</v>
      </c>
      <c r="F33" s="32">
        <f>D33*E33</f>
        <v>14874.048000000001</v>
      </c>
      <c r="G33" s="32">
        <f>F33-I33</f>
        <v>14866.39854313099</v>
      </c>
      <c r="H33" s="30">
        <v>1</v>
      </c>
      <c r="I33" s="32">
        <f>10.06/D17*D33</f>
        <v>7.6494568690095841</v>
      </c>
      <c r="J33" s="32">
        <f>G$31/D$31*D33</f>
        <v>23234.339449999999</v>
      </c>
      <c r="L33" s="5">
        <f>+G33-J33</f>
        <v>-8367.9409068690093</v>
      </c>
      <c r="M33" s="5">
        <v>-8367.9409068690093</v>
      </c>
    </row>
    <row r="34" spans="1:13" x14ac:dyDescent="0.35">
      <c r="G34" s="5"/>
      <c r="L34" s="29">
        <f>SUM(L32:L33)</f>
        <v>-12360.491456869007</v>
      </c>
      <c r="M34" s="29">
        <f>SUM(M32:M33)</f>
        <v>-12360.491456869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C9F5-04DD-4DF6-B6C4-239116C295E5}">
  <dimension ref="A1:I100"/>
  <sheetViews>
    <sheetView zoomScale="130" zoomScaleNormal="130" workbookViewId="0">
      <selection activeCell="A7" sqref="A7"/>
    </sheetView>
  </sheetViews>
  <sheetFormatPr defaultRowHeight="14.5" x14ac:dyDescent="0.35"/>
  <cols>
    <col min="1" max="1" width="11.90625" customWidth="1"/>
    <col min="2" max="2" width="9.90625" bestFit="1" customWidth="1"/>
    <col min="3" max="3" width="10.7265625" bestFit="1" customWidth="1"/>
    <col min="4" max="4" width="10.26953125" bestFit="1" customWidth="1"/>
    <col min="5" max="5" width="10.6328125" bestFit="1" customWidth="1"/>
    <col min="6" max="6" width="11.6328125" bestFit="1" customWidth="1"/>
    <col min="7" max="7" width="11.1796875" customWidth="1"/>
    <col min="8" max="9" width="11.90625" customWidth="1"/>
    <col min="10" max="10" width="9.1796875" customWidth="1"/>
  </cols>
  <sheetData>
    <row r="1" spans="1:9" x14ac:dyDescent="0.35">
      <c r="A1" s="1"/>
      <c r="D1" s="2" t="s">
        <v>2</v>
      </c>
      <c r="E1" s="2" t="s">
        <v>3</v>
      </c>
      <c r="F1" s="2" t="s">
        <v>10</v>
      </c>
      <c r="G1">
        <v>206</v>
      </c>
      <c r="H1">
        <v>207</v>
      </c>
      <c r="I1">
        <v>208</v>
      </c>
    </row>
    <row r="2" spans="1:9" x14ac:dyDescent="0.35">
      <c r="A2" s="1" t="s">
        <v>9</v>
      </c>
    </row>
    <row r="3" spans="1:9" x14ac:dyDescent="0.35">
      <c r="A3">
        <v>197</v>
      </c>
      <c r="B3" t="s">
        <v>8</v>
      </c>
      <c r="C3" s="4">
        <v>44473</v>
      </c>
      <c r="D3">
        <v>24.54</v>
      </c>
      <c r="E3" s="5">
        <v>435.1019</v>
      </c>
      <c r="F3" s="5">
        <v>10677.4</v>
      </c>
      <c r="G3">
        <f>D3-D6</f>
        <v>14.54</v>
      </c>
      <c r="H3">
        <v>0</v>
      </c>
      <c r="I3">
        <v>0</v>
      </c>
    </row>
    <row r="4" spans="1:9" x14ac:dyDescent="0.35">
      <c r="A4">
        <v>203</v>
      </c>
      <c r="B4" t="s">
        <v>8</v>
      </c>
      <c r="C4" s="4">
        <v>44496</v>
      </c>
      <c r="D4">
        <v>34.723999999999997</v>
      </c>
      <c r="E4" s="5">
        <v>434.9468</v>
      </c>
      <c r="F4" s="5">
        <v>15103.09</v>
      </c>
      <c r="G4">
        <f>D4</f>
        <v>34.723999999999997</v>
      </c>
      <c r="H4">
        <f>G4+G3-D7</f>
        <v>29.263999999999996</v>
      </c>
      <c r="I4">
        <v>0</v>
      </c>
    </row>
    <row r="5" spans="1:9" x14ac:dyDescent="0.35">
      <c r="A5">
        <v>205</v>
      </c>
      <c r="B5" t="s">
        <v>8</v>
      </c>
      <c r="C5" s="4">
        <v>44524</v>
      </c>
      <c r="D5">
        <v>46.265999999999998</v>
      </c>
      <c r="E5" s="5">
        <v>434.7577</v>
      </c>
      <c r="F5" s="5">
        <v>20114.5</v>
      </c>
      <c r="G5">
        <f>D5</f>
        <v>46.265999999999998</v>
      </c>
      <c r="H5">
        <f>D5</f>
        <v>46.265999999999998</v>
      </c>
      <c r="I5">
        <f>+H4+H5-D8</f>
        <v>35.53</v>
      </c>
    </row>
    <row r="6" spans="1:9" x14ac:dyDescent="0.35">
      <c r="A6">
        <v>206</v>
      </c>
      <c r="B6" t="s">
        <v>6</v>
      </c>
      <c r="C6" s="4">
        <v>44559</v>
      </c>
      <c r="D6">
        <v>10</v>
      </c>
      <c r="E6" s="5">
        <v>500</v>
      </c>
      <c r="F6" s="5">
        <v>5000</v>
      </c>
    </row>
    <row r="7" spans="1:9" x14ac:dyDescent="0.35">
      <c r="A7">
        <v>207</v>
      </c>
      <c r="B7" t="s">
        <v>6</v>
      </c>
      <c r="C7" s="4">
        <v>44559</v>
      </c>
      <c r="D7">
        <v>20</v>
      </c>
      <c r="E7" s="5">
        <v>400</v>
      </c>
      <c r="F7" s="5">
        <v>8000</v>
      </c>
    </row>
    <row r="8" spans="1:9" x14ac:dyDescent="0.35">
      <c r="A8">
        <v>208</v>
      </c>
      <c r="B8" t="s">
        <v>6</v>
      </c>
      <c r="C8" s="4">
        <v>44559</v>
      </c>
      <c r="D8">
        <v>40</v>
      </c>
      <c r="E8" s="5">
        <v>440</v>
      </c>
      <c r="F8" s="5">
        <v>17600</v>
      </c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8C22-9B46-4722-8C3E-CFEEA15AC7BA}">
  <dimension ref="A1:J42"/>
  <sheetViews>
    <sheetView topLeftCell="A4" zoomScale="130" zoomScaleNormal="130" workbookViewId="0">
      <selection activeCell="D14" sqref="D14"/>
    </sheetView>
  </sheetViews>
  <sheetFormatPr defaultRowHeight="14.5" x14ac:dyDescent="0.35"/>
  <cols>
    <col min="1" max="1" width="11.90625" customWidth="1"/>
    <col min="2" max="2" width="9.90625" bestFit="1" customWidth="1"/>
    <col min="3" max="3" width="10.7265625" bestFit="1" customWidth="1"/>
    <col min="4" max="4" width="10.26953125" bestFit="1" customWidth="1"/>
    <col min="5" max="5" width="10.6328125" bestFit="1" customWidth="1"/>
    <col min="6" max="6" width="11.6328125" bestFit="1" customWidth="1"/>
    <col min="7" max="7" width="11.1796875" customWidth="1"/>
    <col min="8" max="9" width="11.90625" customWidth="1"/>
    <col min="10" max="10" width="9.1796875" customWidth="1"/>
  </cols>
  <sheetData>
    <row r="1" spans="1:10" x14ac:dyDescent="0.35">
      <c r="A1" s="1" t="s">
        <v>11</v>
      </c>
      <c r="D1" s="2" t="s">
        <v>2</v>
      </c>
      <c r="E1" s="2" t="s">
        <v>3</v>
      </c>
      <c r="F1" s="2" t="s">
        <v>10</v>
      </c>
      <c r="G1" s="12">
        <v>198</v>
      </c>
      <c r="H1" s="14">
        <v>200</v>
      </c>
    </row>
    <row r="2" spans="1:10" x14ac:dyDescent="0.35">
      <c r="A2">
        <v>173</v>
      </c>
      <c r="B2" t="s">
        <v>8</v>
      </c>
      <c r="C2" s="4">
        <v>43525</v>
      </c>
      <c r="D2" s="6">
        <v>1778.69</v>
      </c>
      <c r="E2" s="5">
        <v>17.05</v>
      </c>
      <c r="F2" s="5">
        <v>30326.66</v>
      </c>
      <c r="G2" s="6">
        <f>D2-D3</f>
        <v>1491.66</v>
      </c>
      <c r="H2" s="6">
        <f>G2-D4</f>
        <v>1204.6300000000001</v>
      </c>
    </row>
    <row r="3" spans="1:10" x14ac:dyDescent="0.35">
      <c r="A3" s="3">
        <v>198</v>
      </c>
      <c r="B3" t="s">
        <v>12</v>
      </c>
      <c r="C3" s="4">
        <v>44470</v>
      </c>
      <c r="D3">
        <v>287.02999999999997</v>
      </c>
      <c r="E3" s="5">
        <v>34.770000000000003</v>
      </c>
      <c r="F3" s="5">
        <v>9980.0300000000007</v>
      </c>
    </row>
    <row r="4" spans="1:10" x14ac:dyDescent="0.35">
      <c r="A4" s="13">
        <v>200</v>
      </c>
      <c r="B4" t="s">
        <v>12</v>
      </c>
      <c r="C4" s="4">
        <v>44473</v>
      </c>
      <c r="D4">
        <v>287.02999999999997</v>
      </c>
      <c r="E4" s="5">
        <v>34.270000000000003</v>
      </c>
      <c r="F4" s="5">
        <v>9836.52</v>
      </c>
    </row>
    <row r="5" spans="1:10" x14ac:dyDescent="0.35">
      <c r="C5" s="4"/>
      <c r="E5" s="5"/>
      <c r="F5" s="5"/>
    </row>
    <row r="6" spans="1:10" x14ac:dyDescent="0.35">
      <c r="A6" s="2" t="s">
        <v>0</v>
      </c>
      <c r="B6" s="2"/>
      <c r="C6" s="2" t="s">
        <v>13</v>
      </c>
      <c r="D6" s="2"/>
      <c r="E6" s="2"/>
      <c r="F6" s="2"/>
      <c r="G6" s="2" t="s">
        <v>2</v>
      </c>
      <c r="H6" s="2" t="s">
        <v>3</v>
      </c>
      <c r="J6" s="1"/>
    </row>
    <row r="7" spans="1:10" x14ac:dyDescent="0.35">
      <c r="A7">
        <v>173</v>
      </c>
      <c r="B7">
        <v>1</v>
      </c>
      <c r="C7">
        <v>27</v>
      </c>
      <c r="D7">
        <v>0</v>
      </c>
      <c r="E7">
        <v>172</v>
      </c>
      <c r="F7" s="4">
        <v>43525</v>
      </c>
      <c r="G7">
        <v>1778.69</v>
      </c>
      <c r="H7" s="7">
        <v>17.05</v>
      </c>
      <c r="J7" s="9"/>
    </row>
    <row r="8" spans="1:10" ht="15" thickBot="1" x14ac:dyDescent="0.4">
      <c r="G8" s="1" t="s">
        <v>16</v>
      </c>
      <c r="H8" s="11">
        <v>37.79</v>
      </c>
    </row>
    <row r="9" spans="1:10" ht="29" x14ac:dyDescent="0.35">
      <c r="A9" s="10" t="s">
        <v>23</v>
      </c>
      <c r="B9" s="10" t="s">
        <v>1</v>
      </c>
      <c r="C9" s="10" t="s">
        <v>22</v>
      </c>
      <c r="D9" s="10" t="s">
        <v>2</v>
      </c>
      <c r="E9" s="10" t="s">
        <v>21</v>
      </c>
      <c r="F9" s="10" t="s">
        <v>20</v>
      </c>
      <c r="G9" s="10" t="s">
        <v>19</v>
      </c>
      <c r="H9" s="17" t="s">
        <v>14</v>
      </c>
      <c r="I9" s="18" t="s">
        <v>15</v>
      </c>
    </row>
    <row r="10" spans="1:10" x14ac:dyDescent="0.35">
      <c r="A10" s="4">
        <v>36841</v>
      </c>
      <c r="B10">
        <v>15</v>
      </c>
      <c r="C10" s="8">
        <v>22.9920399034783</v>
      </c>
      <c r="D10">
        <v>544.95190000000002</v>
      </c>
      <c r="E10" s="8">
        <v>679.64</v>
      </c>
      <c r="F10" s="8">
        <v>0</v>
      </c>
      <c r="G10" s="8">
        <f>E10*F10/D10</f>
        <v>0</v>
      </c>
      <c r="H10" s="19">
        <f>F10*H$7</f>
        <v>0</v>
      </c>
      <c r="I10" s="20">
        <f>G10*C10</f>
        <v>0</v>
      </c>
    </row>
    <row r="11" spans="1:10" x14ac:dyDescent="0.35">
      <c r="A11" s="4">
        <v>41166</v>
      </c>
      <c r="B11">
        <v>16</v>
      </c>
      <c r="C11" s="8">
        <v>18.259999998612201</v>
      </c>
      <c r="D11">
        <v>1065.5911000000001</v>
      </c>
      <c r="E11" s="8">
        <v>547.64509999999996</v>
      </c>
      <c r="F11" s="8">
        <f>D11-29.11</f>
        <v>1036.4811000000002</v>
      </c>
      <c r="G11" s="8">
        <f>E11*F11/D11</f>
        <v>532.68443745223658</v>
      </c>
      <c r="H11" s="19">
        <f t="shared" ref="H11:H12" si="0">F11*H$7</f>
        <v>17672.002755000005</v>
      </c>
      <c r="I11" s="20">
        <f>G11*C11</f>
        <v>9726.8178271385805</v>
      </c>
    </row>
    <row r="12" spans="1:10" x14ac:dyDescent="0.35">
      <c r="A12" s="4">
        <v>41377</v>
      </c>
      <c r="B12">
        <v>17</v>
      </c>
      <c r="C12" s="8">
        <v>19.7899983277443</v>
      </c>
      <c r="D12">
        <v>168.14699999999999</v>
      </c>
      <c r="E12" s="8">
        <v>86.4482</v>
      </c>
      <c r="F12" s="8">
        <v>168.14699999999999</v>
      </c>
      <c r="G12" s="8">
        <f>E12*F12/D12</f>
        <v>86.4482</v>
      </c>
      <c r="H12" s="19">
        <f t="shared" si="0"/>
        <v>2866.9063499999997</v>
      </c>
      <c r="I12" s="20">
        <f>G12*C12</f>
        <v>1710.8097334365048</v>
      </c>
    </row>
    <row r="13" spans="1:10" x14ac:dyDescent="0.35">
      <c r="D13">
        <f>SUM(D10:D12)</f>
        <v>1778.69</v>
      </c>
      <c r="F13" s="8">
        <f>SUM(F10:F12)</f>
        <v>1204.6281000000001</v>
      </c>
      <c r="G13" s="1" t="s">
        <v>7</v>
      </c>
      <c r="H13" s="21">
        <f>SUM(H10:H12)</f>
        <v>20538.909105000006</v>
      </c>
      <c r="I13" s="25">
        <f>SUM(I10:I12)</f>
        <v>11437.627560575085</v>
      </c>
    </row>
    <row r="14" spans="1:10" x14ac:dyDescent="0.35">
      <c r="E14" s="6"/>
      <c r="G14" s="1" t="s">
        <v>17</v>
      </c>
      <c r="H14" s="21">
        <f>H8*H2</f>
        <v>45522.967700000001</v>
      </c>
      <c r="I14" s="22"/>
    </row>
    <row r="15" spans="1:10" ht="15" thickBot="1" x14ac:dyDescent="0.4">
      <c r="B15" s="8"/>
      <c r="G15" s="1" t="s">
        <v>18</v>
      </c>
      <c r="H15" s="23">
        <f>+H14-H13</f>
        <v>24984.058594999995</v>
      </c>
      <c r="I15" s="24">
        <f>H14-I13</f>
        <v>34085.340139424916</v>
      </c>
    </row>
    <row r="17" spans="2:8" x14ac:dyDescent="0.35">
      <c r="H17" s="7"/>
    </row>
    <row r="18" spans="2:8" x14ac:dyDescent="0.35">
      <c r="B18" t="s">
        <v>0</v>
      </c>
      <c r="C18" t="s">
        <v>26</v>
      </c>
      <c r="D18" t="s">
        <v>27</v>
      </c>
      <c r="E18" t="s">
        <v>28</v>
      </c>
      <c r="F18" t="s">
        <v>18</v>
      </c>
      <c r="G18" s="7"/>
    </row>
    <row r="19" spans="2:8" x14ac:dyDescent="0.35">
      <c r="B19">
        <v>108</v>
      </c>
      <c r="C19" s="4">
        <v>42387</v>
      </c>
      <c r="D19" s="5">
        <v>1860.4649999999999</v>
      </c>
      <c r="E19" s="5">
        <v>20.72</v>
      </c>
      <c r="F19" s="5">
        <v>20.72</v>
      </c>
      <c r="G19" s="7"/>
    </row>
    <row r="20" spans="2:8" x14ac:dyDescent="0.35">
      <c r="B20">
        <v>171</v>
      </c>
      <c r="C20" s="4">
        <v>43516</v>
      </c>
      <c r="D20" s="5">
        <v>1895.242</v>
      </c>
      <c r="E20" s="5">
        <v>308.07</v>
      </c>
      <c r="F20" s="5">
        <v>1.77</v>
      </c>
      <c r="G20" s="11"/>
    </row>
    <row r="21" spans="2:8" x14ac:dyDescent="0.35">
      <c r="B21">
        <v>201</v>
      </c>
      <c r="C21" s="4">
        <v>44477</v>
      </c>
      <c r="D21" s="5">
        <v>1904.162</v>
      </c>
      <c r="E21" s="5">
        <v>2140.9699999999998</v>
      </c>
      <c r="F21" s="5">
        <v>-26.57</v>
      </c>
      <c r="G21" s="7">
        <f>SUM(E19:E21)</f>
        <v>2469.7599999999998</v>
      </c>
      <c r="H21" s="5">
        <f>SUM(F19:F21)</f>
        <v>-4.0800000000000018</v>
      </c>
    </row>
    <row r="22" spans="2:8" x14ac:dyDescent="0.35">
      <c r="B22" t="s">
        <v>0</v>
      </c>
      <c r="C22" t="s">
        <v>26</v>
      </c>
      <c r="D22" t="s">
        <v>27</v>
      </c>
      <c r="E22" t="s">
        <v>28</v>
      </c>
      <c r="F22" t="s">
        <v>18</v>
      </c>
      <c r="G22" s="7"/>
    </row>
    <row r="23" spans="2:8" x14ac:dyDescent="0.35">
      <c r="B23">
        <v>199</v>
      </c>
      <c r="C23" s="4">
        <v>44476</v>
      </c>
      <c r="D23" s="5">
        <v>13.04</v>
      </c>
      <c r="E23" s="5">
        <v>1738.21</v>
      </c>
      <c r="F23" s="5">
        <v>-11.33</v>
      </c>
      <c r="G23" s="5">
        <f>+E23</f>
        <v>1738.21</v>
      </c>
      <c r="H23" s="5">
        <f>+F23</f>
        <v>-11.33</v>
      </c>
    </row>
    <row r="24" spans="2:8" x14ac:dyDescent="0.35">
      <c r="C24" s="4"/>
      <c r="D24" s="5"/>
      <c r="E24" s="29"/>
      <c r="F24" s="29"/>
      <c r="G24" s="29">
        <f t="shared" ref="G24" si="1">SUM(G19:G23)</f>
        <v>4207.9699999999993</v>
      </c>
      <c r="H24" s="29">
        <f>SUM(H19:H23)</f>
        <v>-15.410000000000002</v>
      </c>
    </row>
    <row r="25" spans="2:8" x14ac:dyDescent="0.35">
      <c r="C25" s="4"/>
      <c r="D25" s="5"/>
      <c r="E25" s="29"/>
      <c r="F25" t="s">
        <v>24</v>
      </c>
      <c r="G25" s="29">
        <v>4199.55</v>
      </c>
      <c r="H25" s="29">
        <v>-15.37</v>
      </c>
    </row>
    <row r="26" spans="2:8" x14ac:dyDescent="0.35">
      <c r="C26" s="4"/>
      <c r="D26" s="5"/>
      <c r="E26" s="29"/>
      <c r="F26" t="s">
        <v>25</v>
      </c>
      <c r="G26" s="5">
        <f>+G24-G25</f>
        <v>8.4199999999991633</v>
      </c>
      <c r="H26" s="5">
        <f>+H24-H25</f>
        <v>-4.00000000000027E-2</v>
      </c>
    </row>
    <row r="27" spans="2:8" x14ac:dyDescent="0.35">
      <c r="C27" s="4"/>
      <c r="D27" s="5"/>
      <c r="E27" s="5"/>
      <c r="F27" s="5"/>
    </row>
    <row r="28" spans="2:8" x14ac:dyDescent="0.35">
      <c r="B28" t="s">
        <v>0</v>
      </c>
      <c r="C28" t="s">
        <v>26</v>
      </c>
      <c r="D28" t="s">
        <v>27</v>
      </c>
      <c r="E28" t="s">
        <v>28</v>
      </c>
      <c r="F28" t="s">
        <v>18</v>
      </c>
    </row>
    <row r="29" spans="2:8" x14ac:dyDescent="0.35">
      <c r="B29">
        <v>26</v>
      </c>
      <c r="C29" s="4">
        <v>41439</v>
      </c>
      <c r="D29" s="5">
        <v>139.71</v>
      </c>
      <c r="E29" s="5">
        <v>0</v>
      </c>
      <c r="F29" s="5">
        <v>0</v>
      </c>
    </row>
    <row r="30" spans="2:8" x14ac:dyDescent="0.35">
      <c r="B30">
        <v>31</v>
      </c>
      <c r="C30" s="4">
        <v>41976</v>
      </c>
      <c r="D30" s="5">
        <v>168.57</v>
      </c>
      <c r="E30" s="5">
        <v>631.16</v>
      </c>
      <c r="F30" s="5">
        <v>566.08000000000004</v>
      </c>
      <c r="G30" s="5">
        <f>SUM(E29:E30)</f>
        <v>631.16</v>
      </c>
      <c r="H30" s="5">
        <f>SUM(F29:F30)</f>
        <v>566.08000000000004</v>
      </c>
    </row>
    <row r="31" spans="2:8" x14ac:dyDescent="0.35">
      <c r="B31" t="s">
        <v>0</v>
      </c>
      <c r="C31" t="s">
        <v>26</v>
      </c>
      <c r="D31" t="s">
        <v>27</v>
      </c>
      <c r="E31" t="s">
        <v>28</v>
      </c>
      <c r="F31" t="s">
        <v>18</v>
      </c>
    </row>
    <row r="32" spans="2:8" x14ac:dyDescent="0.35">
      <c r="B32">
        <v>197</v>
      </c>
      <c r="C32" s="4">
        <v>44473</v>
      </c>
      <c r="D32" s="5">
        <v>435.10199999999998</v>
      </c>
      <c r="E32" s="5">
        <v>6181.47</v>
      </c>
      <c r="F32" s="5">
        <v>-13.79</v>
      </c>
    </row>
    <row r="33" spans="2:8" x14ac:dyDescent="0.35">
      <c r="B33">
        <v>203</v>
      </c>
      <c r="C33" s="4">
        <v>44496</v>
      </c>
      <c r="D33" s="5">
        <v>434.947</v>
      </c>
      <c r="E33" s="5">
        <v>8577.75</v>
      </c>
      <c r="F33" s="5">
        <v>-14.13</v>
      </c>
    </row>
    <row r="34" spans="2:8" x14ac:dyDescent="0.35">
      <c r="B34">
        <v>205</v>
      </c>
      <c r="C34" s="4">
        <v>44524</v>
      </c>
      <c r="D34" s="5">
        <v>434.75799999999998</v>
      </c>
      <c r="E34" s="5">
        <v>12260.68</v>
      </c>
      <c r="F34" s="5">
        <v>-10.08</v>
      </c>
      <c r="G34" s="5">
        <f>SUM(E32:E34)</f>
        <v>27019.9</v>
      </c>
      <c r="H34" s="5">
        <f>SUM(F32:F34)</f>
        <v>-38</v>
      </c>
    </row>
    <row r="35" spans="2:8" x14ac:dyDescent="0.35">
      <c r="B35" t="s">
        <v>0</v>
      </c>
      <c r="C35" t="s">
        <v>26</v>
      </c>
      <c r="D35" t="s">
        <v>27</v>
      </c>
      <c r="E35" t="s">
        <v>28</v>
      </c>
      <c r="F35" t="s">
        <v>18</v>
      </c>
    </row>
    <row r="36" spans="2:8" x14ac:dyDescent="0.35">
      <c r="B36">
        <v>173</v>
      </c>
      <c r="C36" s="4">
        <v>43525</v>
      </c>
      <c r="D36" s="5">
        <v>17.05</v>
      </c>
      <c r="E36" s="5">
        <v>34085.32</v>
      </c>
      <c r="F36" s="5">
        <v>24984.03</v>
      </c>
      <c r="G36" s="5">
        <f>E36</f>
        <v>34085.32</v>
      </c>
      <c r="H36" s="5">
        <f>F36</f>
        <v>24984.03</v>
      </c>
    </row>
    <row r="37" spans="2:8" x14ac:dyDescent="0.35">
      <c r="B37" t="s">
        <v>0</v>
      </c>
      <c r="C37" t="s">
        <v>26</v>
      </c>
      <c r="D37" t="s">
        <v>27</v>
      </c>
      <c r="E37" t="s">
        <v>28</v>
      </c>
      <c r="F37" t="s">
        <v>18</v>
      </c>
    </row>
    <row r="38" spans="2:8" x14ac:dyDescent="0.35">
      <c r="B38">
        <v>101</v>
      </c>
      <c r="C38" s="4">
        <v>42279</v>
      </c>
      <c r="D38" s="5">
        <v>323.52999999999997</v>
      </c>
      <c r="E38" s="5">
        <v>8666.33</v>
      </c>
      <c r="F38" s="5">
        <v>6180.75</v>
      </c>
      <c r="G38" s="5">
        <f>E38</f>
        <v>8666.33</v>
      </c>
      <c r="H38" s="5">
        <f>F38</f>
        <v>6180.75</v>
      </c>
    </row>
    <row r="39" spans="2:8" x14ac:dyDescent="0.35">
      <c r="E39" s="29"/>
      <c r="G39" s="29">
        <f>SUM(G29:G38)</f>
        <v>70402.710000000006</v>
      </c>
      <c r="H39" s="29">
        <f>SUM(H29:H38)</f>
        <v>31692.86</v>
      </c>
    </row>
    <row r="40" spans="2:8" x14ac:dyDescent="0.35">
      <c r="F40" t="s">
        <v>24</v>
      </c>
      <c r="G40" s="29">
        <v>70786.7</v>
      </c>
      <c r="H40" s="29">
        <v>31693.15</v>
      </c>
    </row>
    <row r="41" spans="2:8" x14ac:dyDescent="0.35">
      <c r="F41" t="s">
        <v>25</v>
      </c>
      <c r="G41" s="5">
        <f>+G39-G40</f>
        <v>-383.98999999999069</v>
      </c>
      <c r="H41" s="5">
        <f>+H39-H40</f>
        <v>-0.29000000000087311</v>
      </c>
    </row>
    <row r="42" spans="2:8" x14ac:dyDescent="0.35">
      <c r="F42" t="s">
        <v>29</v>
      </c>
      <c r="G42" s="29">
        <f>+G24+G39</f>
        <v>74610.680000000008</v>
      </c>
      <c r="H42" s="29">
        <f>+H24+H39</f>
        <v>31677.45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74DA-F909-48E4-B094-8A2D400FEEEF}">
  <dimension ref="A1:I14"/>
  <sheetViews>
    <sheetView topLeftCell="A2" zoomScale="130" zoomScaleNormal="130" workbookViewId="0">
      <selection activeCell="C12" sqref="C12"/>
    </sheetView>
  </sheetViews>
  <sheetFormatPr defaultRowHeight="14.5" x14ac:dyDescent="0.35"/>
  <cols>
    <col min="1" max="1" width="10.7265625" bestFit="1" customWidth="1"/>
    <col min="2" max="2" width="9.90625" bestFit="1" customWidth="1"/>
    <col min="3" max="3" width="10.7265625" bestFit="1" customWidth="1"/>
    <col min="4" max="4" width="9.1796875" bestFit="1" customWidth="1"/>
    <col min="5" max="5" width="9.08984375" bestFit="1" customWidth="1"/>
    <col min="6" max="6" width="11.7265625" bestFit="1" customWidth="1"/>
    <col min="7" max="7" width="9.26953125" customWidth="1"/>
    <col min="8" max="8" width="12.26953125" customWidth="1"/>
    <col min="9" max="9" width="14.453125" customWidth="1"/>
  </cols>
  <sheetData>
    <row r="1" spans="1:9" x14ac:dyDescent="0.35">
      <c r="A1" s="1"/>
      <c r="D1" s="2" t="s">
        <v>2</v>
      </c>
      <c r="E1" s="2" t="s">
        <v>3</v>
      </c>
      <c r="F1" s="2" t="s">
        <v>10</v>
      </c>
    </row>
    <row r="2" spans="1:9" x14ac:dyDescent="0.35">
      <c r="A2">
        <v>199</v>
      </c>
      <c r="B2" t="s">
        <v>8</v>
      </c>
      <c r="C2" s="4">
        <v>44476</v>
      </c>
      <c r="D2">
        <v>765.3691</v>
      </c>
      <c r="E2" s="5">
        <v>13.0395</v>
      </c>
      <c r="F2" s="5">
        <v>9980.0300000000007</v>
      </c>
    </row>
    <row r="5" spans="1:9" x14ac:dyDescent="0.35">
      <c r="A5" s="2" t="s">
        <v>0</v>
      </c>
      <c r="B5" s="2"/>
      <c r="C5" s="2" t="s">
        <v>13</v>
      </c>
      <c r="D5" s="2"/>
      <c r="E5" s="2"/>
      <c r="F5" s="2"/>
      <c r="G5" s="2" t="s">
        <v>2</v>
      </c>
      <c r="H5" s="2" t="s">
        <v>3</v>
      </c>
    </row>
    <row r="6" spans="1:9" x14ac:dyDescent="0.35">
      <c r="A6">
        <v>199</v>
      </c>
      <c r="C6">
        <v>29</v>
      </c>
      <c r="F6" s="4">
        <v>44476.938761574071</v>
      </c>
      <c r="G6" s="15">
        <v>765.3691</v>
      </c>
      <c r="H6" s="16">
        <v>13.039503554559399</v>
      </c>
    </row>
    <row r="7" spans="1:9" x14ac:dyDescent="0.35">
      <c r="G7" s="1" t="s">
        <v>16</v>
      </c>
      <c r="H7" s="11">
        <v>13.024699999999999</v>
      </c>
    </row>
    <row r="8" spans="1:9" ht="15" thickBot="1" x14ac:dyDescent="0.4">
      <c r="G8" s="1"/>
      <c r="H8" s="11"/>
    </row>
    <row r="9" spans="1:9" ht="29" customHeight="1" x14ac:dyDescent="0.35">
      <c r="A9" s="10" t="s">
        <v>23</v>
      </c>
      <c r="B9" s="10" t="s">
        <v>1</v>
      </c>
      <c r="C9" s="10" t="s">
        <v>22</v>
      </c>
      <c r="D9" s="10" t="s">
        <v>2</v>
      </c>
      <c r="E9" s="10" t="s">
        <v>21</v>
      </c>
      <c r="F9" s="10" t="s">
        <v>20</v>
      </c>
      <c r="G9" s="10" t="s">
        <v>19</v>
      </c>
      <c r="H9" s="17" t="s">
        <v>14</v>
      </c>
      <c r="I9" s="18" t="s">
        <v>15</v>
      </c>
    </row>
    <row r="10" spans="1:9" x14ac:dyDescent="0.35">
      <c r="A10" s="4">
        <v>36841</v>
      </c>
      <c r="B10">
        <v>15</v>
      </c>
      <c r="C10" s="8">
        <v>22.9920399034783</v>
      </c>
      <c r="D10">
        <v>765.3691</v>
      </c>
      <c r="E10" s="8">
        <v>357.97120000000001</v>
      </c>
      <c r="F10">
        <f>D10</f>
        <v>765.3691</v>
      </c>
      <c r="G10">
        <f>E10</f>
        <v>357.97120000000001</v>
      </c>
      <c r="H10" s="19">
        <f>G6*H6</f>
        <v>9980.0330999999278</v>
      </c>
      <c r="I10" s="20">
        <f>G10*C10</f>
        <v>8230.4881146960124</v>
      </c>
    </row>
    <row r="11" spans="1:9" ht="15" thickBot="1" x14ac:dyDescent="0.4">
      <c r="G11" s="1" t="s">
        <v>17</v>
      </c>
      <c r="H11" s="21">
        <f>G6*H7</f>
        <v>9968.7029167700002</v>
      </c>
      <c r="I11" s="22"/>
    </row>
    <row r="12" spans="1:9" ht="15" thickBot="1" x14ac:dyDescent="0.4">
      <c r="G12" s="1" t="s">
        <v>18</v>
      </c>
      <c r="H12" s="27">
        <f>H11-H10</f>
        <v>-11.33018322992757</v>
      </c>
      <c r="I12" s="28">
        <f>+H11-I10</f>
        <v>1738.2148020739878</v>
      </c>
    </row>
    <row r="13" spans="1:9" x14ac:dyDescent="0.35">
      <c r="H13" s="1" t="s">
        <v>24</v>
      </c>
      <c r="I13" s="26">
        <v>1035.99</v>
      </c>
    </row>
    <row r="14" spans="1:9" x14ac:dyDescent="0.35">
      <c r="H14" s="1" t="s">
        <v>25</v>
      </c>
      <c r="I14" s="11">
        <f>+I12-I13</f>
        <v>702.2248020739878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F3808-9942-41FF-8964-468989940CAA}">
  <dimension ref="B1:J28"/>
  <sheetViews>
    <sheetView zoomScale="130" zoomScaleNormal="130" workbookViewId="0">
      <selection activeCell="H3" sqref="H3"/>
    </sheetView>
  </sheetViews>
  <sheetFormatPr defaultRowHeight="14.5" x14ac:dyDescent="0.35"/>
  <cols>
    <col min="1" max="1" width="11.90625" customWidth="1"/>
    <col min="2" max="2" width="9.90625" bestFit="1" customWidth="1"/>
    <col min="3" max="3" width="10.7265625" bestFit="1" customWidth="1"/>
    <col min="4" max="4" width="10.26953125" bestFit="1" customWidth="1"/>
    <col min="5" max="5" width="10.6328125" bestFit="1" customWidth="1"/>
    <col min="6" max="6" width="11.6328125" bestFit="1" customWidth="1"/>
    <col min="7" max="7" width="11.1796875" customWidth="1"/>
    <col min="8" max="9" width="11.90625" customWidth="1"/>
    <col min="10" max="10" width="9.1796875" customWidth="1"/>
  </cols>
  <sheetData>
    <row r="1" spans="2:10" x14ac:dyDescent="0.35">
      <c r="H1" s="7"/>
    </row>
    <row r="2" spans="2:10" x14ac:dyDescent="0.35">
      <c r="B2" t="s">
        <v>0</v>
      </c>
      <c r="C2" t="s">
        <v>26</v>
      </c>
      <c r="D2" t="s">
        <v>27</v>
      </c>
      <c r="E2" t="s">
        <v>28</v>
      </c>
      <c r="F2" t="s">
        <v>18</v>
      </c>
      <c r="G2" s="7"/>
    </row>
    <row r="3" spans="2:10" x14ac:dyDescent="0.35">
      <c r="B3">
        <v>108</v>
      </c>
      <c r="C3" s="4">
        <v>42387</v>
      </c>
      <c r="D3" s="5">
        <v>1860.4649999999999</v>
      </c>
      <c r="E3" s="5">
        <v>20.72</v>
      </c>
      <c r="F3" s="5">
        <v>20.72</v>
      </c>
      <c r="G3" s="7"/>
    </row>
    <row r="4" spans="2:10" x14ac:dyDescent="0.35">
      <c r="B4">
        <v>171</v>
      </c>
      <c r="C4" s="4">
        <v>43516</v>
      </c>
      <c r="D4" s="5">
        <v>1895.242</v>
      </c>
      <c r="E4" s="5">
        <v>308.07</v>
      </c>
      <c r="F4" s="5">
        <v>1.77</v>
      </c>
      <c r="G4" s="11"/>
    </row>
    <row r="5" spans="2:10" x14ac:dyDescent="0.35">
      <c r="B5">
        <v>201</v>
      </c>
      <c r="C5" s="4">
        <v>44477</v>
      </c>
      <c r="D5" s="5">
        <v>1904.162</v>
      </c>
      <c r="E5" s="5">
        <v>2140.9699999999998</v>
      </c>
      <c r="F5" s="5">
        <v>-26.57</v>
      </c>
      <c r="G5" s="7">
        <f>SUM(E3:E5)</f>
        <v>2469.7599999999998</v>
      </c>
      <c r="H5" s="5">
        <f>SUM(F3:F5)</f>
        <v>-4.0800000000000018</v>
      </c>
      <c r="I5" s="7">
        <v>3163.56</v>
      </c>
      <c r="J5" s="5">
        <v>-4.04</v>
      </c>
    </row>
    <row r="6" spans="2:10" x14ac:dyDescent="0.35">
      <c r="B6" t="s">
        <v>0</v>
      </c>
      <c r="C6" t="s">
        <v>26</v>
      </c>
      <c r="D6" t="s">
        <v>27</v>
      </c>
      <c r="E6" t="s">
        <v>28</v>
      </c>
      <c r="F6" t="s">
        <v>18</v>
      </c>
      <c r="G6" s="7"/>
    </row>
    <row r="7" spans="2:10" x14ac:dyDescent="0.35">
      <c r="B7">
        <v>199</v>
      </c>
      <c r="C7" s="4">
        <v>44476</v>
      </c>
      <c r="D7" s="5">
        <v>13.04</v>
      </c>
      <c r="E7" s="5">
        <v>1738.21</v>
      </c>
      <c r="F7" s="5">
        <v>-11.33</v>
      </c>
      <c r="G7" s="5">
        <f>+E7</f>
        <v>1738.21</v>
      </c>
      <c r="H7" s="5">
        <f>+F7</f>
        <v>-11.33</v>
      </c>
    </row>
    <row r="8" spans="2:10" x14ac:dyDescent="0.35">
      <c r="C8" s="4"/>
      <c r="D8" s="5"/>
      <c r="E8" s="29"/>
      <c r="F8" s="29"/>
      <c r="G8" s="29">
        <f t="shared" ref="G8" si="0">SUM(G3:G7)</f>
        <v>4207.9699999999993</v>
      </c>
      <c r="H8" s="29">
        <f>SUM(H3:H7)</f>
        <v>-15.410000000000002</v>
      </c>
    </row>
    <row r="9" spans="2:10" x14ac:dyDescent="0.35">
      <c r="C9" s="4"/>
      <c r="D9" s="5"/>
      <c r="E9" s="29"/>
      <c r="F9" t="s">
        <v>24</v>
      </c>
      <c r="G9" s="29">
        <v>4199.55</v>
      </c>
      <c r="H9" s="29">
        <v>-15.37</v>
      </c>
    </row>
    <row r="10" spans="2:10" x14ac:dyDescent="0.35">
      <c r="C10" s="4"/>
      <c r="D10" s="5"/>
      <c r="E10" s="29"/>
      <c r="F10" t="s">
        <v>25</v>
      </c>
      <c r="G10" s="29">
        <f>+G8-G9</f>
        <v>8.4199999999991633</v>
      </c>
      <c r="H10" s="29">
        <f>+H8-H9</f>
        <v>-4.00000000000027E-2</v>
      </c>
    </row>
    <row r="11" spans="2:10" x14ac:dyDescent="0.35">
      <c r="C11" s="4"/>
      <c r="D11" s="5"/>
      <c r="E11" s="5"/>
      <c r="F11" s="5"/>
    </row>
    <row r="12" spans="2:10" x14ac:dyDescent="0.35">
      <c r="B12" t="s">
        <v>0</v>
      </c>
      <c r="C12" t="s">
        <v>26</v>
      </c>
      <c r="D12" t="s">
        <v>27</v>
      </c>
      <c r="E12" t="s">
        <v>28</v>
      </c>
      <c r="F12" t="s">
        <v>18</v>
      </c>
    </row>
    <row r="13" spans="2:10" x14ac:dyDescent="0.35">
      <c r="B13">
        <v>26</v>
      </c>
      <c r="C13" s="4">
        <v>41439</v>
      </c>
      <c r="D13" s="5">
        <v>139.71</v>
      </c>
      <c r="E13" s="5">
        <v>0</v>
      </c>
      <c r="F13" s="5">
        <v>0</v>
      </c>
    </row>
    <row r="14" spans="2:10" x14ac:dyDescent="0.35">
      <c r="B14">
        <v>31</v>
      </c>
      <c r="C14" s="4">
        <v>41976</v>
      </c>
      <c r="D14" s="5">
        <v>168.57</v>
      </c>
      <c r="E14" s="5">
        <v>631.16</v>
      </c>
      <c r="F14" s="5">
        <v>566.08000000000004</v>
      </c>
      <c r="G14" s="5">
        <f>SUM(E13:E14)</f>
        <v>631.16</v>
      </c>
      <c r="H14" s="5">
        <f>SUM(F13:F14)</f>
        <v>566.08000000000004</v>
      </c>
    </row>
    <row r="15" spans="2:10" x14ac:dyDescent="0.35">
      <c r="B15" t="s">
        <v>0</v>
      </c>
      <c r="C15" t="s">
        <v>26</v>
      </c>
      <c r="D15" t="s">
        <v>27</v>
      </c>
      <c r="E15" t="s">
        <v>28</v>
      </c>
      <c r="F15" t="s">
        <v>18</v>
      </c>
    </row>
    <row r="16" spans="2:10" x14ac:dyDescent="0.35">
      <c r="B16">
        <v>197</v>
      </c>
      <c r="C16" s="4">
        <v>44473</v>
      </c>
      <c r="D16" s="5">
        <v>435.10199999999998</v>
      </c>
      <c r="E16" s="5">
        <v>6181.47</v>
      </c>
      <c r="F16" s="5">
        <v>-13.79</v>
      </c>
    </row>
    <row r="17" spans="2:8" x14ac:dyDescent="0.35">
      <c r="B17">
        <v>203</v>
      </c>
      <c r="C17" s="4">
        <v>44496</v>
      </c>
      <c r="D17" s="5">
        <v>434.947</v>
      </c>
      <c r="E17" s="5">
        <v>8577.75</v>
      </c>
      <c r="F17" s="5">
        <v>-14.13</v>
      </c>
    </row>
    <row r="18" spans="2:8" x14ac:dyDescent="0.35">
      <c r="B18">
        <v>205</v>
      </c>
      <c r="C18" s="4">
        <v>44524</v>
      </c>
      <c r="D18" s="5">
        <v>434.75799999999998</v>
      </c>
      <c r="E18" s="5">
        <v>12260.68</v>
      </c>
      <c r="F18" s="5">
        <v>-10.08</v>
      </c>
      <c r="G18" s="5">
        <f>SUM(E16:E18)</f>
        <v>27019.9</v>
      </c>
      <c r="H18" s="5">
        <f>SUM(F16:F18)</f>
        <v>-38</v>
      </c>
    </row>
    <row r="19" spans="2:8" x14ac:dyDescent="0.35">
      <c r="B19" t="s">
        <v>0</v>
      </c>
      <c r="C19" t="s">
        <v>26</v>
      </c>
      <c r="D19" t="s">
        <v>27</v>
      </c>
      <c r="E19" t="s">
        <v>28</v>
      </c>
      <c r="F19" t="s">
        <v>18</v>
      </c>
    </row>
    <row r="20" spans="2:8" x14ac:dyDescent="0.35">
      <c r="B20">
        <v>173</v>
      </c>
      <c r="C20" s="4">
        <v>43525</v>
      </c>
      <c r="D20" s="5">
        <v>17.05</v>
      </c>
      <c r="E20" s="5">
        <v>34085.32</v>
      </c>
      <c r="F20" s="5">
        <v>24984.03</v>
      </c>
      <c r="G20" s="5">
        <f>E20</f>
        <v>34085.32</v>
      </c>
      <c r="H20" s="5">
        <f>F20</f>
        <v>24984.03</v>
      </c>
    </row>
    <row r="21" spans="2:8" x14ac:dyDescent="0.35">
      <c r="B21" t="s">
        <v>0</v>
      </c>
      <c r="C21" t="s">
        <v>26</v>
      </c>
      <c r="D21" t="s">
        <v>27</v>
      </c>
      <c r="E21" t="s">
        <v>28</v>
      </c>
      <c r="F21" t="s">
        <v>18</v>
      </c>
    </row>
    <row r="22" spans="2:8" x14ac:dyDescent="0.35">
      <c r="B22">
        <v>101</v>
      </c>
      <c r="C22" s="4">
        <v>42279</v>
      </c>
      <c r="D22" s="5">
        <v>323.52999999999997</v>
      </c>
      <c r="E22" s="5">
        <v>8666.33</v>
      </c>
      <c r="F22" s="5">
        <v>6180.75</v>
      </c>
      <c r="G22" s="5">
        <f>E22</f>
        <v>8666.33</v>
      </c>
      <c r="H22" s="5">
        <f>F22</f>
        <v>6180.75</v>
      </c>
    </row>
    <row r="23" spans="2:8" x14ac:dyDescent="0.35">
      <c r="E23" s="29"/>
      <c r="G23" s="29">
        <f>SUM(G13:G22)</f>
        <v>70402.710000000006</v>
      </c>
      <c r="H23" s="29">
        <f>SUM(H13:H22)</f>
        <v>31692.86</v>
      </c>
    </row>
    <row r="24" spans="2:8" x14ac:dyDescent="0.35">
      <c r="F24" t="s">
        <v>24</v>
      </c>
      <c r="G24" s="29">
        <v>70786.7</v>
      </c>
      <c r="H24" s="29">
        <v>31693.15</v>
      </c>
    </row>
    <row r="25" spans="2:8" x14ac:dyDescent="0.35">
      <c r="F25" t="s">
        <v>25</v>
      </c>
      <c r="G25" s="29">
        <f>+G23-G24</f>
        <v>-383.98999999999069</v>
      </c>
      <c r="H25" s="29">
        <f>+H23-H24</f>
        <v>-0.29000000000087311</v>
      </c>
    </row>
    <row r="26" spans="2:8" x14ac:dyDescent="0.35">
      <c r="G26" s="29"/>
      <c r="H26" s="29"/>
    </row>
    <row r="27" spans="2:8" x14ac:dyDescent="0.35">
      <c r="F27" t="s">
        <v>29</v>
      </c>
      <c r="G27" s="29">
        <f>+G8+G23</f>
        <v>74610.680000000008</v>
      </c>
      <c r="H27" s="29">
        <f>+H8+H23</f>
        <v>31677.45</v>
      </c>
    </row>
    <row r="28" spans="2:8" x14ac:dyDescent="0.35">
      <c r="F28" t="s">
        <v>30</v>
      </c>
      <c r="G28" s="29">
        <f>G10+G25</f>
        <v>-375.56999999999152</v>
      </c>
      <c r="H28" s="29">
        <f>H10+H25</f>
        <v>-0.33000000000087581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Proves</vt:lpstr>
      <vt:lpstr>Arcelor</vt:lpstr>
      <vt:lpstr>Aberdeen Standard</vt:lpstr>
      <vt:lpstr>27-Global Technology</vt:lpstr>
      <vt:lpstr>29-CS Corto Plazo</vt:lpstr>
      <vt:lpstr>Comparacio Aplic-Web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2021-12-29T15:51:58Z</dcterms:created>
  <dcterms:modified xsi:type="dcterms:W3CDTF">2022-01-01T18:46:55Z</dcterms:modified>
</cp:coreProperties>
</file>