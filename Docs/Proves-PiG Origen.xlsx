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D76F15BB-757C-4BCE-940B-AD79AB20B64D}" xr6:coauthVersionLast="47" xr6:coauthVersionMax="47" xr10:uidLastSave="{00000000-0000-0000-0000-000000000000}"/>
  <bookViews>
    <workbookView xWindow="19090" yWindow="-110" windowWidth="19420" windowHeight="10420" activeTab="2" xr2:uid="{A356EC3C-A36B-4D01-97F4-538073D64CD4}"/>
  </bookViews>
  <sheets>
    <sheet name="Arcelor" sheetId="6" r:id="rId1"/>
    <sheet name="Aberdeen Standard" sheetId="7" r:id="rId2"/>
    <sheet name="27-Global Technology" sheetId="2" r:id="rId3"/>
    <sheet name="29-CS Corto Plazo" sheetId="3" r:id="rId4"/>
    <sheet name="Comparacio Aplic-Web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6" l="1"/>
  <c r="Q13" i="6" s="1"/>
  <c r="M13" i="6"/>
  <c r="P13" i="6"/>
  <c r="H5" i="7"/>
  <c r="G5" i="7"/>
  <c r="G4" i="7"/>
  <c r="G3" i="7"/>
  <c r="K15" i="6"/>
  <c r="J2" i="6"/>
  <c r="J3" i="6" s="1"/>
  <c r="J4" i="6" s="1"/>
  <c r="J5" i="6" s="1"/>
  <c r="J6" i="6" s="1"/>
  <c r="J7" i="6" s="1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G24" i="2" l="1"/>
  <c r="G26" i="2" s="1"/>
  <c r="H4" i="7"/>
  <c r="I5" i="7" s="1"/>
  <c r="J8" i="6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H42" i="2" l="1"/>
  <c r="J9" i="6"/>
  <c r="J10" i="6" s="1"/>
  <c r="J11" i="6" s="1"/>
  <c r="J12" i="6" s="1"/>
  <c r="J13" i="6" s="1"/>
  <c r="K13" i="6" s="1"/>
  <c r="N13" i="6" s="1"/>
  <c r="G27" i="5"/>
  <c r="G42" i="2"/>
  <c r="J14" i="6" l="1"/>
  <c r="J15" i="6" s="1"/>
  <c r="J16" i="6" s="1"/>
  <c r="J17" i="6" l="1"/>
  <c r="J18" i="6" s="1"/>
  <c r="J19" i="6" s="1"/>
  <c r="J20" i="6" s="1"/>
  <c r="J21" i="6" l="1"/>
  <c r="J22" i="6" s="1"/>
  <c r="J23" i="6" s="1"/>
  <c r="J24" i="6" s="1"/>
  <c r="J25" i="6" s="1"/>
</calcChain>
</file>

<file path=xl/sharedStrings.xml><?xml version="1.0" encoding="utf-8"?>
<sst xmlns="http://schemas.openxmlformats.org/spreadsheetml/2006/main" count="162" uniqueCount="38">
  <si>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</si>
  <si>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</si>
  <si>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</si>
  <si>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</si>
  <si>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</si>
  <si>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</si>
  <si>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</si>
  <si>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</si>
  <si>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</si>
  <si>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</si>
  <si>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</si>
  <si>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</si>
  <si>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</si>
  <si>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</si>
  <si>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</si>
  <si>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</si>
  <si>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</si>
  <si>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</si>
  <si>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</si>
  <si>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</si>
  <si>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</si>
  <si>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</si>
  <si>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</si>
  <si>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</si>
  <si>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</si>
  <si>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</si>
  <si>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</si>
  <si>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</si>
  <si>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</si>
  <si>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</si>
  <si>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</si>
  <si>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ContraSplit</t>
  </si>
  <si>
    <t>Dividends</t>
  </si>
  <si>
    <t>Net</t>
  </si>
  <si>
    <t>Venda Brut</t>
  </si>
  <si>
    <t>Div</t>
  </si>
  <si>
    <t>PiG Net</t>
  </si>
  <si>
    <t>PiG Brut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</si>
</sst>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Q25"/>
  <sheetViews>
    <sheetView zoomScale="115" zoomScaleNormal="115" workbookViewId="0">
      <pane ySplit="1" topLeftCell="A11" activePane="bottomLeft" state="frozen"/>
      <selection pane="bottomLeft" activeCell="O13" sqref="O13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" bestFit="1" customWidth="1"/>
    <col min="6" max="7" width="10.54296875" bestFit="1" customWidth="1"/>
    <col min="8" max="8" width="1.90625" hidden="1" customWidth="1"/>
    <col min="9" max="9" width="7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7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33</v>
      </c>
      <c r="H1" s="2"/>
      <c r="I1" s="2" t="s">
        <v>4</v>
      </c>
    </row>
    <row r="2" spans="1:17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</row>
    <row r="3" spans="1:17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J2-D3</f>
        <v>0</v>
      </c>
    </row>
    <row r="4" spans="1:17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J3+D4</f>
        <v>929</v>
      </c>
    </row>
    <row r="5" spans="1:17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>J4-D5</f>
        <v>0</v>
      </c>
    </row>
    <row r="6" spans="1:17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ref="J6:J25" si="0">J5+D6</f>
        <v>5386</v>
      </c>
    </row>
    <row r="7" spans="1:17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>J6-D7</f>
        <v>0</v>
      </c>
    </row>
    <row r="8" spans="1:17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</row>
    <row r="9" spans="1:17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>J8-D9</f>
        <v>0</v>
      </c>
    </row>
    <row r="10" spans="1:17" x14ac:dyDescent="0.35">
      <c r="A10" s="30">
        <v>138</v>
      </c>
      <c r="B10" s="30" t="s">
        <v>31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f>J9</f>
        <v>0</v>
      </c>
      <c r="K10" s="5"/>
    </row>
    <row r="11" spans="1:17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</row>
    <row r="12" spans="1:17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>J11-D12</f>
        <v>0</v>
      </c>
      <c r="M12" s="2" t="s">
        <v>34</v>
      </c>
      <c r="N12" s="2" t="s">
        <v>4</v>
      </c>
      <c r="O12" s="2" t="s">
        <v>35</v>
      </c>
      <c r="P12" s="2" t="s">
        <v>37</v>
      </c>
      <c r="Q12" s="2" t="s">
        <v>36</v>
      </c>
    </row>
    <row r="13" spans="1:17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F14+K13*E17</f>
        <v>26706.527999999998</v>
      </c>
      <c r="N13" s="5">
        <f>I13+I14+I17/D17*K13</f>
        <v>46.219456869009583</v>
      </c>
      <c r="O13" s="5">
        <f>E16/J16*K13</f>
        <v>169.60813559322034</v>
      </c>
      <c r="P13" s="5">
        <f>M13-F13</f>
        <v>-12314.272000000004</v>
      </c>
      <c r="Q13" s="5">
        <f>P13-N13+O13</f>
        <v>-12190.883321275795</v>
      </c>
    </row>
    <row r="14" spans="1:17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>J13-D14</f>
        <v>952</v>
      </c>
    </row>
    <row r="15" spans="1:17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</row>
    <row r="16" spans="1:17" x14ac:dyDescent="0.35">
      <c r="A16" s="30">
        <v>176</v>
      </c>
      <c r="B16" s="30" t="s">
        <v>32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</row>
    <row r="17" spans="1:13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>J16-D17</f>
        <v>400</v>
      </c>
      <c r="M17" s="34"/>
    </row>
    <row r="18" spans="1:13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</row>
    <row r="19" spans="1:13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</row>
    <row r="20" spans="1:13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</row>
    <row r="21" spans="1:13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>J20-D21</f>
        <v>400</v>
      </c>
    </row>
    <row r="22" spans="1:13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</row>
    <row r="23" spans="1:13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</row>
    <row r="24" spans="1:13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</row>
    <row r="25" spans="1:13" x14ac:dyDescent="0.35">
      <c r="A25" s="30">
        <v>195</v>
      </c>
      <c r="B25" s="30" t="s">
        <v>32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abSelected="1" zoomScale="130" zoomScaleNormal="130" workbookViewId="0">
      <selection activeCell="D11" sqref="D11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2021-12-30T05:54:21Z</dcterms:modified>
</cp:coreProperties>
</file>