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3ED4EB06-56D2-4369-A75A-EE075457C5A2}" xr6:coauthVersionLast="47" xr6:coauthVersionMax="47" xr10:uidLastSave="{00000000-0000-0000-0000-000000000000}"/>
  <bookViews>
    <workbookView xWindow="19090" yWindow="-110" windowWidth="19420" windowHeight="10420" activeTab="1" xr2:uid="{A356EC3C-A36B-4D01-97F4-538073D64CD4}"/>
  </bookViews>
  <sheets>
    <sheet name="Sheet1" sheetId="1" r:id="rId1"/>
    <sheet name="Sheet2" sheetId="2" r:id="rId2"/>
    <sheet name="29-CS Corto Plazo B FI" sheetId="3" r:id="rId3"/>
    <sheet name="Comparacio Aplic-Web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5" l="1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H35" i="2"/>
  <c r="G35" i="2"/>
  <c r="G47" i="2"/>
  <c r="H47" i="2"/>
  <c r="G45" i="2"/>
  <c r="H45" i="2"/>
  <c r="G43" i="2"/>
  <c r="H43" i="2"/>
  <c r="G39" i="2"/>
  <c r="H39" i="2"/>
  <c r="G32" i="2"/>
  <c r="H32" i="2"/>
  <c r="G30" i="2"/>
  <c r="G33" i="2" s="1"/>
  <c r="H30" i="2"/>
  <c r="D22" i="2"/>
  <c r="H10" i="3"/>
  <c r="I14" i="3"/>
  <c r="H12" i="3"/>
  <c r="I10" i="3"/>
  <c r="H11" i="3"/>
  <c r="G10" i="3"/>
  <c r="F10" i="3"/>
  <c r="G21" i="2"/>
  <c r="G19" i="2"/>
  <c r="I19" i="2" s="1"/>
  <c r="F20" i="2"/>
  <c r="F22" i="2" s="1"/>
  <c r="I21" i="2"/>
  <c r="H21" i="2"/>
  <c r="H19" i="2"/>
  <c r="G11" i="2"/>
  <c r="H11" i="2" s="1"/>
  <c r="H23" i="2" s="1"/>
  <c r="H5" i="2"/>
  <c r="G5" i="2"/>
  <c r="G4" i="2"/>
  <c r="G3" i="2"/>
  <c r="N12" i="1"/>
  <c r="N10" i="1"/>
  <c r="N9" i="1"/>
  <c r="N8" i="1"/>
  <c r="M9" i="1"/>
  <c r="O9" i="1" s="1"/>
  <c r="M10" i="1"/>
  <c r="O10" i="1" s="1"/>
  <c r="M8" i="1"/>
  <c r="O8" i="1" s="1"/>
  <c r="O5" i="1"/>
  <c r="O4" i="1"/>
  <c r="O3" i="1"/>
  <c r="N4" i="1"/>
  <c r="N5" i="1"/>
  <c r="N3" i="1"/>
  <c r="G23" i="5" l="1"/>
  <c r="G25" i="5" s="1"/>
  <c r="G10" i="5"/>
  <c r="G28" i="5" s="1"/>
  <c r="H27" i="5"/>
  <c r="H10" i="5"/>
  <c r="H28" i="5" s="1"/>
  <c r="H33" i="2"/>
  <c r="H51" i="2"/>
  <c r="G48" i="2"/>
  <c r="G50" i="2" s="1"/>
  <c r="H48" i="2"/>
  <c r="H50" i="2" s="1"/>
  <c r="G20" i="2"/>
  <c r="I20" i="2" s="1"/>
  <c r="H4" i="2"/>
  <c r="I5" i="2" s="1"/>
  <c r="I12" i="3"/>
  <c r="H20" i="2"/>
  <c r="H22" i="2" s="1"/>
  <c r="H24" i="2" s="1"/>
  <c r="I22" i="2"/>
  <c r="I24" i="2" s="1"/>
  <c r="N6" i="1"/>
  <c r="N11" i="1"/>
  <c r="O6" i="1"/>
  <c r="O11" i="1"/>
  <c r="G27" i="5" l="1"/>
  <c r="G51" i="2"/>
</calcChain>
</file>

<file path=xl/sharedStrings.xml><?xml version="1.0" encoding="utf-8"?>
<sst xmlns="http://schemas.openxmlformats.org/spreadsheetml/2006/main" count="145" uniqueCount="37">
  <si>
    <t>Id</t>
  </si>
  <si>
    <t>MovId</t>
  </si>
  <si>
    <t>MovIdOrig</t>
  </si>
  <si>
    <t>Parts</t>
  </si>
  <si>
    <t>PartsOrig</t>
  </si>
  <si>
    <t>PU</t>
  </si>
  <si>
    <t>Desp</t>
  </si>
  <si>
    <t>Compra</t>
  </si>
  <si>
    <t>Venda</t>
  </si>
  <si>
    <t>Prod</t>
  </si>
  <si>
    <t>Cost</t>
  </si>
  <si>
    <t>Cost Orig</t>
  </si>
  <si>
    <t>Compra T</t>
  </si>
  <si>
    <t>Preu Part actual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</si>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</sst>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€&quot;;[Red]\-#,##0.00\ &quot;€&quot;"/>
    <numFmt numFmtId="164" formatCode="#,##0.00\ &quot;€&quot;"/>
    <numFmt numFmtId="165" formatCode="#,##0.000\ &quot;€&quot;"/>
    <numFmt numFmtId="166" formatCode="0.000"/>
    <numFmt numFmtId="167" formatCode="#,##0.000"/>
    <numFmt numFmtId="168" formatCode="#,##0.0000\ _€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4" fontId="0" fillId="0" borderId="0" xfId="0" applyNumberFormat="1"/>
    <xf numFmtId="164" fontId="1" fillId="0" borderId="0" xfId="0" applyNumberFormat="1" applyFont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0" fontId="0" fillId="2" borderId="0" xfId="0" applyFont="1" applyFill="1" applyAlignment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0" fontId="1" fillId="0" borderId="0" xfId="0" applyFont="1" applyAlignment="1">
      <alignment horizontal="center" wrapText="1"/>
    </xf>
    <xf numFmtId="165" fontId="1" fillId="0" borderId="0" xfId="0" applyNumberFormat="1" applyFont="1"/>
    <xf numFmtId="0" fontId="1" fillId="6" borderId="0" xfId="0" applyFont="1" applyFill="1" applyAlignment="1">
      <alignment horizontal="center"/>
    </xf>
    <xf numFmtId="0" fontId="0" fillId="7" borderId="0" xfId="0" applyFill="1"/>
    <xf numFmtId="0" fontId="1" fillId="7" borderId="0" xfId="0" applyFont="1" applyFill="1" applyAlignment="1">
      <alignment horizontal="center"/>
    </xf>
    <xf numFmtId="167" fontId="0" fillId="0" borderId="0" xfId="0" applyNumberFormat="1"/>
    <xf numFmtId="168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165" fontId="1" fillId="0" borderId="3" xfId="0" applyNumberFormat="1" applyFont="1" applyBorder="1"/>
    <xf numFmtId="0" fontId="0" fillId="0" borderId="4" xfId="0" applyBorder="1"/>
    <xf numFmtId="165" fontId="1" fillId="0" borderId="5" xfId="0" applyNumberFormat="1" applyFont="1" applyBorder="1"/>
    <xf numFmtId="165" fontId="1" fillId="0" borderId="6" xfId="0" applyNumberFormat="1" applyFont="1" applyBorder="1"/>
    <xf numFmtId="165" fontId="1" fillId="0" borderId="4" xfId="0" applyNumberFormat="1" applyFont="1" applyBorder="1"/>
    <xf numFmtId="165" fontId="1" fillId="0" borderId="7" xfId="0" applyNumberFormat="1" applyFont="1" applyBorder="1"/>
    <xf numFmtId="165" fontId="1" fillId="0" borderId="8" xfId="0" applyNumberFormat="1" applyFont="1" applyBorder="1"/>
    <xf numFmtId="165" fontId="1" fillId="0" borderId="9" xfId="0" applyNumberFormat="1" applyFont="1" applyBorder="1"/>
    <xf numFmtId="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2EA70-9624-42D6-A177-865438CEB308}">
  <dimension ref="B2:O12"/>
  <sheetViews>
    <sheetView topLeftCell="A10" zoomScale="145" zoomScaleNormal="145" workbookViewId="0">
      <selection activeCell="A14" sqref="A14:G21"/>
    </sheetView>
  </sheetViews>
  <sheetFormatPr defaultRowHeight="14.5" x14ac:dyDescent="0.35"/>
  <cols>
    <col min="2" max="2" width="9" customWidth="1"/>
    <col min="3" max="3" width="10.453125" bestFit="1" customWidth="1"/>
    <col min="4" max="4" width="5.54296875" customWidth="1"/>
    <col min="5" max="5" width="7.7265625" bestFit="1" customWidth="1"/>
    <col min="6" max="6" width="10.26953125" bestFit="1" customWidth="1"/>
    <col min="8" max="8" width="4" customWidth="1"/>
    <col min="9" max="9" width="2.453125" bestFit="1" customWidth="1"/>
    <col min="10" max="10" width="6.1796875" bestFit="1" customWidth="1"/>
    <col min="11" max="11" width="9.6328125" bestFit="1" customWidth="1"/>
    <col min="12" max="12" width="5" bestFit="1" customWidth="1"/>
    <col min="13" max="13" width="8.453125" bestFit="1" customWidth="1"/>
    <col min="14" max="14" width="9.36328125" bestFit="1" customWidth="1"/>
    <col min="15" max="15" width="9.26953125" bestFit="1" customWidth="1"/>
  </cols>
  <sheetData>
    <row r="2" spans="2:15" x14ac:dyDescent="0.35">
      <c r="C2" s="2" t="s">
        <v>0</v>
      </c>
      <c r="D2" s="2" t="s">
        <v>9</v>
      </c>
      <c r="E2" s="2" t="s">
        <v>3</v>
      </c>
      <c r="F2" s="2" t="s">
        <v>5</v>
      </c>
      <c r="G2" s="2" t="s">
        <v>6</v>
      </c>
      <c r="H2" s="2"/>
      <c r="I2" s="2" t="s">
        <v>0</v>
      </c>
      <c r="J2" s="2" t="s">
        <v>1</v>
      </c>
      <c r="K2" s="2" t="s">
        <v>2</v>
      </c>
      <c r="L2" s="2" t="s">
        <v>3</v>
      </c>
      <c r="M2" s="2" t="s">
        <v>4</v>
      </c>
      <c r="N2" s="2" t="s">
        <v>10</v>
      </c>
      <c r="O2" s="2" t="s">
        <v>11</v>
      </c>
    </row>
    <row r="3" spans="2:15" x14ac:dyDescent="0.35">
      <c r="B3" t="s">
        <v>7</v>
      </c>
      <c r="C3" s="3">
        <v>1</v>
      </c>
      <c r="D3" s="3">
        <v>1</v>
      </c>
      <c r="E3" s="3">
        <v>500</v>
      </c>
      <c r="F3" s="9">
        <v>10</v>
      </c>
      <c r="J3" s="12">
        <v>5</v>
      </c>
      <c r="K3">
        <v>1</v>
      </c>
      <c r="L3" s="6">
        <v>5</v>
      </c>
      <c r="M3" s="3">
        <v>100</v>
      </c>
      <c r="N3" s="7">
        <f>L3*F$6</f>
        <v>500</v>
      </c>
      <c r="O3" s="7">
        <f>M3*F3</f>
        <v>1000</v>
      </c>
    </row>
    <row r="4" spans="2:15" x14ac:dyDescent="0.35">
      <c r="B4" t="s">
        <v>7</v>
      </c>
      <c r="C4" s="4">
        <v>2</v>
      </c>
      <c r="D4" s="4">
        <v>2</v>
      </c>
      <c r="E4" s="4">
        <v>10</v>
      </c>
      <c r="F4" s="10">
        <v>20</v>
      </c>
      <c r="J4" s="12">
        <v>5</v>
      </c>
      <c r="K4">
        <v>2</v>
      </c>
      <c r="L4" s="6">
        <v>10</v>
      </c>
      <c r="M4" s="4">
        <v>2</v>
      </c>
      <c r="N4" s="7">
        <f t="shared" ref="N4:N5" si="0">L4*F$6</f>
        <v>1000</v>
      </c>
      <c r="O4" s="7">
        <f t="shared" ref="O4:O5" si="1">M4*F4</f>
        <v>40</v>
      </c>
    </row>
    <row r="5" spans="2:15" x14ac:dyDescent="0.35">
      <c r="B5" t="s">
        <v>7</v>
      </c>
      <c r="C5" s="5">
        <v>3</v>
      </c>
      <c r="D5" s="5">
        <v>3</v>
      </c>
      <c r="E5" s="5">
        <v>30</v>
      </c>
      <c r="F5" s="11">
        <v>3</v>
      </c>
      <c r="J5" s="12">
        <v>5</v>
      </c>
      <c r="K5">
        <v>3</v>
      </c>
      <c r="L5" s="6">
        <v>15</v>
      </c>
      <c r="M5" s="5">
        <v>30</v>
      </c>
      <c r="N5" s="7">
        <f t="shared" si="0"/>
        <v>1500</v>
      </c>
      <c r="O5" s="7">
        <f t="shared" si="1"/>
        <v>90</v>
      </c>
    </row>
    <row r="6" spans="2:15" x14ac:dyDescent="0.35">
      <c r="B6" t="s">
        <v>12</v>
      </c>
      <c r="C6" s="12">
        <v>5</v>
      </c>
      <c r="D6">
        <v>4</v>
      </c>
      <c r="E6" s="6">
        <v>30</v>
      </c>
      <c r="F6" s="7">
        <v>100</v>
      </c>
      <c r="N6" s="8">
        <f>SUM(N3:N5)</f>
        <v>3000</v>
      </c>
      <c r="O6" s="8">
        <f>SUM(O3:O5)</f>
        <v>1130</v>
      </c>
    </row>
    <row r="7" spans="2:15" x14ac:dyDescent="0.35">
      <c r="N7" s="8"/>
      <c r="O7" s="8"/>
    </row>
    <row r="8" spans="2:15" x14ac:dyDescent="0.35">
      <c r="B8" t="s">
        <v>8</v>
      </c>
      <c r="C8">
        <v>6</v>
      </c>
      <c r="D8">
        <v>4</v>
      </c>
      <c r="E8">
        <v>10</v>
      </c>
      <c r="F8" s="7">
        <v>110</v>
      </c>
      <c r="L8" s="6">
        <v>0</v>
      </c>
      <c r="M8" s="3">
        <f>M3/L3*L8</f>
        <v>0</v>
      </c>
      <c r="N8" s="7">
        <f>L8*F$6</f>
        <v>0</v>
      </c>
      <c r="O8" s="7">
        <f>M8*F3</f>
        <v>0</v>
      </c>
    </row>
    <row r="9" spans="2:15" x14ac:dyDescent="0.35">
      <c r="L9" s="6">
        <v>5</v>
      </c>
      <c r="M9" s="4">
        <f>M4/L4*L9</f>
        <v>1</v>
      </c>
      <c r="N9" s="7">
        <f t="shared" ref="N9:N10" si="2">L9*F$6</f>
        <v>500</v>
      </c>
      <c r="O9" s="7">
        <f>M9*F4</f>
        <v>20</v>
      </c>
    </row>
    <row r="10" spans="2:15" x14ac:dyDescent="0.35">
      <c r="L10" s="6">
        <v>15</v>
      </c>
      <c r="M10" s="5">
        <f>M5/L5*L10</f>
        <v>30</v>
      </c>
      <c r="N10" s="7">
        <f t="shared" si="2"/>
        <v>1500</v>
      </c>
      <c r="O10" s="7">
        <f>M10*F5</f>
        <v>90</v>
      </c>
    </row>
    <row r="11" spans="2:15" x14ac:dyDescent="0.35">
      <c r="N11" s="8">
        <f>SUM(N8:N10)</f>
        <v>2000</v>
      </c>
      <c r="O11" s="8">
        <f>SUM(O8:O10)</f>
        <v>110</v>
      </c>
    </row>
    <row r="12" spans="2:15" x14ac:dyDescent="0.35">
      <c r="B12" s="1" t="s">
        <v>13</v>
      </c>
      <c r="F12" s="8">
        <v>120</v>
      </c>
      <c r="N12" s="7">
        <f>SUM(L8:L10)*F12</f>
        <v>2400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51"/>
  <sheetViews>
    <sheetView tabSelected="1" topLeftCell="A13" zoomScale="130" zoomScaleNormal="130" workbookViewId="0">
      <selection activeCell="C10" sqref="C10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/>
      <c r="D1" s="2" t="s">
        <v>3</v>
      </c>
      <c r="E1" s="2" t="s">
        <v>5</v>
      </c>
      <c r="F1" s="2" t="s">
        <v>16</v>
      </c>
      <c r="G1">
        <v>206</v>
      </c>
      <c r="H1">
        <v>207</v>
      </c>
      <c r="I1">
        <v>208</v>
      </c>
    </row>
    <row r="2" spans="1:10" x14ac:dyDescent="0.35">
      <c r="A2" s="1" t="s">
        <v>15</v>
      </c>
    </row>
    <row r="3" spans="1:10" x14ac:dyDescent="0.35">
      <c r="A3">
        <v>197</v>
      </c>
      <c r="B3" t="s">
        <v>14</v>
      </c>
      <c r="C3" s="13">
        <v>44473</v>
      </c>
      <c r="D3">
        <v>24.54</v>
      </c>
      <c r="E3" s="14">
        <v>435.1019</v>
      </c>
      <c r="F3" s="14">
        <v>10677.4</v>
      </c>
      <c r="G3">
        <f>D3-D6</f>
        <v>14.54</v>
      </c>
      <c r="H3">
        <v>0</v>
      </c>
      <c r="I3">
        <v>0</v>
      </c>
    </row>
    <row r="4" spans="1:10" x14ac:dyDescent="0.35">
      <c r="A4">
        <v>203</v>
      </c>
      <c r="B4" t="s">
        <v>14</v>
      </c>
      <c r="C4" s="13">
        <v>44496</v>
      </c>
      <c r="D4">
        <v>34.723999999999997</v>
      </c>
      <c r="E4" s="14">
        <v>434.9468</v>
      </c>
      <c r="F4" s="14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10" x14ac:dyDescent="0.35">
      <c r="A5">
        <v>205</v>
      </c>
      <c r="B5" t="s">
        <v>14</v>
      </c>
      <c r="C5" s="13">
        <v>44524</v>
      </c>
      <c r="D5">
        <v>46.265999999999998</v>
      </c>
      <c r="E5" s="14">
        <v>434.7577</v>
      </c>
      <c r="F5" s="14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10" x14ac:dyDescent="0.35">
      <c r="A6">
        <v>206</v>
      </c>
      <c r="B6" t="s">
        <v>8</v>
      </c>
      <c r="C6" s="13">
        <v>44559</v>
      </c>
      <c r="D6">
        <v>10</v>
      </c>
      <c r="E6" s="14">
        <v>500</v>
      </c>
      <c r="F6" s="14">
        <v>5000</v>
      </c>
    </row>
    <row r="7" spans="1:10" x14ac:dyDescent="0.35">
      <c r="A7">
        <v>207</v>
      </c>
      <c r="B7" t="s">
        <v>8</v>
      </c>
      <c r="C7" s="13">
        <v>44559</v>
      </c>
      <c r="D7">
        <v>20</v>
      </c>
      <c r="E7" s="14">
        <v>400</v>
      </c>
      <c r="F7" s="14">
        <v>8000</v>
      </c>
    </row>
    <row r="8" spans="1:10" x14ac:dyDescent="0.35">
      <c r="A8">
        <v>208</v>
      </c>
      <c r="B8" t="s">
        <v>8</v>
      </c>
      <c r="C8" s="13">
        <v>44559</v>
      </c>
      <c r="D8">
        <v>40</v>
      </c>
      <c r="E8" s="14">
        <v>440</v>
      </c>
      <c r="F8" s="14">
        <v>17600</v>
      </c>
    </row>
    <row r="10" spans="1:10" x14ac:dyDescent="0.35">
      <c r="A10" s="1" t="s">
        <v>17</v>
      </c>
      <c r="D10" s="2" t="s">
        <v>3</v>
      </c>
      <c r="E10" s="2" t="s">
        <v>5</v>
      </c>
      <c r="F10" s="2" t="s">
        <v>16</v>
      </c>
      <c r="G10" s="21">
        <v>198</v>
      </c>
      <c r="H10" s="23">
        <v>200</v>
      </c>
    </row>
    <row r="11" spans="1:10" x14ac:dyDescent="0.35">
      <c r="A11">
        <v>173</v>
      </c>
      <c r="B11" t="s">
        <v>14</v>
      </c>
      <c r="C11" s="13">
        <v>43525</v>
      </c>
      <c r="D11" s="15">
        <v>1778.69</v>
      </c>
      <c r="E11" s="14">
        <v>17.05</v>
      </c>
      <c r="F11" s="14">
        <v>30326.66</v>
      </c>
      <c r="G11" s="15">
        <f>D11-D12</f>
        <v>1491.66</v>
      </c>
      <c r="H11" s="15">
        <f>G11-D13</f>
        <v>1204.6300000000001</v>
      </c>
    </row>
    <row r="12" spans="1:10" x14ac:dyDescent="0.35">
      <c r="A12" s="6">
        <v>198</v>
      </c>
      <c r="B12" t="s">
        <v>18</v>
      </c>
      <c r="C12" s="13">
        <v>44470</v>
      </c>
      <c r="D12">
        <v>287.02999999999997</v>
      </c>
      <c r="E12" s="14">
        <v>34.770000000000003</v>
      </c>
      <c r="F12" s="14">
        <v>9980.0300000000007</v>
      </c>
    </row>
    <row r="13" spans="1:10" x14ac:dyDescent="0.35">
      <c r="A13" s="22">
        <v>200</v>
      </c>
      <c r="B13" t="s">
        <v>18</v>
      </c>
      <c r="C13" s="13">
        <v>44473</v>
      </c>
      <c r="D13">
        <v>287.02999999999997</v>
      </c>
      <c r="E13" s="14">
        <v>34.270000000000003</v>
      </c>
      <c r="F13" s="14">
        <v>9836.52</v>
      </c>
    </row>
    <row r="14" spans="1:10" x14ac:dyDescent="0.35">
      <c r="C14" s="13"/>
      <c r="E14" s="14"/>
      <c r="F14" s="14"/>
    </row>
    <row r="15" spans="1:10" x14ac:dyDescent="0.35">
      <c r="A15" s="2" t="s">
        <v>0</v>
      </c>
      <c r="B15" s="2"/>
      <c r="C15" s="2" t="s">
        <v>19</v>
      </c>
      <c r="D15" s="2"/>
      <c r="E15" s="2"/>
      <c r="F15" s="2"/>
      <c r="G15" s="2" t="s">
        <v>3</v>
      </c>
      <c r="H15" s="2" t="s">
        <v>5</v>
      </c>
      <c r="J15" s="1"/>
    </row>
    <row r="16" spans="1:10" x14ac:dyDescent="0.35">
      <c r="A16">
        <v>173</v>
      </c>
      <c r="B16">
        <v>1</v>
      </c>
      <c r="C16">
        <v>27</v>
      </c>
      <c r="D16">
        <v>0</v>
      </c>
      <c r="E16">
        <v>172</v>
      </c>
      <c r="F16" s="13">
        <v>43525</v>
      </c>
      <c r="G16">
        <v>1778.69</v>
      </c>
      <c r="H16" s="16">
        <v>17.05</v>
      </c>
      <c r="J16" s="18"/>
    </row>
    <row r="17" spans="1:9" ht="15" thickBot="1" x14ac:dyDescent="0.4">
      <c r="G17" s="1" t="s">
        <v>22</v>
      </c>
      <c r="H17" s="20">
        <v>37.79</v>
      </c>
    </row>
    <row r="18" spans="1:9" ht="29" x14ac:dyDescent="0.35">
      <c r="A18" s="19" t="s">
        <v>29</v>
      </c>
      <c r="B18" s="19" t="s">
        <v>2</v>
      </c>
      <c r="C18" s="19" t="s">
        <v>28</v>
      </c>
      <c r="D18" s="19" t="s">
        <v>3</v>
      </c>
      <c r="E18" s="19" t="s">
        <v>27</v>
      </c>
      <c r="F18" s="19" t="s">
        <v>26</v>
      </c>
      <c r="G18" s="19" t="s">
        <v>25</v>
      </c>
      <c r="H18" s="26" t="s">
        <v>20</v>
      </c>
      <c r="I18" s="27" t="s">
        <v>21</v>
      </c>
    </row>
    <row r="19" spans="1:9" x14ac:dyDescent="0.35">
      <c r="A19" s="13">
        <v>36841</v>
      </c>
      <c r="B19">
        <v>15</v>
      </c>
      <c r="C19" s="17">
        <v>22.9920399034783</v>
      </c>
      <c r="D19">
        <v>544.95190000000002</v>
      </c>
      <c r="E19" s="17">
        <v>679.64</v>
      </c>
      <c r="F19" s="17">
        <v>0</v>
      </c>
      <c r="G19" s="17">
        <f>E19*F19/D19</f>
        <v>0</v>
      </c>
      <c r="H19" s="28">
        <f>F19*H$16</f>
        <v>0</v>
      </c>
      <c r="I19" s="29">
        <f>G19*C19</f>
        <v>0</v>
      </c>
    </row>
    <row r="20" spans="1:9" x14ac:dyDescent="0.35">
      <c r="A20" s="13">
        <v>41166</v>
      </c>
      <c r="B20">
        <v>16</v>
      </c>
      <c r="C20" s="17">
        <v>18.259999998612201</v>
      </c>
      <c r="D20">
        <v>1065.5911000000001</v>
      </c>
      <c r="E20" s="17">
        <v>547.64509999999996</v>
      </c>
      <c r="F20" s="17">
        <f>D20-29.11</f>
        <v>1036.4811000000002</v>
      </c>
      <c r="G20" s="17">
        <f>E20*F20/D20</f>
        <v>532.68443745223658</v>
      </c>
      <c r="H20" s="28">
        <f t="shared" ref="H20:H21" si="0">F20*H$16</f>
        <v>17672.002755000005</v>
      </c>
      <c r="I20" s="29">
        <f>G20*C20</f>
        <v>9726.8178271385805</v>
      </c>
    </row>
    <row r="21" spans="1:9" x14ac:dyDescent="0.35">
      <c r="A21" s="13">
        <v>41377</v>
      </c>
      <c r="B21">
        <v>17</v>
      </c>
      <c r="C21" s="17">
        <v>19.7899983277443</v>
      </c>
      <c r="D21">
        <v>168.14699999999999</v>
      </c>
      <c r="E21" s="17">
        <v>86.4482</v>
      </c>
      <c r="F21" s="17">
        <v>168.14699999999999</v>
      </c>
      <c r="G21" s="17">
        <f>E21*F21/D21</f>
        <v>86.4482</v>
      </c>
      <c r="H21" s="28">
        <f t="shared" si="0"/>
        <v>2866.9063499999997</v>
      </c>
      <c r="I21" s="29">
        <f>G21*C21</f>
        <v>1710.8097334365048</v>
      </c>
    </row>
    <row r="22" spans="1:9" x14ac:dyDescent="0.35">
      <c r="D22">
        <f>SUM(D19:D21)</f>
        <v>1778.69</v>
      </c>
      <c r="F22" s="17">
        <f>SUM(F19:F21)</f>
        <v>1204.6281000000001</v>
      </c>
      <c r="G22" s="1" t="s">
        <v>10</v>
      </c>
      <c r="H22" s="30">
        <f>SUM(H19:H21)</f>
        <v>20538.909105000006</v>
      </c>
      <c r="I22" s="34">
        <f>SUM(I19:I21)</f>
        <v>11437.627560575085</v>
      </c>
    </row>
    <row r="23" spans="1:9" x14ac:dyDescent="0.35">
      <c r="E23" s="15"/>
      <c r="G23" s="1" t="s">
        <v>23</v>
      </c>
      <c r="H23" s="30">
        <f>H17*H11</f>
        <v>45522.967700000001</v>
      </c>
      <c r="I23" s="31"/>
    </row>
    <row r="24" spans="1:9" ht="15" thickBot="1" x14ac:dyDescent="0.4">
      <c r="B24" s="17"/>
      <c r="G24" s="1" t="s">
        <v>24</v>
      </c>
      <c r="H24" s="32">
        <f>+H23-H22</f>
        <v>24984.058594999995</v>
      </c>
      <c r="I24" s="33">
        <f>H23-I22</f>
        <v>34085.340139424916</v>
      </c>
    </row>
    <row r="26" spans="1:9" x14ac:dyDescent="0.35">
      <c r="H26" s="16"/>
    </row>
    <row r="27" spans="1:9" x14ac:dyDescent="0.35">
      <c r="B27" t="s">
        <v>0</v>
      </c>
      <c r="C27" t="s">
        <v>32</v>
      </c>
      <c r="D27" t="s">
        <v>33</v>
      </c>
      <c r="E27" t="s">
        <v>34</v>
      </c>
      <c r="F27" t="s">
        <v>24</v>
      </c>
      <c r="G27" s="16"/>
    </row>
    <row r="28" spans="1:9" x14ac:dyDescent="0.35">
      <c r="B28">
        <v>108</v>
      </c>
      <c r="C28" s="13">
        <v>42387</v>
      </c>
      <c r="D28" s="14">
        <v>1860.4649999999999</v>
      </c>
      <c r="E28" s="14">
        <v>20.72</v>
      </c>
      <c r="F28" s="14">
        <v>20.72</v>
      </c>
      <c r="G28" s="16"/>
    </row>
    <row r="29" spans="1:9" x14ac:dyDescent="0.35">
      <c r="B29">
        <v>171</v>
      </c>
      <c r="C29" s="13">
        <v>43516</v>
      </c>
      <c r="D29" s="14">
        <v>1895.242</v>
      </c>
      <c r="E29" s="14">
        <v>308.07</v>
      </c>
      <c r="F29" s="14">
        <v>1.77</v>
      </c>
      <c r="G29" s="20"/>
    </row>
    <row r="30" spans="1:9" x14ac:dyDescent="0.35">
      <c r="B30">
        <v>201</v>
      </c>
      <c r="C30" s="13">
        <v>44477</v>
      </c>
      <c r="D30" s="14">
        <v>1904.162</v>
      </c>
      <c r="E30" s="14">
        <v>2140.9699999999998</v>
      </c>
      <c r="F30" s="14">
        <v>-26.57</v>
      </c>
      <c r="G30" s="16">
        <f>SUM(E28:E30)</f>
        <v>2469.7599999999998</v>
      </c>
      <c r="H30" s="14">
        <f>SUM(F28:F30)</f>
        <v>-4.0800000000000018</v>
      </c>
    </row>
    <row r="31" spans="1:9" x14ac:dyDescent="0.35">
      <c r="B31" t="s">
        <v>0</v>
      </c>
      <c r="C31" t="s">
        <v>32</v>
      </c>
      <c r="D31" t="s">
        <v>33</v>
      </c>
      <c r="E31" t="s">
        <v>34</v>
      </c>
      <c r="F31" t="s">
        <v>24</v>
      </c>
      <c r="G31" s="16"/>
    </row>
    <row r="32" spans="1:9" x14ac:dyDescent="0.35">
      <c r="B32">
        <v>199</v>
      </c>
      <c r="C32" s="13">
        <v>44476</v>
      </c>
      <c r="D32" s="14">
        <v>13.04</v>
      </c>
      <c r="E32" s="14">
        <v>1738.21</v>
      </c>
      <c r="F32" s="14">
        <v>-11.33</v>
      </c>
      <c r="G32" s="14">
        <f>+E32</f>
        <v>1738.21</v>
      </c>
      <c r="H32" s="14">
        <f>+F32</f>
        <v>-11.33</v>
      </c>
    </row>
    <row r="33" spans="2:8" x14ac:dyDescent="0.35">
      <c r="C33" s="13"/>
      <c r="D33" s="14"/>
      <c r="E33" s="38"/>
      <c r="F33" s="38"/>
      <c r="G33" s="38">
        <f t="shared" ref="G33" si="1">SUM(G28:G32)</f>
        <v>4207.9699999999993</v>
      </c>
      <c r="H33" s="38">
        <f>SUM(H28:H32)</f>
        <v>-15.410000000000002</v>
      </c>
    </row>
    <row r="34" spans="2:8" x14ac:dyDescent="0.35">
      <c r="C34" s="13"/>
      <c r="D34" s="14"/>
      <c r="E34" s="38"/>
      <c r="F34" t="s">
        <v>30</v>
      </c>
      <c r="G34" s="38">
        <v>4199.55</v>
      </c>
      <c r="H34" s="38">
        <v>-15.37</v>
      </c>
    </row>
    <row r="35" spans="2:8" x14ac:dyDescent="0.35">
      <c r="C35" s="13"/>
      <c r="D35" s="14"/>
      <c r="E35" s="38"/>
      <c r="F35" t="s">
        <v>31</v>
      </c>
      <c r="G35" s="14">
        <f>+G33-G34</f>
        <v>8.4199999999991633</v>
      </c>
      <c r="H35" s="14">
        <f>+H33-H34</f>
        <v>-4.00000000000027E-2</v>
      </c>
    </row>
    <row r="36" spans="2:8" x14ac:dyDescent="0.35">
      <c r="C36" s="13"/>
      <c r="D36" s="14"/>
      <c r="E36" s="14"/>
      <c r="F36" s="14"/>
    </row>
    <row r="37" spans="2:8" x14ac:dyDescent="0.35">
      <c r="B37" t="s">
        <v>0</v>
      </c>
      <c r="C37" t="s">
        <v>32</v>
      </c>
      <c r="D37" t="s">
        <v>33</v>
      </c>
      <c r="E37" t="s">
        <v>34</v>
      </c>
      <c r="F37" t="s">
        <v>24</v>
      </c>
    </row>
    <row r="38" spans="2:8" x14ac:dyDescent="0.35">
      <c r="B38">
        <v>26</v>
      </c>
      <c r="C38" s="13">
        <v>41439</v>
      </c>
      <c r="D38" s="14">
        <v>139.71</v>
      </c>
      <c r="E38" s="14">
        <v>0</v>
      </c>
      <c r="F38" s="14">
        <v>0</v>
      </c>
    </row>
    <row r="39" spans="2:8" x14ac:dyDescent="0.35">
      <c r="B39">
        <v>31</v>
      </c>
      <c r="C39" s="13">
        <v>41976</v>
      </c>
      <c r="D39" s="14">
        <v>168.57</v>
      </c>
      <c r="E39" s="14">
        <v>631.16</v>
      </c>
      <c r="F39" s="14">
        <v>566.08000000000004</v>
      </c>
      <c r="G39" s="14">
        <f>SUM(E38:E39)</f>
        <v>631.16</v>
      </c>
      <c r="H39" s="14">
        <f>SUM(F38:F39)</f>
        <v>566.08000000000004</v>
      </c>
    </row>
    <row r="40" spans="2:8" x14ac:dyDescent="0.35">
      <c r="B40" t="s">
        <v>0</v>
      </c>
      <c r="C40" t="s">
        <v>32</v>
      </c>
      <c r="D40" t="s">
        <v>33</v>
      </c>
      <c r="E40" t="s">
        <v>34</v>
      </c>
      <c r="F40" t="s">
        <v>24</v>
      </c>
    </row>
    <row r="41" spans="2:8" x14ac:dyDescent="0.35">
      <c r="B41">
        <v>197</v>
      </c>
      <c r="C41" s="13">
        <v>44473</v>
      </c>
      <c r="D41" s="14">
        <v>435.10199999999998</v>
      </c>
      <c r="E41" s="14">
        <v>6181.47</v>
      </c>
      <c r="F41" s="14">
        <v>-13.79</v>
      </c>
    </row>
    <row r="42" spans="2:8" x14ac:dyDescent="0.35">
      <c r="B42">
        <v>203</v>
      </c>
      <c r="C42" s="13">
        <v>44496</v>
      </c>
      <c r="D42" s="14">
        <v>434.947</v>
      </c>
      <c r="E42" s="14">
        <v>8577.75</v>
      </c>
      <c r="F42" s="14">
        <v>-14.13</v>
      </c>
    </row>
    <row r="43" spans="2:8" x14ac:dyDescent="0.35">
      <c r="B43">
        <v>205</v>
      </c>
      <c r="C43" s="13">
        <v>44524</v>
      </c>
      <c r="D43" s="14">
        <v>434.75799999999998</v>
      </c>
      <c r="E43" s="14">
        <v>12260.68</v>
      </c>
      <c r="F43" s="14">
        <v>-10.08</v>
      </c>
      <c r="G43" s="14">
        <f>SUM(E41:E43)</f>
        <v>27019.9</v>
      </c>
      <c r="H43" s="14">
        <f>SUM(F41:F43)</f>
        <v>-38</v>
      </c>
    </row>
    <row r="44" spans="2:8" x14ac:dyDescent="0.35">
      <c r="B44" t="s">
        <v>0</v>
      </c>
      <c r="C44" t="s">
        <v>32</v>
      </c>
      <c r="D44" t="s">
        <v>33</v>
      </c>
      <c r="E44" t="s">
        <v>34</v>
      </c>
      <c r="F44" t="s">
        <v>24</v>
      </c>
    </row>
    <row r="45" spans="2:8" x14ac:dyDescent="0.35">
      <c r="B45">
        <v>173</v>
      </c>
      <c r="C45" s="13">
        <v>43525</v>
      </c>
      <c r="D45" s="14">
        <v>17.05</v>
      </c>
      <c r="E45" s="14">
        <v>34085.32</v>
      </c>
      <c r="F45" s="14">
        <v>24984.03</v>
      </c>
      <c r="G45" s="14">
        <f>E45</f>
        <v>34085.32</v>
      </c>
      <c r="H45" s="14">
        <f>F45</f>
        <v>24984.03</v>
      </c>
    </row>
    <row r="46" spans="2:8" x14ac:dyDescent="0.35">
      <c r="B46" t="s">
        <v>0</v>
      </c>
      <c r="C46" t="s">
        <v>32</v>
      </c>
      <c r="D46" t="s">
        <v>33</v>
      </c>
      <c r="E46" t="s">
        <v>34</v>
      </c>
      <c r="F46" t="s">
        <v>24</v>
      </c>
    </row>
    <row r="47" spans="2:8" x14ac:dyDescent="0.35">
      <c r="B47">
        <v>101</v>
      </c>
      <c r="C47" s="13">
        <v>42279</v>
      </c>
      <c r="D47" s="14">
        <v>323.52999999999997</v>
      </c>
      <c r="E47" s="14">
        <v>8666.33</v>
      </c>
      <c r="F47" s="14">
        <v>6180.75</v>
      </c>
      <c r="G47" s="14">
        <f>E47</f>
        <v>8666.33</v>
      </c>
      <c r="H47" s="14">
        <f>F47</f>
        <v>6180.75</v>
      </c>
    </row>
    <row r="48" spans="2:8" x14ac:dyDescent="0.35">
      <c r="E48" s="38"/>
      <c r="G48" s="38">
        <f>SUM(G38:G47)</f>
        <v>70402.710000000006</v>
      </c>
      <c r="H48" s="38">
        <f>SUM(H38:H47)</f>
        <v>31692.86</v>
      </c>
    </row>
    <row r="49" spans="6:8" x14ac:dyDescent="0.35">
      <c r="F49" t="s">
        <v>30</v>
      </c>
      <c r="G49" s="38">
        <v>70786.7</v>
      </c>
      <c r="H49" s="38">
        <v>31693.15</v>
      </c>
    </row>
    <row r="50" spans="6:8" x14ac:dyDescent="0.35">
      <c r="F50" t="s">
        <v>31</v>
      </c>
      <c r="G50" s="14">
        <f>+G48-G49</f>
        <v>-383.98999999999069</v>
      </c>
      <c r="H50" s="14">
        <f>+H48-H49</f>
        <v>-0.29000000000087311</v>
      </c>
    </row>
    <row r="51" spans="6:8" x14ac:dyDescent="0.35">
      <c r="F51" t="s">
        <v>35</v>
      </c>
      <c r="G51" s="38">
        <f>+G33+G48</f>
        <v>74610.680000000008</v>
      </c>
      <c r="H51" s="38">
        <f>+H33+H48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B13" sqref="B13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3</v>
      </c>
      <c r="E1" s="2" t="s">
        <v>5</v>
      </c>
      <c r="F1" s="2" t="s">
        <v>16</v>
      </c>
    </row>
    <row r="2" spans="1:9" x14ac:dyDescent="0.35">
      <c r="A2">
        <v>199</v>
      </c>
      <c r="B2" t="s">
        <v>14</v>
      </c>
      <c r="C2" s="13">
        <v>44476</v>
      </c>
      <c r="D2">
        <v>765.3691</v>
      </c>
      <c r="E2" s="14">
        <v>13.0395</v>
      </c>
      <c r="F2" s="14">
        <v>9980.0300000000007</v>
      </c>
    </row>
    <row r="5" spans="1:9" x14ac:dyDescent="0.35">
      <c r="A5" s="2" t="s">
        <v>0</v>
      </c>
      <c r="B5" s="2"/>
      <c r="C5" s="2" t="s">
        <v>19</v>
      </c>
      <c r="D5" s="2"/>
      <c r="E5" s="2"/>
      <c r="F5" s="2"/>
      <c r="G5" s="2" t="s">
        <v>3</v>
      </c>
      <c r="H5" s="2" t="s">
        <v>5</v>
      </c>
    </row>
    <row r="6" spans="1:9" x14ac:dyDescent="0.35">
      <c r="A6">
        <v>199</v>
      </c>
      <c r="C6">
        <v>29</v>
      </c>
      <c r="F6" s="13">
        <v>44476.938761574071</v>
      </c>
      <c r="G6" s="24">
        <v>765.3691</v>
      </c>
      <c r="H6" s="25">
        <v>13.039503554559399</v>
      </c>
    </row>
    <row r="7" spans="1:9" x14ac:dyDescent="0.35">
      <c r="G7" s="1" t="s">
        <v>22</v>
      </c>
      <c r="H7" s="20">
        <v>13.024699999999999</v>
      </c>
    </row>
    <row r="8" spans="1:9" ht="15" thickBot="1" x14ac:dyDescent="0.4">
      <c r="G8" s="1"/>
      <c r="H8" s="20"/>
    </row>
    <row r="9" spans="1:9" ht="29" customHeight="1" x14ac:dyDescent="0.35">
      <c r="A9" s="19" t="s">
        <v>29</v>
      </c>
      <c r="B9" s="19" t="s">
        <v>2</v>
      </c>
      <c r="C9" s="19" t="s">
        <v>28</v>
      </c>
      <c r="D9" s="19" t="s">
        <v>3</v>
      </c>
      <c r="E9" s="19" t="s">
        <v>27</v>
      </c>
      <c r="F9" s="19" t="s">
        <v>26</v>
      </c>
      <c r="G9" s="19" t="s">
        <v>25</v>
      </c>
      <c r="H9" s="26" t="s">
        <v>20</v>
      </c>
      <c r="I9" s="27" t="s">
        <v>21</v>
      </c>
    </row>
    <row r="10" spans="1:9" x14ac:dyDescent="0.35">
      <c r="A10" s="13">
        <v>36841</v>
      </c>
      <c r="B10">
        <v>15</v>
      </c>
      <c r="C10" s="17">
        <v>22.9920399034783</v>
      </c>
      <c r="D10">
        <v>765.3691</v>
      </c>
      <c r="E10" s="17">
        <v>357.97120000000001</v>
      </c>
      <c r="F10">
        <f>D10</f>
        <v>765.3691</v>
      </c>
      <c r="G10">
        <f>E10</f>
        <v>357.97120000000001</v>
      </c>
      <c r="H10" s="28">
        <f>G6*H6</f>
        <v>9980.0330999999278</v>
      </c>
      <c r="I10" s="29">
        <f>G10*C10</f>
        <v>8230.4881146960124</v>
      </c>
    </row>
    <row r="11" spans="1:9" ht="15" thickBot="1" x14ac:dyDescent="0.4">
      <c r="G11" s="1" t="s">
        <v>23</v>
      </c>
      <c r="H11" s="30">
        <f>G6*H7</f>
        <v>9968.7029167700002</v>
      </c>
      <c r="I11" s="31"/>
    </row>
    <row r="12" spans="1:9" ht="15" thickBot="1" x14ac:dyDescent="0.4">
      <c r="G12" s="1" t="s">
        <v>24</v>
      </c>
      <c r="H12" s="36">
        <f>H11-H10</f>
        <v>-11.33018322992757</v>
      </c>
      <c r="I12" s="37">
        <f>+H11-I10</f>
        <v>1738.2148020739878</v>
      </c>
    </row>
    <row r="13" spans="1:9" x14ac:dyDescent="0.35">
      <c r="H13" s="1" t="s">
        <v>30</v>
      </c>
      <c r="I13" s="35">
        <v>1035.99</v>
      </c>
    </row>
    <row r="14" spans="1:9" x14ac:dyDescent="0.35">
      <c r="H14" s="1" t="s">
        <v>31</v>
      </c>
      <c r="I14" s="20">
        <f>+I12-I13</f>
        <v>702.2248020739878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16"/>
    </row>
    <row r="2" spans="2:10" x14ac:dyDescent="0.35">
      <c r="B2" t="s">
        <v>0</v>
      </c>
      <c r="C2" t="s">
        <v>32</v>
      </c>
      <c r="D2" t="s">
        <v>33</v>
      </c>
      <c r="E2" t="s">
        <v>34</v>
      </c>
      <c r="F2" t="s">
        <v>24</v>
      </c>
      <c r="G2" s="16"/>
    </row>
    <row r="3" spans="2:10" x14ac:dyDescent="0.35">
      <c r="B3">
        <v>108</v>
      </c>
      <c r="C3" s="13">
        <v>42387</v>
      </c>
      <c r="D3" s="14">
        <v>1860.4649999999999</v>
      </c>
      <c r="E3" s="14">
        <v>20.72</v>
      </c>
      <c r="F3" s="14">
        <v>20.72</v>
      </c>
      <c r="G3" s="16"/>
    </row>
    <row r="4" spans="2:10" x14ac:dyDescent="0.35">
      <c r="B4">
        <v>171</v>
      </c>
      <c r="C4" s="13">
        <v>43516</v>
      </c>
      <c r="D4" s="14">
        <v>1895.242</v>
      </c>
      <c r="E4" s="14">
        <v>308.07</v>
      </c>
      <c r="F4" s="14">
        <v>1.77</v>
      </c>
      <c r="G4" s="20"/>
    </row>
    <row r="5" spans="2:10" x14ac:dyDescent="0.35">
      <c r="B5">
        <v>201</v>
      </c>
      <c r="C5" s="13">
        <v>44477</v>
      </c>
      <c r="D5" s="14">
        <v>1904.162</v>
      </c>
      <c r="E5" s="14">
        <v>2140.9699999999998</v>
      </c>
      <c r="F5" s="14">
        <v>-26.57</v>
      </c>
      <c r="G5" s="16">
        <f>SUM(E3:E5)</f>
        <v>2469.7599999999998</v>
      </c>
      <c r="H5" s="14">
        <f>SUM(F3:F5)</f>
        <v>-4.0800000000000018</v>
      </c>
      <c r="I5" s="16">
        <v>3163.56</v>
      </c>
      <c r="J5" s="14">
        <v>-4.04</v>
      </c>
    </row>
    <row r="6" spans="2:10" x14ac:dyDescent="0.35">
      <c r="B6" t="s">
        <v>0</v>
      </c>
      <c r="C6" t="s">
        <v>32</v>
      </c>
      <c r="D6" t="s">
        <v>33</v>
      </c>
      <c r="E6" t="s">
        <v>34</v>
      </c>
      <c r="F6" t="s">
        <v>24</v>
      </c>
      <c r="G6" s="16"/>
    </row>
    <row r="7" spans="2:10" x14ac:dyDescent="0.35">
      <c r="B7">
        <v>199</v>
      </c>
      <c r="C7" s="13">
        <v>44476</v>
      </c>
      <c r="D7" s="14">
        <v>13.04</v>
      </c>
      <c r="E7" s="14">
        <v>1738.21</v>
      </c>
      <c r="F7" s="14">
        <v>-11.33</v>
      </c>
      <c r="G7" s="14">
        <f>+E7</f>
        <v>1738.21</v>
      </c>
      <c r="H7" s="14">
        <f>+F7</f>
        <v>-11.33</v>
      </c>
    </row>
    <row r="8" spans="2:10" x14ac:dyDescent="0.35">
      <c r="C8" s="13"/>
      <c r="D8" s="14"/>
      <c r="E8" s="38"/>
      <c r="F8" s="38"/>
      <c r="G8" s="38">
        <f t="shared" ref="G8" si="0">SUM(G3:G7)</f>
        <v>4207.9699999999993</v>
      </c>
      <c r="H8" s="38">
        <f>SUM(H3:H7)</f>
        <v>-15.410000000000002</v>
      </c>
    </row>
    <row r="9" spans="2:10" x14ac:dyDescent="0.35">
      <c r="C9" s="13"/>
      <c r="D9" s="14"/>
      <c r="E9" s="38"/>
      <c r="F9" t="s">
        <v>30</v>
      </c>
      <c r="G9" s="38">
        <v>4199.55</v>
      </c>
      <c r="H9" s="38">
        <v>-15.37</v>
      </c>
    </row>
    <row r="10" spans="2:10" x14ac:dyDescent="0.35">
      <c r="C10" s="13"/>
      <c r="D10" s="14"/>
      <c r="E10" s="38"/>
      <c r="F10" t="s">
        <v>31</v>
      </c>
      <c r="G10" s="38">
        <f>+G8-G9</f>
        <v>8.4199999999991633</v>
      </c>
      <c r="H10" s="38">
        <f>+H8-H9</f>
        <v>-4.00000000000027E-2</v>
      </c>
    </row>
    <row r="11" spans="2:10" x14ac:dyDescent="0.35">
      <c r="C11" s="13"/>
      <c r="D11" s="14"/>
      <c r="E11" s="14"/>
      <c r="F11" s="14"/>
    </row>
    <row r="12" spans="2:10" x14ac:dyDescent="0.35">
      <c r="B12" t="s">
        <v>0</v>
      </c>
      <c r="C12" t="s">
        <v>32</v>
      </c>
      <c r="D12" t="s">
        <v>33</v>
      </c>
      <c r="E12" t="s">
        <v>34</v>
      </c>
      <c r="F12" t="s">
        <v>24</v>
      </c>
    </row>
    <row r="13" spans="2:10" x14ac:dyDescent="0.35">
      <c r="B13">
        <v>26</v>
      </c>
      <c r="C13" s="13">
        <v>41439</v>
      </c>
      <c r="D13" s="14">
        <v>139.71</v>
      </c>
      <c r="E13" s="14">
        <v>0</v>
      </c>
      <c r="F13" s="14">
        <v>0</v>
      </c>
    </row>
    <row r="14" spans="2:10" x14ac:dyDescent="0.35">
      <c r="B14">
        <v>31</v>
      </c>
      <c r="C14" s="13">
        <v>41976</v>
      </c>
      <c r="D14" s="14">
        <v>168.57</v>
      </c>
      <c r="E14" s="14">
        <v>631.16</v>
      </c>
      <c r="F14" s="14">
        <v>566.08000000000004</v>
      </c>
      <c r="G14" s="14">
        <f>SUM(E13:E14)</f>
        <v>631.16</v>
      </c>
      <c r="H14" s="14">
        <f>SUM(F13:F14)</f>
        <v>566.08000000000004</v>
      </c>
    </row>
    <row r="15" spans="2:10" x14ac:dyDescent="0.35">
      <c r="B15" t="s">
        <v>0</v>
      </c>
      <c r="C15" t="s">
        <v>32</v>
      </c>
      <c r="D15" t="s">
        <v>33</v>
      </c>
      <c r="E15" t="s">
        <v>34</v>
      </c>
      <c r="F15" t="s">
        <v>24</v>
      </c>
    </row>
    <row r="16" spans="2:10" x14ac:dyDescent="0.35">
      <c r="B16">
        <v>197</v>
      </c>
      <c r="C16" s="13">
        <v>44473</v>
      </c>
      <c r="D16" s="14">
        <v>435.10199999999998</v>
      </c>
      <c r="E16" s="14">
        <v>6181.47</v>
      </c>
      <c r="F16" s="14">
        <v>-13.79</v>
      </c>
    </row>
    <row r="17" spans="2:8" x14ac:dyDescent="0.35">
      <c r="B17">
        <v>203</v>
      </c>
      <c r="C17" s="13">
        <v>44496</v>
      </c>
      <c r="D17" s="14">
        <v>434.947</v>
      </c>
      <c r="E17" s="14">
        <v>8577.75</v>
      </c>
      <c r="F17" s="14">
        <v>-14.13</v>
      </c>
    </row>
    <row r="18" spans="2:8" x14ac:dyDescent="0.35">
      <c r="B18">
        <v>205</v>
      </c>
      <c r="C18" s="13">
        <v>44524</v>
      </c>
      <c r="D18" s="14">
        <v>434.75799999999998</v>
      </c>
      <c r="E18" s="14">
        <v>12260.68</v>
      </c>
      <c r="F18" s="14">
        <v>-10.08</v>
      </c>
      <c r="G18" s="14">
        <f>SUM(E16:E18)</f>
        <v>27019.9</v>
      </c>
      <c r="H18" s="14">
        <f>SUM(F16:F18)</f>
        <v>-38</v>
      </c>
    </row>
    <row r="19" spans="2:8" x14ac:dyDescent="0.35">
      <c r="B19" t="s">
        <v>0</v>
      </c>
      <c r="C19" t="s">
        <v>32</v>
      </c>
      <c r="D19" t="s">
        <v>33</v>
      </c>
      <c r="E19" t="s">
        <v>34</v>
      </c>
      <c r="F19" t="s">
        <v>24</v>
      </c>
    </row>
    <row r="20" spans="2:8" x14ac:dyDescent="0.35">
      <c r="B20">
        <v>173</v>
      </c>
      <c r="C20" s="13">
        <v>43525</v>
      </c>
      <c r="D20" s="14">
        <v>17.05</v>
      </c>
      <c r="E20" s="14">
        <v>34085.32</v>
      </c>
      <c r="F20" s="14">
        <v>24984.03</v>
      </c>
      <c r="G20" s="14">
        <f>E20</f>
        <v>34085.32</v>
      </c>
      <c r="H20" s="14">
        <f>F20</f>
        <v>24984.03</v>
      </c>
    </row>
    <row r="21" spans="2:8" x14ac:dyDescent="0.35">
      <c r="B21" t="s">
        <v>0</v>
      </c>
      <c r="C21" t="s">
        <v>32</v>
      </c>
      <c r="D21" t="s">
        <v>33</v>
      </c>
      <c r="E21" t="s">
        <v>34</v>
      </c>
      <c r="F21" t="s">
        <v>24</v>
      </c>
    </row>
    <row r="22" spans="2:8" x14ac:dyDescent="0.35">
      <c r="B22">
        <v>101</v>
      </c>
      <c r="C22" s="13">
        <v>42279</v>
      </c>
      <c r="D22" s="14">
        <v>323.52999999999997</v>
      </c>
      <c r="E22" s="14">
        <v>8666.33</v>
      </c>
      <c r="F22" s="14">
        <v>6180.75</v>
      </c>
      <c r="G22" s="14">
        <f>E22</f>
        <v>8666.33</v>
      </c>
      <c r="H22" s="14">
        <f>F22</f>
        <v>6180.75</v>
      </c>
    </row>
    <row r="23" spans="2:8" x14ac:dyDescent="0.35">
      <c r="E23" s="38"/>
      <c r="G23" s="38">
        <f>SUM(G13:G22)</f>
        <v>70402.710000000006</v>
      </c>
      <c r="H23" s="38">
        <f>SUM(H13:H22)</f>
        <v>31692.86</v>
      </c>
    </row>
    <row r="24" spans="2:8" x14ac:dyDescent="0.35">
      <c r="F24" t="s">
        <v>30</v>
      </c>
      <c r="G24" s="38">
        <v>70786.7</v>
      </c>
      <c r="H24" s="38">
        <v>31693.15</v>
      </c>
    </row>
    <row r="25" spans="2:8" x14ac:dyDescent="0.35">
      <c r="F25" t="s">
        <v>31</v>
      </c>
      <c r="G25" s="38">
        <f>+G23-G24</f>
        <v>-383.98999999999069</v>
      </c>
      <c r="H25" s="38">
        <f>+H23-H24</f>
        <v>-0.29000000000087311</v>
      </c>
    </row>
    <row r="26" spans="2:8" x14ac:dyDescent="0.35">
      <c r="G26" s="38"/>
      <c r="H26" s="38"/>
    </row>
    <row r="27" spans="2:8" x14ac:dyDescent="0.35">
      <c r="F27" t="s">
        <v>35</v>
      </c>
      <c r="G27" s="38">
        <f>+G8+G23</f>
        <v>74610.680000000008</v>
      </c>
      <c r="H27" s="38">
        <f>+H8+H23</f>
        <v>31677.45</v>
      </c>
    </row>
    <row r="28" spans="2:8" x14ac:dyDescent="0.35">
      <c r="F28" t="s">
        <v>36</v>
      </c>
      <c r="G28" s="38">
        <f>G10+G25</f>
        <v>-375.56999999999152</v>
      </c>
      <c r="H28" s="38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29-CS Corto Plazo B FI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2021-12-29T20:24:50Z</dcterms:modified>
</cp:coreProperties>
</file>