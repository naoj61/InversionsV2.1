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is\C#\_Actiu\InversionsV2\Docs\"/>
    </mc:Choice>
  </mc:AlternateContent>
  <xr:revisionPtr revIDLastSave="0" documentId="8_{C465ECEB-4A15-4177-A11D-A12DAA5A8B7D}" xr6:coauthVersionLast="47" xr6:coauthVersionMax="47" xr10:uidLastSave="{00000000-0000-0000-0000-000000000000}"/>
  <bookViews>
    <workbookView xWindow="-110" yWindow="-110" windowWidth="19420" windowHeight="10420" xr2:uid="{E775F588-9C6E-458A-93E6-94A441657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5" i="1" l="1"/>
  <c r="L54" i="1"/>
  <c r="K54" i="1"/>
  <c r="K52" i="1"/>
  <c r="L42" i="1"/>
  <c r="K42" i="1"/>
  <c r="K41" i="1"/>
</calcChain>
</file>

<file path=xl/sharedStrings.xml><?xml version="1.0" encoding="utf-8"?>
<sst xmlns="http://schemas.openxmlformats.org/spreadsheetml/2006/main" count="51" uniqueCount="13">
  <si>
    <t>Id</t>
  </si>
  <si>
    <t>Id C</t>
  </si>
  <si>
    <t>Data C</t>
  </si>
  <si>
    <t>Parts C</t>
  </si>
  <si>
    <t>PU C</t>
  </si>
  <si>
    <t>Id O</t>
  </si>
  <si>
    <t>Data O</t>
  </si>
  <si>
    <t>Parts O</t>
  </si>
  <si>
    <t>PU O</t>
  </si>
  <si>
    <t>Traspàs V</t>
  </si>
  <si>
    <t>Compra</t>
  </si>
  <si>
    <t>Traspàs C</t>
  </si>
  <si>
    <t>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</si>
</sst>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6" formatCode="#,##0.000"/>
    <numFmt numFmtId="168" formatCode="#,##0.000\ &quot;€&quot;"/>
    <numFmt numFmtId="176" formatCode="#,##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4" fontId="1" fillId="0" borderId="0" xfId="0" applyNumberFormat="1" applyFont="1" applyAlignment="1">
      <alignment horizontal="center"/>
    </xf>
    <xf numFmtId="14" fontId="0" fillId="0" borderId="0" xfId="0" applyNumberFormat="1"/>
    <xf numFmtId="166" fontId="0" fillId="0" borderId="0" xfId="0" applyNumberFormat="1"/>
    <xf numFmtId="168" fontId="1" fillId="0" borderId="0" xfId="0" applyNumberFormat="1" applyFont="1" applyAlignment="1">
      <alignment horizontal="center"/>
    </xf>
    <xf numFmtId="168" fontId="0" fillId="0" borderId="0" xfId="0" applyNumberFormat="1"/>
    <xf numFmtId="0" fontId="0" fillId="2" borderId="0" xfId="0" applyFill="1"/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8" fontId="0" fillId="0" borderId="0" xfId="0" applyNumberFormat="1"/>
    <xf numFmtId="8" fontId="0" fillId="0" borderId="0" xfId="0" applyNumberFormat="1" applyAlignment="1">
      <alignment vertical="center" wrapText="1"/>
    </xf>
    <xf numFmtId="0" fontId="0" fillId="0" borderId="0" xfId="0" applyAlignment="1"/>
    <xf numFmtId="0" fontId="0" fillId="0" borderId="0" xfId="0" applyFill="1"/>
    <xf numFmtId="0" fontId="0" fillId="0" borderId="0" xfId="0" applyFill="1" applyAlignment="1">
      <alignment vertical="center" wrapText="1"/>
    </xf>
    <xf numFmtId="14" fontId="0" fillId="0" borderId="0" xfId="0" applyNumberFormat="1" applyFill="1"/>
    <xf numFmtId="166" fontId="0" fillId="0" borderId="0" xfId="0" applyNumberFormat="1" applyFill="1"/>
    <xf numFmtId="168" fontId="0" fillId="0" borderId="0" xfId="0" applyNumberFormat="1" applyFill="1"/>
    <xf numFmtId="0" fontId="0" fillId="0" borderId="0" xfId="0" applyFill="1" applyAlignment="1">
      <alignment vertical="center"/>
    </xf>
    <xf numFmtId="14" fontId="0" fillId="0" borderId="0" xfId="0" applyNumberFormat="1" applyFill="1" applyAlignment="1">
      <alignment vertical="center" wrapText="1"/>
    </xf>
    <xf numFmtId="0" fontId="0" fillId="0" borderId="0" xfId="0" applyFill="1" applyAlignment="1"/>
    <xf numFmtId="166" fontId="0" fillId="0" borderId="0" xfId="0" applyNumberFormat="1" applyFill="1" applyAlignment="1">
      <alignment vertical="center" wrapText="1"/>
    </xf>
    <xf numFmtId="166" fontId="0" fillId="0" borderId="0" xfId="0" applyNumberFormat="1" applyAlignment="1">
      <alignment vertical="center" wrapText="1"/>
    </xf>
    <xf numFmtId="168" fontId="0" fillId="0" borderId="0" xfId="0" applyNumberFormat="1" applyFill="1" applyAlignment="1">
      <alignment vertical="center" wrapText="1"/>
    </xf>
    <xf numFmtId="168" fontId="0" fillId="0" borderId="0" xfId="0" applyNumberFormat="1" applyAlignment="1">
      <alignment vertical="center" wrapText="1"/>
    </xf>
    <xf numFmtId="0" fontId="0" fillId="3" borderId="0" xfId="0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8" fontId="0" fillId="3" borderId="0" xfId="0" applyNumberFormat="1" applyFill="1" applyAlignment="1">
      <alignment vertical="center" wrapText="1"/>
    </xf>
    <xf numFmtId="0" fontId="0" fillId="3" borderId="0" xfId="0" applyFill="1"/>
    <xf numFmtId="14" fontId="0" fillId="3" borderId="0" xfId="0" applyNumberFormat="1" applyFill="1"/>
    <xf numFmtId="166" fontId="0" fillId="3" borderId="0" xfId="0" applyNumberFormat="1" applyFill="1"/>
    <xf numFmtId="168" fontId="0" fillId="3" borderId="0" xfId="0" applyNumberFormat="1" applyFill="1"/>
    <xf numFmtId="0" fontId="0" fillId="3" borderId="0" xfId="0" applyFill="1" applyAlignment="1"/>
    <xf numFmtId="168" fontId="1" fillId="0" borderId="0" xfId="0" applyNumberFormat="1" applyFont="1"/>
    <xf numFmtId="176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24331-EAA2-40C9-97EE-10F522D695A8}">
  <dimension ref="A1:M60"/>
  <sheetViews>
    <sheetView tabSelected="1" topLeftCell="B1" zoomScale="145" zoomScaleNormal="145" workbookViewId="0">
      <pane ySplit="1" topLeftCell="A20" activePane="bottomLeft" state="frozen"/>
      <selection pane="bottomLeft" activeCell="K54" sqref="K54"/>
    </sheetView>
  </sheetViews>
  <sheetFormatPr defaultRowHeight="14.5" x14ac:dyDescent="0.35"/>
  <cols>
    <col min="1" max="1" width="4.81640625" hidden="1" customWidth="1"/>
    <col min="2" max="2" width="4.81640625" bestFit="1" customWidth="1"/>
    <col min="3" max="3" width="8.81640625" style="12" bestFit="1" customWidth="1"/>
    <col min="4" max="4" width="10.453125" style="2" bestFit="1" customWidth="1"/>
    <col min="5" max="5" width="8.81640625" bestFit="1" customWidth="1"/>
    <col min="6" max="6" width="11.26953125" style="5" bestFit="1" customWidth="1"/>
    <col min="7" max="7" width="6.36328125" bestFit="1" customWidth="1"/>
    <col min="8" max="8" width="10.453125" style="2" bestFit="1" customWidth="1"/>
    <col min="9" max="9" width="9.08984375" bestFit="1" customWidth="1"/>
    <col min="10" max="10" width="7.7265625" style="5" bestFit="1" customWidth="1"/>
    <col min="11" max="11" width="10.26953125" bestFit="1" customWidth="1"/>
    <col min="12" max="12" width="11.26953125" bestFit="1" customWidth="1"/>
    <col min="13" max="13" width="10.26953125" bestFit="1" customWidth="1"/>
  </cols>
  <sheetData>
    <row r="1" spans="1:10" x14ac:dyDescent="0.35">
      <c r="A1" s="7" t="s">
        <v>0</v>
      </c>
      <c r="B1" s="7" t="s">
        <v>1</v>
      </c>
      <c r="C1" s="7"/>
      <c r="D1" s="1" t="s">
        <v>2</v>
      </c>
      <c r="E1" s="7" t="s">
        <v>3</v>
      </c>
      <c r="F1" s="4" t="s">
        <v>4</v>
      </c>
      <c r="G1" s="7" t="s">
        <v>5</v>
      </c>
      <c r="H1" s="1" t="s">
        <v>6</v>
      </c>
      <c r="I1" s="7" t="s">
        <v>7</v>
      </c>
      <c r="J1" s="4" t="s">
        <v>8</v>
      </c>
    </row>
    <row r="2" spans="1:10" x14ac:dyDescent="0.35">
      <c r="A2">
        <v>1</v>
      </c>
      <c r="B2" s="13">
        <v>15</v>
      </c>
      <c r="C2" s="14" t="s">
        <v>10</v>
      </c>
      <c r="D2" s="15">
        <v>36841</v>
      </c>
      <c r="E2" s="16">
        <v>679.64</v>
      </c>
      <c r="F2" s="17">
        <v>22.9920399034783</v>
      </c>
      <c r="G2" s="13">
        <v>15</v>
      </c>
      <c r="H2" s="15">
        <v>36841</v>
      </c>
      <c r="I2" s="16">
        <v>679.64</v>
      </c>
      <c r="J2" s="17">
        <v>22.9920399034783</v>
      </c>
    </row>
    <row r="3" spans="1:10" x14ac:dyDescent="0.35">
      <c r="B3" s="14">
        <v>23</v>
      </c>
      <c r="C3" s="18" t="s">
        <v>9</v>
      </c>
      <c r="D3" s="19">
        <v>41383</v>
      </c>
      <c r="E3" s="21">
        <v>679.64</v>
      </c>
      <c r="F3" s="23">
        <v>8.1097999999999999</v>
      </c>
      <c r="G3" s="13"/>
      <c r="H3" s="15"/>
      <c r="I3" s="16"/>
      <c r="J3" s="17"/>
    </row>
    <row r="4" spans="1:10" x14ac:dyDescent="0.35">
      <c r="B4" s="14"/>
      <c r="C4" s="18"/>
      <c r="D4" s="19"/>
      <c r="E4" s="21"/>
      <c r="F4" s="23"/>
      <c r="G4" s="13"/>
      <c r="H4" s="15"/>
      <c r="I4" s="16"/>
      <c r="J4" s="17"/>
    </row>
    <row r="5" spans="1:10" x14ac:dyDescent="0.35">
      <c r="A5" s="6">
        <v>58</v>
      </c>
      <c r="B5" s="13">
        <v>24</v>
      </c>
      <c r="C5" s="20" t="s">
        <v>11</v>
      </c>
      <c r="D5" s="15">
        <v>41383.000011574077</v>
      </c>
      <c r="E5" s="16">
        <v>280.07</v>
      </c>
      <c r="F5" s="17">
        <v>19.679972863926899</v>
      </c>
      <c r="G5" s="13">
        <v>15</v>
      </c>
      <c r="H5" s="15">
        <v>36841</v>
      </c>
      <c r="I5" s="16">
        <v>679.64</v>
      </c>
      <c r="J5" s="17">
        <v>22.9920399034783</v>
      </c>
    </row>
    <row r="6" spans="1:10" x14ac:dyDescent="0.35">
      <c r="A6" s="6"/>
      <c r="B6" s="14">
        <v>25</v>
      </c>
      <c r="C6" s="14" t="s">
        <v>9</v>
      </c>
      <c r="D6" s="19">
        <v>41439</v>
      </c>
      <c r="E6" s="21">
        <v>1838.3261</v>
      </c>
      <c r="F6" s="23">
        <v>18.95</v>
      </c>
      <c r="G6" s="13"/>
      <c r="H6" s="15"/>
      <c r="I6" s="16"/>
      <c r="J6" s="17"/>
    </row>
    <row r="7" spans="1:10" x14ac:dyDescent="0.35">
      <c r="A7" s="6"/>
      <c r="B7" s="14"/>
      <c r="C7" s="14"/>
      <c r="D7" s="19"/>
      <c r="E7" s="21"/>
      <c r="F7" s="23"/>
      <c r="G7" s="13"/>
      <c r="H7" s="15"/>
      <c r="I7" s="16"/>
      <c r="J7" s="17"/>
    </row>
    <row r="8" spans="1:10" x14ac:dyDescent="0.35">
      <c r="A8">
        <v>60</v>
      </c>
      <c r="B8" s="13">
        <v>26</v>
      </c>
      <c r="C8" s="20" t="s">
        <v>11</v>
      </c>
      <c r="D8" s="15">
        <v>41439.000011574077</v>
      </c>
      <c r="E8" s="16">
        <v>37.988199999999999</v>
      </c>
      <c r="F8" s="17">
        <v>139.70998660100699</v>
      </c>
      <c r="G8" s="13">
        <v>15</v>
      </c>
      <c r="H8" s="15">
        <v>36841</v>
      </c>
      <c r="I8" s="16">
        <v>679.64009999999996</v>
      </c>
      <c r="J8" s="17">
        <v>22.9920399034783</v>
      </c>
    </row>
    <row r="9" spans="1:10" x14ac:dyDescent="0.35">
      <c r="A9">
        <v>61</v>
      </c>
      <c r="B9" s="13">
        <v>26</v>
      </c>
      <c r="C9" s="20" t="s">
        <v>11</v>
      </c>
      <c r="D9" s="15">
        <v>41439.000011574077</v>
      </c>
      <c r="E9" s="16">
        <v>74.281599999999997</v>
      </c>
      <c r="F9" s="17">
        <v>139.70998660100699</v>
      </c>
      <c r="G9" s="13">
        <v>16</v>
      </c>
      <c r="H9" s="15">
        <v>41166</v>
      </c>
      <c r="I9" s="16">
        <v>547.64509999999996</v>
      </c>
      <c r="J9" s="17">
        <v>18.259999998612201</v>
      </c>
    </row>
    <row r="10" spans="1:10" x14ac:dyDescent="0.35">
      <c r="A10">
        <v>62</v>
      </c>
      <c r="B10" s="13">
        <v>26</v>
      </c>
      <c r="C10" s="20" t="s">
        <v>11</v>
      </c>
      <c r="D10" s="15">
        <v>41439.000011574077</v>
      </c>
      <c r="E10" s="16">
        <v>137.07740000000001</v>
      </c>
      <c r="F10" s="17">
        <v>139.70998660100699</v>
      </c>
      <c r="G10" s="13">
        <v>17</v>
      </c>
      <c r="H10" s="15">
        <v>41377</v>
      </c>
      <c r="I10" s="16">
        <v>1010.611</v>
      </c>
      <c r="J10" s="17">
        <v>19.7899983277443</v>
      </c>
    </row>
    <row r="11" spans="1:10" x14ac:dyDescent="0.35">
      <c r="B11" s="8">
        <v>28</v>
      </c>
      <c r="C11" s="8" t="s">
        <v>9</v>
      </c>
      <c r="D11" s="9">
        <v>41794</v>
      </c>
      <c r="E11" s="22">
        <v>249</v>
      </c>
      <c r="F11" s="24">
        <v>172.04</v>
      </c>
      <c r="G11" s="13"/>
      <c r="H11" s="15"/>
      <c r="I11" s="16"/>
      <c r="J11" s="17"/>
    </row>
    <row r="12" spans="1:10" x14ac:dyDescent="0.35">
      <c r="B12" s="13"/>
      <c r="C12" s="20"/>
      <c r="D12" s="15"/>
      <c r="E12" s="16"/>
      <c r="F12" s="17"/>
      <c r="G12" s="13"/>
      <c r="H12" s="15"/>
      <c r="I12" s="16"/>
      <c r="J12" s="17"/>
    </row>
    <row r="13" spans="1:10" x14ac:dyDescent="0.35">
      <c r="A13" s="6">
        <v>64</v>
      </c>
      <c r="B13" s="13">
        <v>29</v>
      </c>
      <c r="C13" s="20" t="s">
        <v>11</v>
      </c>
      <c r="D13" s="15">
        <v>41794.000011574077</v>
      </c>
      <c r="E13" s="16">
        <v>358.11520000000002</v>
      </c>
      <c r="F13" s="17">
        <v>18.249684960674401</v>
      </c>
      <c r="G13" s="13">
        <v>15</v>
      </c>
      <c r="H13" s="15">
        <v>36841</v>
      </c>
      <c r="I13" s="16">
        <v>679.64009999999996</v>
      </c>
      <c r="J13" s="17">
        <v>22.9920399034783</v>
      </c>
    </row>
    <row r="14" spans="1:10" x14ac:dyDescent="0.35">
      <c r="A14" s="6">
        <v>65</v>
      </c>
      <c r="B14" s="13">
        <v>29</v>
      </c>
      <c r="C14" s="20" t="s">
        <v>11</v>
      </c>
      <c r="D14" s="15">
        <v>41794.000011574077</v>
      </c>
      <c r="E14" s="16">
        <v>700.25350000000003</v>
      </c>
      <c r="F14" s="17">
        <v>18.249684960674401</v>
      </c>
      <c r="G14" s="13">
        <v>16</v>
      </c>
      <c r="H14" s="15">
        <v>41166</v>
      </c>
      <c r="I14" s="16">
        <v>547.64509999999996</v>
      </c>
      <c r="J14" s="17">
        <v>18.259999998612201</v>
      </c>
    </row>
    <row r="15" spans="1:10" x14ac:dyDescent="0.35">
      <c r="A15" s="6">
        <v>66</v>
      </c>
      <c r="B15" s="13">
        <v>29</v>
      </c>
      <c r="C15" s="20" t="s">
        <v>11</v>
      </c>
      <c r="D15" s="15">
        <v>41794.000011574077</v>
      </c>
      <c r="E15" s="16">
        <v>1288.9572000000001</v>
      </c>
      <c r="F15" s="17">
        <v>18.249684960674401</v>
      </c>
      <c r="G15" s="13">
        <v>17</v>
      </c>
      <c r="H15" s="15">
        <v>41377</v>
      </c>
      <c r="I15" s="16">
        <v>1008.0512</v>
      </c>
      <c r="J15" s="17">
        <v>19.7899983277443</v>
      </c>
    </row>
    <row r="16" spans="1:10" x14ac:dyDescent="0.35">
      <c r="A16" s="6"/>
      <c r="B16" s="8">
        <v>30</v>
      </c>
      <c r="C16" s="8" t="s">
        <v>9</v>
      </c>
      <c r="D16" s="9">
        <v>41971</v>
      </c>
      <c r="E16" s="22">
        <v>2404</v>
      </c>
      <c r="F16" s="24">
        <v>18.5245</v>
      </c>
      <c r="G16" s="13"/>
      <c r="H16" s="15"/>
      <c r="I16" s="16"/>
      <c r="J16" s="17"/>
    </row>
    <row r="17" spans="1:10" x14ac:dyDescent="0.35">
      <c r="A17" s="6"/>
      <c r="B17" s="13"/>
      <c r="C17" s="20"/>
      <c r="D17" s="15"/>
      <c r="E17" s="16"/>
      <c r="F17" s="17"/>
      <c r="G17" s="13"/>
      <c r="H17" s="15"/>
      <c r="I17" s="16"/>
      <c r="J17" s="17"/>
    </row>
    <row r="18" spans="1:10" x14ac:dyDescent="0.35">
      <c r="A18">
        <v>67</v>
      </c>
      <c r="B18" s="13">
        <v>31</v>
      </c>
      <c r="C18" s="20" t="s">
        <v>11</v>
      </c>
      <c r="D18" s="15">
        <v>41976</v>
      </c>
      <c r="E18" s="16">
        <v>39.353999999999999</v>
      </c>
      <c r="F18" s="17">
        <v>168.57001179118001</v>
      </c>
      <c r="G18" s="13">
        <v>15</v>
      </c>
      <c r="H18" s="15">
        <v>36841</v>
      </c>
      <c r="I18" s="16">
        <v>679.64009999999996</v>
      </c>
      <c r="J18" s="17">
        <v>22.9920399034783</v>
      </c>
    </row>
    <row r="19" spans="1:10" x14ac:dyDescent="0.35">
      <c r="A19">
        <v>68</v>
      </c>
      <c r="B19" s="13">
        <v>31</v>
      </c>
      <c r="C19" s="20" t="s">
        <v>11</v>
      </c>
      <c r="D19" s="15">
        <v>41976</v>
      </c>
      <c r="E19" s="16">
        <v>76.952299999999994</v>
      </c>
      <c r="F19" s="17">
        <v>168.57001179118001</v>
      </c>
      <c r="G19" s="13">
        <v>16</v>
      </c>
      <c r="H19" s="15">
        <v>41166</v>
      </c>
      <c r="I19" s="16">
        <v>547.64509999999996</v>
      </c>
      <c r="J19" s="17">
        <v>18.259999998612201</v>
      </c>
    </row>
    <row r="20" spans="1:10" x14ac:dyDescent="0.35">
      <c r="A20">
        <v>69</v>
      </c>
      <c r="B20" s="13">
        <v>31</v>
      </c>
      <c r="C20" s="20" t="s">
        <v>11</v>
      </c>
      <c r="D20" s="15">
        <v>41976</v>
      </c>
      <c r="E20" s="16">
        <v>141.4453</v>
      </c>
      <c r="F20" s="17">
        <v>168.57001179118001</v>
      </c>
      <c r="G20" s="13">
        <v>17</v>
      </c>
      <c r="H20" s="15">
        <v>41377</v>
      </c>
      <c r="I20" s="16">
        <v>1006.6217</v>
      </c>
      <c r="J20" s="17">
        <v>19.7899983277443</v>
      </c>
    </row>
    <row r="21" spans="1:10" x14ac:dyDescent="0.35">
      <c r="A21">
        <v>70</v>
      </c>
      <c r="B21" s="13">
        <v>31</v>
      </c>
      <c r="C21" s="20" t="s">
        <v>11</v>
      </c>
      <c r="D21" s="15">
        <v>41976</v>
      </c>
      <c r="E21" s="16">
        <v>6.4288999999999996</v>
      </c>
      <c r="F21" s="17">
        <v>168.57001179118001</v>
      </c>
      <c r="G21" s="13">
        <v>27</v>
      </c>
      <c r="H21" s="15">
        <v>41521</v>
      </c>
      <c r="I21" s="16">
        <v>58.502000000000002</v>
      </c>
      <c r="J21" s="17">
        <v>17.093261768828398</v>
      </c>
    </row>
    <row r="22" spans="1:10" x14ac:dyDescent="0.35">
      <c r="B22" s="8">
        <v>91</v>
      </c>
      <c r="C22" s="8" t="s">
        <v>9</v>
      </c>
      <c r="D22" s="9">
        <v>42201</v>
      </c>
      <c r="E22" s="22">
        <v>259.52999999999997</v>
      </c>
      <c r="F22" s="24">
        <v>207.11</v>
      </c>
      <c r="G22" s="13"/>
      <c r="H22" s="15"/>
      <c r="I22" s="16"/>
      <c r="J22" s="17"/>
    </row>
    <row r="23" spans="1:10" x14ac:dyDescent="0.35">
      <c r="B23" s="13"/>
      <c r="C23" s="20"/>
      <c r="D23" s="15"/>
      <c r="E23" s="16"/>
      <c r="F23" s="17"/>
      <c r="G23" s="13"/>
      <c r="H23" s="15"/>
      <c r="I23" s="16"/>
      <c r="J23" s="17"/>
    </row>
    <row r="24" spans="1:10" x14ac:dyDescent="0.35">
      <c r="A24" s="6">
        <v>72</v>
      </c>
      <c r="B24" s="13">
        <v>92</v>
      </c>
      <c r="C24" s="20" t="s">
        <v>11</v>
      </c>
      <c r="D24" s="15">
        <v>42202.719108796293</v>
      </c>
      <c r="E24" s="16">
        <v>443.13400000000001</v>
      </c>
      <c r="F24" s="17">
        <v>18.393100097181701</v>
      </c>
      <c r="G24" s="13">
        <v>15</v>
      </c>
      <c r="H24" s="15">
        <v>36841</v>
      </c>
      <c r="I24" s="16">
        <v>679.64009999999996</v>
      </c>
      <c r="J24" s="17">
        <v>22.9920399034783</v>
      </c>
    </row>
    <row r="25" spans="1:10" x14ac:dyDescent="0.35">
      <c r="A25" s="6">
        <v>73</v>
      </c>
      <c r="B25" s="13">
        <v>92</v>
      </c>
      <c r="C25" s="20" t="s">
        <v>11</v>
      </c>
      <c r="D25" s="15">
        <v>42202.719108796293</v>
      </c>
      <c r="E25" s="16">
        <v>866.49839999999995</v>
      </c>
      <c r="F25" s="17">
        <v>18.393100097181701</v>
      </c>
      <c r="G25" s="13">
        <v>16</v>
      </c>
      <c r="H25" s="15">
        <v>41166</v>
      </c>
      <c r="I25" s="16">
        <v>547.64509999999996</v>
      </c>
      <c r="J25" s="17">
        <v>18.259999998612201</v>
      </c>
    </row>
    <row r="26" spans="1:10" x14ac:dyDescent="0.35">
      <c r="A26" s="6">
        <v>74</v>
      </c>
      <c r="B26" s="13">
        <v>92</v>
      </c>
      <c r="C26" s="20" t="s">
        <v>11</v>
      </c>
      <c r="D26" s="15">
        <v>42202.719108796293</v>
      </c>
      <c r="E26" s="16">
        <v>1596.6121000000001</v>
      </c>
      <c r="F26" s="17">
        <v>18.393100097181701</v>
      </c>
      <c r="G26" s="13">
        <v>17</v>
      </c>
      <c r="H26" s="15">
        <v>41377</v>
      </c>
      <c r="I26" s="16">
        <v>1009.1815</v>
      </c>
      <c r="J26" s="17">
        <v>19.7899983277443</v>
      </c>
    </row>
    <row r="27" spans="1:10" x14ac:dyDescent="0.35">
      <c r="A27" s="6">
        <v>75</v>
      </c>
      <c r="B27" s="13">
        <v>92</v>
      </c>
      <c r="C27" s="20" t="s">
        <v>11</v>
      </c>
      <c r="D27" s="15">
        <v>42202.719108796293</v>
      </c>
      <c r="E27" s="16">
        <v>16.115600000000001</v>
      </c>
      <c r="F27" s="17">
        <v>18.393100097181701</v>
      </c>
      <c r="G27" s="13">
        <v>27</v>
      </c>
      <c r="H27" s="15">
        <v>41521</v>
      </c>
      <c r="I27" s="16">
        <v>13.0237</v>
      </c>
      <c r="J27" s="17">
        <v>17.093261768828398</v>
      </c>
    </row>
    <row r="28" spans="1:10" x14ac:dyDescent="0.35">
      <c r="A28" s="6"/>
      <c r="B28" s="8">
        <v>100</v>
      </c>
      <c r="C28" s="8" t="s">
        <v>9</v>
      </c>
      <c r="D28" s="9">
        <v>42279</v>
      </c>
      <c r="E28" s="22">
        <v>2879.2429999999999</v>
      </c>
      <c r="F28" s="24">
        <v>18.063199999999998</v>
      </c>
      <c r="G28" s="13"/>
      <c r="H28" s="15"/>
      <c r="I28" s="16"/>
      <c r="J28" s="17"/>
    </row>
    <row r="29" spans="1:10" x14ac:dyDescent="0.35">
      <c r="A29" s="6"/>
      <c r="B29" s="13"/>
      <c r="C29" s="20"/>
      <c r="D29" s="15"/>
      <c r="E29" s="16"/>
      <c r="F29" s="17"/>
      <c r="G29" s="13"/>
      <c r="H29" s="15"/>
      <c r="I29" s="16"/>
      <c r="J29" s="17"/>
    </row>
    <row r="30" spans="1:10" x14ac:dyDescent="0.35">
      <c r="A30">
        <v>77</v>
      </c>
      <c r="B30" s="13">
        <v>101</v>
      </c>
      <c r="C30" s="20" t="s">
        <v>11</v>
      </c>
      <c r="D30" s="15">
        <v>42279.463807870372</v>
      </c>
      <c r="E30" s="16">
        <v>24.7409</v>
      </c>
      <c r="F30" s="17">
        <v>323.52997894904399</v>
      </c>
      <c r="G30" s="13">
        <v>15</v>
      </c>
      <c r="H30" s="15">
        <v>36841</v>
      </c>
      <c r="I30" s="16">
        <v>679.64009999999996</v>
      </c>
      <c r="J30" s="17">
        <v>22.9920399034783</v>
      </c>
    </row>
    <row r="31" spans="1:10" x14ac:dyDescent="0.35">
      <c r="A31">
        <v>78</v>
      </c>
      <c r="B31" s="13">
        <v>101</v>
      </c>
      <c r="C31" s="20" t="s">
        <v>11</v>
      </c>
      <c r="D31" s="15">
        <v>42279.463807870372</v>
      </c>
      <c r="E31" s="16">
        <v>48.378</v>
      </c>
      <c r="F31" s="17">
        <v>323.52997894904399</v>
      </c>
      <c r="G31" s="13">
        <v>16</v>
      </c>
      <c r="H31" s="15">
        <v>41166</v>
      </c>
      <c r="I31" s="16">
        <v>547.64509999999996</v>
      </c>
      <c r="J31" s="17">
        <v>18.259999998612201</v>
      </c>
    </row>
    <row r="32" spans="1:10" x14ac:dyDescent="0.35">
      <c r="A32">
        <v>79</v>
      </c>
      <c r="B32" s="13">
        <v>101</v>
      </c>
      <c r="C32" s="20" t="s">
        <v>11</v>
      </c>
      <c r="D32" s="15">
        <v>42279.463807870372</v>
      </c>
      <c r="E32" s="16">
        <v>87.633899999999997</v>
      </c>
      <c r="F32" s="17">
        <v>323.52997894904399</v>
      </c>
      <c r="G32" s="13">
        <v>17</v>
      </c>
      <c r="H32" s="15">
        <v>41377</v>
      </c>
      <c r="I32" s="16">
        <v>992.3886</v>
      </c>
      <c r="J32" s="17">
        <v>19.7899983277443</v>
      </c>
    </row>
    <row r="33" spans="1:13" x14ac:dyDescent="0.35">
      <c r="B33" s="8">
        <v>172</v>
      </c>
      <c r="C33" s="8" t="s">
        <v>9</v>
      </c>
      <c r="D33" s="9">
        <v>43525</v>
      </c>
      <c r="E33" s="22">
        <v>80.752799999999993</v>
      </c>
      <c r="F33" s="24">
        <v>375.55</v>
      </c>
      <c r="G33" s="13"/>
      <c r="H33" s="15"/>
      <c r="I33" s="16"/>
      <c r="J33" s="17"/>
    </row>
    <row r="34" spans="1:13" x14ac:dyDescent="0.35">
      <c r="B34" s="13"/>
      <c r="C34" s="20"/>
      <c r="D34" s="15"/>
      <c r="E34" s="16"/>
      <c r="F34" s="17"/>
      <c r="G34" s="13"/>
      <c r="H34" s="15"/>
      <c r="I34" s="16"/>
      <c r="J34" s="17"/>
    </row>
    <row r="35" spans="1:13" x14ac:dyDescent="0.35">
      <c r="A35" s="6">
        <v>83</v>
      </c>
      <c r="B35" s="13">
        <v>173</v>
      </c>
      <c r="C35" s="20" t="s">
        <v>11</v>
      </c>
      <c r="D35" s="15">
        <v>43525.444016203706</v>
      </c>
      <c r="E35" s="16">
        <v>544.95190000000002</v>
      </c>
      <c r="F35" s="17">
        <v>17.05</v>
      </c>
      <c r="G35" s="13">
        <v>15</v>
      </c>
      <c r="H35" s="15">
        <v>36841</v>
      </c>
      <c r="I35" s="16">
        <v>679.64009999999996</v>
      </c>
      <c r="J35" s="17">
        <v>22.9920399034783</v>
      </c>
    </row>
    <row r="36" spans="1:13" x14ac:dyDescent="0.35">
      <c r="A36" s="6">
        <v>84</v>
      </c>
      <c r="B36" s="13">
        <v>173</v>
      </c>
      <c r="C36" s="20" t="s">
        <v>11</v>
      </c>
      <c r="D36" s="15">
        <v>43525.444016203706</v>
      </c>
      <c r="E36" s="16">
        <v>1065.5911000000001</v>
      </c>
      <c r="F36" s="17">
        <v>17.05</v>
      </c>
      <c r="G36" s="13">
        <v>16</v>
      </c>
      <c r="H36" s="15">
        <v>41166</v>
      </c>
      <c r="I36" s="16">
        <v>547.64509999999996</v>
      </c>
      <c r="J36" s="17">
        <v>18.259999998612201</v>
      </c>
    </row>
    <row r="37" spans="1:13" x14ac:dyDescent="0.35">
      <c r="A37" s="6">
        <v>85</v>
      </c>
      <c r="B37" s="13">
        <v>173</v>
      </c>
      <c r="C37" s="20" t="s">
        <v>11</v>
      </c>
      <c r="D37" s="15">
        <v>43525.444016203706</v>
      </c>
      <c r="E37" s="16">
        <v>168.14699999999999</v>
      </c>
      <c r="F37" s="17">
        <v>17.05</v>
      </c>
      <c r="G37" s="13">
        <v>17</v>
      </c>
      <c r="H37" s="15">
        <v>41377</v>
      </c>
      <c r="I37" s="16">
        <v>86.4482</v>
      </c>
      <c r="J37" s="17">
        <v>19.7899983277443</v>
      </c>
    </row>
    <row r="38" spans="1:13" x14ac:dyDescent="0.35">
      <c r="A38" s="6"/>
      <c r="B38" s="8">
        <v>198</v>
      </c>
      <c r="C38" s="8" t="s">
        <v>9</v>
      </c>
      <c r="D38" s="9">
        <v>44470</v>
      </c>
      <c r="E38" s="8">
        <v>287.02999999999997</v>
      </c>
      <c r="F38" s="11">
        <v>34.770000000000003</v>
      </c>
      <c r="G38" s="13"/>
      <c r="H38" s="15"/>
      <c r="I38" s="16"/>
      <c r="J38" s="17"/>
    </row>
    <row r="39" spans="1:13" x14ac:dyDescent="0.35">
      <c r="A39" s="6"/>
      <c r="B39" s="8">
        <v>200</v>
      </c>
      <c r="C39" s="8" t="s">
        <v>9</v>
      </c>
      <c r="D39" s="9">
        <v>44473</v>
      </c>
      <c r="E39" s="8">
        <v>287.02999999999997</v>
      </c>
      <c r="F39" s="11">
        <v>34.270000000000003</v>
      </c>
      <c r="G39" s="13"/>
      <c r="H39" s="15"/>
      <c r="I39" s="16"/>
      <c r="J39" s="17"/>
    </row>
    <row r="40" spans="1:13" x14ac:dyDescent="0.35">
      <c r="A40" s="6"/>
      <c r="B40" s="13"/>
      <c r="C40" s="20"/>
      <c r="D40" s="15"/>
      <c r="E40" s="16"/>
      <c r="F40" s="17"/>
      <c r="G40" s="13"/>
      <c r="H40" s="15"/>
      <c r="I40" s="16"/>
      <c r="J40" s="17"/>
    </row>
    <row r="41" spans="1:13" x14ac:dyDescent="0.35">
      <c r="A41">
        <v>87</v>
      </c>
      <c r="B41" s="28">
        <v>199</v>
      </c>
      <c r="C41" s="32" t="s">
        <v>11</v>
      </c>
      <c r="D41" s="29">
        <v>44476.938761574071</v>
      </c>
      <c r="E41" s="30">
        <v>765.3691</v>
      </c>
      <c r="F41" s="31">
        <v>13.0395035545595</v>
      </c>
      <c r="G41" s="28">
        <v>15</v>
      </c>
      <c r="H41" s="29">
        <v>36841</v>
      </c>
      <c r="I41" s="30">
        <v>357.97120000000001</v>
      </c>
      <c r="J41" s="31">
        <v>22.9920399034783</v>
      </c>
      <c r="K41" s="5">
        <f>I41*J41</f>
        <v>8230.4881146960124</v>
      </c>
      <c r="L41" s="5"/>
      <c r="M41" s="5"/>
    </row>
    <row r="42" spans="1:13" x14ac:dyDescent="0.35">
      <c r="B42" s="25">
        <v>1229</v>
      </c>
      <c r="C42" s="25" t="s">
        <v>12</v>
      </c>
      <c r="D42" s="26">
        <v>44844</v>
      </c>
      <c r="E42" s="25">
        <v>765.3691</v>
      </c>
      <c r="F42" s="27">
        <v>12.534000000000001</v>
      </c>
      <c r="G42" s="13"/>
      <c r="H42" s="15"/>
      <c r="I42" s="16"/>
      <c r="J42" s="17"/>
      <c r="K42" s="10">
        <f>E42*F42</f>
        <v>9593.136299400001</v>
      </c>
      <c r="L42" s="33">
        <f>+K42-K41</f>
        <v>1362.6481847039886</v>
      </c>
    </row>
    <row r="43" spans="1:13" x14ac:dyDescent="0.35">
      <c r="B43" s="13"/>
      <c r="C43" s="20"/>
      <c r="D43" s="15"/>
      <c r="E43" s="16"/>
      <c r="F43" s="17"/>
      <c r="G43" s="13"/>
      <c r="H43" s="15"/>
      <c r="I43" s="16"/>
      <c r="J43" s="17"/>
    </row>
    <row r="44" spans="1:13" x14ac:dyDescent="0.35">
      <c r="A44" s="6">
        <v>88</v>
      </c>
      <c r="B44" s="13">
        <v>201</v>
      </c>
      <c r="C44" s="20" t="s">
        <v>11</v>
      </c>
      <c r="D44" s="15">
        <v>44477.938761574071</v>
      </c>
      <c r="E44" s="16">
        <v>4.6418999999999997</v>
      </c>
      <c r="F44" s="17">
        <v>1904.1616206589399</v>
      </c>
      <c r="G44" s="13">
        <v>15</v>
      </c>
      <c r="H44" s="15">
        <v>36841</v>
      </c>
      <c r="I44" s="16">
        <v>321.66890000000001</v>
      </c>
      <c r="J44" s="17">
        <v>22.9920399034783</v>
      </c>
    </row>
    <row r="45" spans="1:13" x14ac:dyDescent="0.35">
      <c r="A45" s="6">
        <v>89</v>
      </c>
      <c r="B45" s="13">
        <v>201</v>
      </c>
      <c r="C45" s="20" t="s">
        <v>11</v>
      </c>
      <c r="D45" s="15">
        <v>44477.938761574071</v>
      </c>
      <c r="E45" s="16">
        <v>0.52390000000000003</v>
      </c>
      <c r="F45" s="17">
        <v>1904.1616206589399</v>
      </c>
      <c r="G45" s="13">
        <v>16</v>
      </c>
      <c r="H45" s="15">
        <v>41166</v>
      </c>
      <c r="I45" s="16">
        <v>14.9597</v>
      </c>
      <c r="J45" s="17">
        <v>18.259999998612201</v>
      </c>
    </row>
    <row r="46" spans="1:13" x14ac:dyDescent="0.35">
      <c r="A46" s="6"/>
      <c r="B46" s="8">
        <v>1230</v>
      </c>
      <c r="C46" s="8" t="s">
        <v>9</v>
      </c>
      <c r="D46" s="9">
        <v>44855</v>
      </c>
      <c r="E46" s="8">
        <v>4.6420000000000003</v>
      </c>
      <c r="F46" s="11">
        <v>1795.8088</v>
      </c>
      <c r="G46" s="13"/>
      <c r="H46" s="15"/>
      <c r="I46" s="16"/>
      <c r="J46" s="17"/>
    </row>
    <row r="47" spans="1:13" x14ac:dyDescent="0.35">
      <c r="A47" s="6"/>
      <c r="B47" s="13"/>
      <c r="C47" s="20"/>
      <c r="D47" s="15"/>
      <c r="E47" s="16"/>
      <c r="F47" s="17"/>
      <c r="G47" s="13"/>
      <c r="H47" s="15"/>
      <c r="I47" s="16"/>
      <c r="J47" s="17"/>
    </row>
    <row r="48" spans="1:13" x14ac:dyDescent="0.35">
      <c r="A48">
        <v>1116</v>
      </c>
      <c r="B48" s="13">
        <v>1231</v>
      </c>
      <c r="C48" s="20" t="s">
        <v>11</v>
      </c>
      <c r="D48" s="15">
        <v>44861.454050925924</v>
      </c>
      <c r="E48" s="16">
        <v>810.69650000000001</v>
      </c>
      <c r="F48" s="17">
        <v>10.282472605653799</v>
      </c>
      <c r="G48" s="13">
        <v>15</v>
      </c>
      <c r="H48" s="15">
        <v>36841</v>
      </c>
      <c r="I48" s="16">
        <v>321.66890000000001</v>
      </c>
      <c r="J48" s="17">
        <v>22.9920399034783</v>
      </c>
    </row>
    <row r="49" spans="1:13" x14ac:dyDescent="0.35">
      <c r="A49">
        <v>1117</v>
      </c>
      <c r="B49" s="13">
        <v>1231</v>
      </c>
      <c r="C49" s="20" t="s">
        <v>11</v>
      </c>
      <c r="D49" s="15">
        <v>44861.454050925924</v>
      </c>
      <c r="E49" s="16">
        <v>1.7500000000000002E-2</v>
      </c>
      <c r="F49" s="17">
        <v>10.282472605653799</v>
      </c>
      <c r="G49" s="13">
        <v>16</v>
      </c>
      <c r="H49" s="15">
        <v>41166</v>
      </c>
      <c r="I49" s="16">
        <v>2.8999999999999998E-3</v>
      </c>
      <c r="J49" s="17">
        <v>18.259999998612201</v>
      </c>
    </row>
    <row r="50" spans="1:13" x14ac:dyDescent="0.35">
      <c r="B50" s="8">
        <v>1238</v>
      </c>
      <c r="C50" s="8" t="s">
        <v>9</v>
      </c>
      <c r="D50" s="9">
        <v>44890</v>
      </c>
      <c r="E50" s="8">
        <v>810.71400000000006</v>
      </c>
      <c r="F50" s="11">
        <v>9.9658999999999995</v>
      </c>
      <c r="G50" s="13"/>
      <c r="H50" s="15"/>
      <c r="I50" s="16"/>
      <c r="J50" s="17"/>
    </row>
    <row r="51" spans="1:13" x14ac:dyDescent="0.35">
      <c r="B51" s="13"/>
      <c r="C51" s="20"/>
      <c r="D51" s="15"/>
      <c r="E51" s="16"/>
      <c r="F51" s="17"/>
      <c r="G51" s="13"/>
      <c r="H51" s="15"/>
      <c r="I51" s="16"/>
      <c r="J51" s="17"/>
    </row>
    <row r="52" spans="1:13" x14ac:dyDescent="0.35">
      <c r="A52" s="6">
        <v>1125</v>
      </c>
      <c r="B52" s="28">
        <v>1239</v>
      </c>
      <c r="C52" s="32" t="s">
        <v>11</v>
      </c>
      <c r="D52" s="29">
        <v>44893.572569444441</v>
      </c>
      <c r="E52" s="30">
        <v>18.6356</v>
      </c>
      <c r="F52" s="31">
        <v>433.54192724694099</v>
      </c>
      <c r="G52" s="28">
        <v>15</v>
      </c>
      <c r="H52" s="29">
        <v>36841</v>
      </c>
      <c r="I52" s="30">
        <v>321.66890000000001</v>
      </c>
      <c r="J52" s="31">
        <v>22.9920399034783</v>
      </c>
      <c r="K52" s="5">
        <f>I52*J52</f>
        <v>7395.824184507971</v>
      </c>
      <c r="L52" s="5"/>
      <c r="M52" s="5"/>
    </row>
    <row r="53" spans="1:13" x14ac:dyDescent="0.35">
      <c r="A53" s="6">
        <v>1126</v>
      </c>
      <c r="B53" s="13">
        <v>1239</v>
      </c>
      <c r="C53" s="20" t="s">
        <v>11</v>
      </c>
      <c r="D53" s="15">
        <v>44893.572569444441</v>
      </c>
      <c r="E53" s="34">
        <v>4.0000000000000002E-4</v>
      </c>
      <c r="F53" s="17">
        <v>433.54192724694099</v>
      </c>
      <c r="G53" s="13">
        <v>16</v>
      </c>
      <c r="H53" s="15">
        <v>41166</v>
      </c>
      <c r="I53" s="16">
        <v>2.8999999999999998E-3</v>
      </c>
      <c r="J53" s="17">
        <v>18.259999998612201</v>
      </c>
      <c r="K53" s="10"/>
    </row>
    <row r="54" spans="1:13" x14ac:dyDescent="0.35">
      <c r="B54" s="25">
        <v>1278</v>
      </c>
      <c r="C54" s="25" t="s">
        <v>12</v>
      </c>
      <c r="D54" s="26">
        <v>45495</v>
      </c>
      <c r="E54" s="25">
        <v>18.635999999999999</v>
      </c>
      <c r="F54" s="27">
        <v>457.74209999999999</v>
      </c>
      <c r="K54" s="10">
        <f>E54*F54</f>
        <v>8530.4817755999993</v>
      </c>
      <c r="L54" s="33">
        <f>K54-K52</f>
        <v>1134.6575910920283</v>
      </c>
    </row>
    <row r="55" spans="1:13" x14ac:dyDescent="0.35">
      <c r="E55" s="3"/>
      <c r="L55" s="33">
        <f>SUM(L42:L54)</f>
        <v>2497.3057757960169</v>
      </c>
      <c r="M55" s="5"/>
    </row>
    <row r="56" spans="1:13" x14ac:dyDescent="0.35">
      <c r="E56" s="3"/>
    </row>
    <row r="57" spans="1:13" x14ac:dyDescent="0.35">
      <c r="E57" s="3"/>
    </row>
    <row r="58" spans="1:13" x14ac:dyDescent="0.35">
      <c r="E58" s="3"/>
    </row>
    <row r="59" spans="1:13" x14ac:dyDescent="0.35">
      <c r="E59" s="3"/>
    </row>
    <row r="60" spans="1:13" x14ac:dyDescent="0.35">
      <c r="E60" s="3"/>
    </row>
  </sheetData>
  <sortState xmlns:xlrd2="http://schemas.microsoft.com/office/spreadsheetml/2017/richdata2" ref="A2:J53">
    <sortCondition ref="H2:H53"/>
  </sortState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2024-08-26T07:39:33Z</dcterms:created>
  <dcterms:modified xsi:type="dcterms:W3CDTF">2024-08-26T08:37:24Z</dcterms:modified>
</cp:coreProperties>
</file>