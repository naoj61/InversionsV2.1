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5959A054-B648-4438-9F47-D91852DA33CD}" xr6:coauthVersionLast="47" xr6:coauthVersionMax="47" xr10:uidLastSave="{00000000-0000-0000-0000-000000000000}"/>
  <bookViews>
    <workbookView xWindow="22932" yWindow="0" windowWidth="23256" windowHeight="12576" tabRatio="689" firstSheet="1" activeTab="2" xr2:uid="{67C9267C-8DE9-4BF2-8230-BF48900302D9}"/>
  </bookViews>
  <sheets>
    <sheet name="Compra 15" sheetId="9" r:id="rId1"/>
    <sheet name="Sheet0" sheetId="10" r:id="rId2"/>
    <sheet name="Sheet1" sheetId="11" r:id="rId3"/>
    <sheet name="Sheet2" sheetId="1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1" l="1"/>
  <c r="C11" i="11"/>
  <c r="B11" i="11"/>
  <c r="H20" i="12"/>
  <c r="H17" i="12"/>
  <c r="H11" i="12"/>
  <c r="D16" i="12"/>
  <c r="D23" i="12"/>
  <c r="D15" i="12" s="1"/>
  <c r="E15" i="12" l="1"/>
  <c r="C16" i="12"/>
  <c r="E8" i="12" l="1"/>
  <c r="E9" i="12"/>
  <c r="E10" i="12"/>
  <c r="E11" i="12"/>
  <c r="E12" i="12"/>
  <c r="E13" i="12"/>
  <c r="E14" i="12"/>
  <c r="E6" i="12"/>
  <c r="E7" i="12"/>
  <c r="E5" i="12" l="1"/>
  <c r="E4" i="12"/>
  <c r="E3" i="12"/>
  <c r="E2" i="12"/>
  <c r="D4" i="11"/>
  <c r="B4" i="11"/>
  <c r="C4" i="11"/>
  <c r="G2" i="10" l="1"/>
  <c r="G3" i="10" s="1"/>
  <c r="G4" i="10" s="1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G93" i="10" s="1"/>
  <c r="G94" i="10" s="1"/>
  <c r="G95" i="10" s="1"/>
  <c r="G96" i="10" s="1"/>
  <c r="G97" i="10" s="1"/>
  <c r="G98" i="10" s="1"/>
  <c r="G99" i="10" s="1"/>
  <c r="G100" i="10" s="1"/>
  <c r="G101" i="10" s="1"/>
  <c r="G102" i="10" s="1"/>
  <c r="G103" i="10" s="1"/>
  <c r="G104" i="10" s="1"/>
  <c r="G105" i="10" s="1"/>
  <c r="G106" i="10" s="1"/>
  <c r="G107" i="10" s="1"/>
  <c r="G108" i="10" s="1"/>
  <c r="G109" i="10" s="1"/>
  <c r="G110" i="10" s="1"/>
  <c r="D2" i="10"/>
  <c r="D3" i="10" s="1"/>
  <c r="D4" i="10" s="1"/>
  <c r="D5" i="10" s="1"/>
  <c r="D6" i="10" s="1"/>
  <c r="D7" i="10" s="1"/>
  <c r="D8" i="10" s="1"/>
  <c r="D9" i="10" s="1"/>
  <c r="D10" i="10" s="1"/>
  <c r="D11" i="10" s="1"/>
  <c r="D12" i="10" s="1"/>
  <c r="D13" i="10" s="1"/>
  <c r="D14" i="10" s="1"/>
  <c r="D15" i="10" s="1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  <c r="D58" i="10" s="1"/>
  <c r="D59" i="10" s="1"/>
  <c r="D60" i="10" s="1"/>
  <c r="D61" i="10" s="1"/>
  <c r="D62" i="10" s="1"/>
  <c r="D63" i="10" s="1"/>
  <c r="D64" i="10" s="1"/>
  <c r="D65" i="10" s="1"/>
  <c r="D66" i="10" s="1"/>
  <c r="D67" i="10" s="1"/>
  <c r="D68" i="10" s="1"/>
  <c r="D69" i="10" s="1"/>
  <c r="D70" i="10" s="1"/>
  <c r="D71" i="10" s="1"/>
  <c r="D72" i="10" s="1"/>
  <c r="D73" i="10" s="1"/>
  <c r="D74" i="10" s="1"/>
  <c r="D75" i="10" s="1"/>
  <c r="D76" i="10" s="1"/>
  <c r="D77" i="10" s="1"/>
  <c r="D78" i="10" s="1"/>
  <c r="D79" i="10" s="1"/>
  <c r="D80" i="10" s="1"/>
  <c r="D81" i="10" s="1"/>
  <c r="D82" i="10" s="1"/>
  <c r="D83" i="10" s="1"/>
  <c r="D84" i="10" s="1"/>
  <c r="D85" i="10" s="1"/>
  <c r="D86" i="10" s="1"/>
  <c r="D87" i="10" s="1"/>
  <c r="D88" i="10" s="1"/>
  <c r="D89" i="10" s="1"/>
  <c r="D90" i="10" s="1"/>
  <c r="D91" i="10" s="1"/>
  <c r="D92" i="10" s="1"/>
  <c r="D93" i="10" s="1"/>
  <c r="D94" i="10" s="1"/>
  <c r="D95" i="10" s="1"/>
  <c r="D96" i="10" s="1"/>
  <c r="D97" i="10" s="1"/>
  <c r="D98" i="10" s="1"/>
  <c r="D99" i="10" s="1"/>
  <c r="D100" i="10" s="1"/>
  <c r="D101" i="10" s="1"/>
  <c r="D102" i="10" s="1"/>
  <c r="D103" i="10" s="1"/>
  <c r="D104" i="10" s="1"/>
  <c r="D105" i="10" s="1"/>
  <c r="D106" i="10" s="1"/>
  <c r="D107" i="10" s="1"/>
  <c r="D108" i="10" s="1"/>
  <c r="D109" i="10" s="1"/>
  <c r="D110" i="10" s="1"/>
  <c r="I110" i="10" l="1"/>
  <c r="I3" i="10"/>
  <c r="I7" i="10"/>
  <c r="I81" i="10"/>
  <c r="I73" i="10"/>
  <c r="I65" i="10"/>
  <c r="I57" i="10"/>
  <c r="I49" i="10"/>
  <c r="I41" i="10"/>
  <c r="I33" i="10"/>
  <c r="I25" i="10"/>
  <c r="I17" i="10"/>
  <c r="I9" i="10"/>
  <c r="I104" i="10"/>
  <c r="I96" i="10"/>
  <c r="I88" i="10"/>
  <c r="I80" i="10"/>
  <c r="I72" i="10"/>
  <c r="I64" i="10"/>
  <c r="I56" i="10"/>
  <c r="I48" i="10"/>
  <c r="I40" i="10"/>
  <c r="I32" i="10"/>
  <c r="I24" i="10"/>
  <c r="I16" i="10"/>
  <c r="I8" i="10"/>
  <c r="I91" i="10"/>
  <c r="I75" i="10"/>
  <c r="I59" i="10"/>
  <c r="I43" i="10"/>
  <c r="I27" i="10"/>
  <c r="I19" i="10"/>
  <c r="I106" i="10"/>
  <c r="I82" i="10"/>
  <c r="I58" i="10"/>
  <c r="I34" i="10"/>
  <c r="I10" i="10"/>
  <c r="I105" i="10"/>
  <c r="I103" i="10"/>
  <c r="I87" i="10"/>
  <c r="I63" i="10"/>
  <c r="I55" i="10"/>
  <c r="I31" i="10"/>
  <c r="I23" i="10"/>
  <c r="I15" i="10"/>
  <c r="I102" i="10"/>
  <c r="I94" i="10"/>
  <c r="I86" i="10"/>
  <c r="I78" i="10"/>
  <c r="I70" i="10"/>
  <c r="I62" i="10"/>
  <c r="I54" i="10"/>
  <c r="I46" i="10"/>
  <c r="I38" i="10"/>
  <c r="I30" i="10"/>
  <c r="I22" i="10"/>
  <c r="I14" i="10"/>
  <c r="I6" i="10"/>
  <c r="I99" i="10"/>
  <c r="I90" i="10"/>
  <c r="I66" i="10"/>
  <c r="I42" i="10"/>
  <c r="I26" i="10"/>
  <c r="I97" i="10"/>
  <c r="I2" i="10"/>
  <c r="I79" i="10"/>
  <c r="I47" i="10"/>
  <c r="I109" i="10"/>
  <c r="I101" i="10"/>
  <c r="I93" i="10"/>
  <c r="I85" i="10"/>
  <c r="I77" i="10"/>
  <c r="I69" i="10"/>
  <c r="I61" i="10"/>
  <c r="I53" i="10"/>
  <c r="I45" i="10"/>
  <c r="I37" i="10"/>
  <c r="I29" i="10"/>
  <c r="I21" i="10"/>
  <c r="I13" i="10"/>
  <c r="I5" i="10"/>
  <c r="I107" i="10"/>
  <c r="I83" i="10"/>
  <c r="I67" i="10"/>
  <c r="I51" i="10"/>
  <c r="I35" i="10"/>
  <c r="I11" i="10"/>
  <c r="I98" i="10"/>
  <c r="I74" i="10"/>
  <c r="I50" i="10"/>
  <c r="I18" i="10"/>
  <c r="I89" i="10"/>
  <c r="I95" i="10"/>
  <c r="I71" i="10"/>
  <c r="I39" i="10"/>
  <c r="I108" i="10"/>
  <c r="I100" i="10"/>
  <c r="I92" i="10"/>
  <c r="I84" i="10"/>
  <c r="I76" i="10"/>
  <c r="I68" i="10"/>
  <c r="I60" i="10"/>
  <c r="I52" i="10"/>
  <c r="I44" i="10"/>
  <c r="I36" i="10"/>
  <c r="I28" i="10"/>
  <c r="I20" i="10"/>
  <c r="I12" i="10"/>
  <c r="I4" i="10"/>
  <c r="J15" i="9" l="1"/>
  <c r="J11" i="9"/>
  <c r="K15" i="9"/>
  <c r="L15" i="9" s="1"/>
  <c r="K11" i="9" l="1"/>
  <c r="L11" i="9" s="1"/>
</calcChain>
</file>

<file path=xl/sharedStrings.xml><?xml version="1.0" encoding="utf-8"?>
<sst xmlns="http://schemas.openxmlformats.org/spreadsheetml/2006/main" count="194" uniqueCount="82">
  <si>
    <t>PU</t>
  </si>
  <si>
    <t>Total Return N Acc €-H1</t>
  </si>
  <si>
    <t>Id Orig</t>
  </si>
  <si>
    <t>Id</t>
  </si>
  <si>
    <t>Data Orig Compra</t>
  </si>
  <si>
    <t>Parts Util</t>
  </si>
  <si>
    <t>PiG</t>
  </si>
  <si>
    <t>Cartera</t>
  </si>
  <si>
    <t>Parts Orig Ut</t>
  </si>
  <si>
    <t>Parts en cartera</t>
  </si>
  <si>
    <t>Parts orig en cartera</t>
  </si>
  <si>
    <t>PiG Orig en cartera</t>
  </si>
  <si>
    <t>PU Orig</t>
  </si>
  <si>
    <t>Import Orig venda real</t>
  </si>
  <si>
    <t>Pig Origen venda real</t>
  </si>
  <si>
    <t>Nom Fons Orig</t>
  </si>
  <si>
    <t>Bolsa Tecnología y Telecomunicaciones FI</t>
  </si>
  <si>
    <t>Optimal Income A-H Grs Acc Hdg EUR</t>
  </si>
  <si>
    <t>Biotechnology C USD Acc</t>
  </si>
  <si>
    <t>European Growth N Acc ?</t>
  </si>
  <si>
    <t>Trea Renta Fija Ahorro S FI</t>
  </si>
  <si>
    <t>Data Compra Venda</t>
  </si>
  <si>
    <t>Import Orig en cartera</t>
  </si>
  <si>
    <t>Total</t>
  </si>
  <si>
    <t>Mov</t>
  </si>
  <si>
    <t>CT</t>
  </si>
  <si>
    <t>V</t>
  </si>
  <si>
    <t>Prod</t>
  </si>
  <si>
    <t>Pictet-short-term Money Market Chf R</t>
  </si>
  <si>
    <t>Id Mov</t>
  </si>
  <si>
    <t>Parts Desg</t>
  </si>
  <si>
    <t>Parts Desg Orig</t>
  </si>
  <si>
    <t>C</t>
  </si>
  <si>
    <t>Pig Orig</t>
  </si>
  <si>
    <t>Dif</t>
  </si>
  <si>
    <t>Asian Smaller Companies Fund</t>
  </si>
  <si>
    <t>Thailand A-USD</t>
  </si>
  <si>
    <t>DWS Deutschland LC</t>
  </si>
  <si>
    <t>American Extended Alpha R USD Acc</t>
  </si>
  <si>
    <t>Indonesia Fund A-USD</t>
  </si>
  <si>
    <t>Patrimoine A EUR Acc</t>
  </si>
  <si>
    <t>Telefònica</t>
  </si>
  <si>
    <t>Santander</t>
  </si>
  <si>
    <t>Arcelor Mittal Steel</t>
  </si>
  <si>
    <t>Templeton Emerging Mkts Sm Cos N Acc $</t>
  </si>
  <si>
    <t>DWS Aktien Strategie Deutschland</t>
  </si>
  <si>
    <t>PROSHARES ULTRA NASDAQ BIOTECH US74347R2141</t>
  </si>
  <si>
    <t>IShares MDAX UETF T Xetra DE0005933923-EXS3</t>
  </si>
  <si>
    <t>Inditex</t>
  </si>
  <si>
    <t>VANGUARD S&amp;P500</t>
  </si>
  <si>
    <t>ISHS MSCI EM MK</t>
  </si>
  <si>
    <t>Global Technology Fund A-acc-eur</t>
  </si>
  <si>
    <t>Euro Fund A-2 Acc</t>
  </si>
  <si>
    <t>CS Corto Plazo B FI</t>
  </si>
  <si>
    <t>BGF World Energy E2</t>
  </si>
  <si>
    <t>Terra Classic (LUNA)</t>
  </si>
  <si>
    <t>TerraUSD Classic (UST)</t>
  </si>
  <si>
    <t>Terra 2.0 (LUNA2)</t>
  </si>
  <si>
    <t>CS (Lux) Commodity Idx Plus USD B</t>
  </si>
  <si>
    <t>Threadneedle (Lux) Enhanced</t>
  </si>
  <si>
    <t>Abrdn US Dollar Fund A-2</t>
  </si>
  <si>
    <t>Carmignac Court Terme A Eur Acc</t>
  </si>
  <si>
    <t>World Gold Fund E2</t>
  </si>
  <si>
    <t>DWS Floating Rate Notes LC</t>
  </si>
  <si>
    <t>Global Technology A-Acc-USD H</t>
  </si>
  <si>
    <t>Arcelor Trade Republic A2DRTZ</t>
  </si>
  <si>
    <t>Clarus</t>
  </si>
  <si>
    <t>Id venda</t>
  </si>
  <si>
    <t>pigTotalX</t>
  </si>
  <si>
    <t>pigVendesCartX</t>
  </si>
  <si>
    <t>Tot</t>
  </si>
  <si>
    <t>Fons</t>
  </si>
  <si>
    <t>Accions</t>
  </si>
  <si>
    <t>pigCompresX</t>
  </si>
  <si>
    <t>pigCompresOrigX</t>
  </si>
  <si>
    <t>Calc per mi</t>
  </si>
  <si>
    <t>28-Euro Fund</t>
  </si>
  <si>
    <t>1042-DWS Floating</t>
  </si>
  <si>
    <t>PiG Cartera Orig</t>
  </si>
  <si>
    <t>1043-Global Tech USD</t>
  </si>
  <si>
    <t>27-Global Tech EU</t>
  </si>
  <si>
    <t>Sense despeses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</si>
</sst>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\ &quot;€&quot;;[Red]\-#,##0.000\ &quot;€&quot;"/>
    <numFmt numFmtId="165" formatCode="#,##0.000"/>
    <numFmt numFmtId="166" formatCode="#,##0.000\ &quot;€&quot;"/>
    <numFmt numFmtId="167" formatCode="#,##0.00\ &quot;€&quot;"/>
    <numFmt numFmtId="168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1" fillId="0" borderId="0" xfId="0" applyFont="1" applyAlignment="1">
      <alignment horizontal="center" wrapText="1"/>
    </xf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/>
    </xf>
    <xf numFmtId="0" fontId="0" fillId="2" borderId="0" xfId="0" applyFill="1"/>
    <xf numFmtId="1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6" fontId="1" fillId="0" borderId="0" xfId="0" applyNumberFormat="1" applyFont="1"/>
    <xf numFmtId="167" fontId="0" fillId="0" borderId="0" xfId="0" applyNumberFormat="1"/>
    <xf numFmtId="168" fontId="0" fillId="2" borderId="0" xfId="0" applyNumberFormat="1" applyFill="1"/>
    <xf numFmtId="168" fontId="1" fillId="0" borderId="0" xfId="0" applyNumberFormat="1" applyFont="1" applyAlignment="1">
      <alignment horizontal="center" vertical="center"/>
    </xf>
    <xf numFmtId="168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vertical="center" wrapText="1"/>
    </xf>
    <xf numFmtId="168" fontId="0" fillId="3" borderId="0" xfId="0" applyNumberFormat="1" applyFill="1"/>
    <xf numFmtId="165" fontId="0" fillId="3" borderId="0" xfId="0" applyNumberFormat="1" applyFill="1"/>
    <xf numFmtId="0" fontId="0" fillId="3" borderId="0" xfId="0" applyFill="1"/>
    <xf numFmtId="14" fontId="0" fillId="3" borderId="0" xfId="0" applyNumberFormat="1" applyFill="1"/>
    <xf numFmtId="166" fontId="0" fillId="3" borderId="0" xfId="0" applyNumberFormat="1" applyFill="1"/>
    <xf numFmtId="4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A2B2-2509-47A4-B7F1-E6D80090BB78}">
  <sheetPr>
    <tabColor rgb="FF00B0F0"/>
  </sheetPr>
  <dimension ref="A1:R15"/>
  <sheetViews>
    <sheetView zoomScaleNormal="100" workbookViewId="0">
      <pane ySplit="1" topLeftCell="A2" activePane="bottomLeft" state="frozen"/>
      <selection pane="bottomLeft" activeCell="J2" sqref="J2"/>
    </sheetView>
  </sheetViews>
  <sheetFormatPr defaultRowHeight="14.5" x14ac:dyDescent="0.35"/>
  <cols>
    <col min="1" max="1" width="4.81640625" bestFit="1" customWidth="1"/>
    <col min="2" max="2" width="5" bestFit="1" customWidth="1"/>
    <col min="3" max="3" width="4.54296875" customWidth="1"/>
    <col min="4" max="4" width="10.26953125" customWidth="1"/>
    <col min="5" max="5" width="11.90625" style="1" bestFit="1" customWidth="1"/>
    <col min="6" max="6" width="11.1796875" style="1" customWidth="1"/>
    <col min="7" max="7" width="10.36328125" style="6" bestFit="1" customWidth="1"/>
    <col min="8" max="8" width="10.6328125" style="6" bestFit="1" customWidth="1"/>
    <col min="9" max="10" width="9.6328125" style="5" bestFit="1" customWidth="1"/>
    <col min="11" max="11" width="8.6328125" style="20" bestFit="1" customWidth="1"/>
    <col min="12" max="12" width="7.54296875" style="5" bestFit="1" customWidth="1"/>
    <col min="13" max="13" width="10.7265625" bestFit="1" customWidth="1"/>
    <col min="14" max="14" width="11.36328125" bestFit="1" customWidth="1"/>
    <col min="15" max="15" width="11.7265625" bestFit="1" customWidth="1"/>
    <col min="16" max="16" width="10.6328125" customWidth="1"/>
    <col min="17" max="17" width="11.26953125" bestFit="1" customWidth="1"/>
    <col min="18" max="18" width="13.90625" customWidth="1"/>
  </cols>
  <sheetData>
    <row r="1" spans="1:18" ht="29" customHeight="1" x14ac:dyDescent="0.35">
      <c r="A1" s="7" t="s">
        <v>24</v>
      </c>
      <c r="B1" s="2" t="s">
        <v>29</v>
      </c>
      <c r="C1" s="2" t="s">
        <v>2</v>
      </c>
      <c r="D1" s="2" t="s">
        <v>15</v>
      </c>
      <c r="E1" s="8" t="s">
        <v>21</v>
      </c>
      <c r="F1" s="8" t="s">
        <v>4</v>
      </c>
      <c r="G1" s="11" t="s">
        <v>0</v>
      </c>
      <c r="H1" s="11" t="s">
        <v>12</v>
      </c>
      <c r="I1" s="9" t="s">
        <v>30</v>
      </c>
      <c r="J1" s="10" t="s">
        <v>31</v>
      </c>
      <c r="K1" s="19" t="s">
        <v>5</v>
      </c>
      <c r="L1" s="10" t="s">
        <v>8</v>
      </c>
      <c r="M1" s="2" t="s">
        <v>9</v>
      </c>
      <c r="N1" s="2" t="s">
        <v>10</v>
      </c>
      <c r="O1" s="4" t="s">
        <v>13</v>
      </c>
      <c r="P1" s="2" t="s">
        <v>22</v>
      </c>
      <c r="Q1" s="2" t="s">
        <v>14</v>
      </c>
      <c r="R1" s="2" t="s">
        <v>11</v>
      </c>
    </row>
    <row r="2" spans="1:18" x14ac:dyDescent="0.35">
      <c r="A2" s="26" t="s">
        <v>32</v>
      </c>
      <c r="B2" s="26">
        <v>15</v>
      </c>
      <c r="C2" s="26">
        <v>15</v>
      </c>
      <c r="D2" s="26" t="s">
        <v>16</v>
      </c>
      <c r="E2" s="27">
        <v>36841</v>
      </c>
      <c r="F2" s="27">
        <v>36841</v>
      </c>
      <c r="G2" s="28">
        <v>22.9920399034783</v>
      </c>
      <c r="H2" s="28">
        <v>22.9920399034783</v>
      </c>
      <c r="I2" s="25">
        <v>679.64</v>
      </c>
      <c r="J2" s="25">
        <v>679.64</v>
      </c>
      <c r="K2" s="24"/>
      <c r="L2" s="25"/>
      <c r="M2" s="26"/>
      <c r="N2" s="26"/>
      <c r="O2" s="26"/>
      <c r="P2" s="26"/>
      <c r="Q2" s="26"/>
      <c r="R2" s="26"/>
    </row>
    <row r="3" spans="1:18" x14ac:dyDescent="0.35">
      <c r="A3" t="s">
        <v>25</v>
      </c>
      <c r="B3">
        <v>24</v>
      </c>
      <c r="C3">
        <v>15</v>
      </c>
      <c r="D3" t="s">
        <v>16</v>
      </c>
      <c r="E3" s="1">
        <v>41383.000011574077</v>
      </c>
      <c r="F3" s="1">
        <v>36841</v>
      </c>
      <c r="G3" s="6">
        <v>19.679972863926899</v>
      </c>
      <c r="H3" s="6">
        <v>22.9920399034783</v>
      </c>
      <c r="I3" s="5">
        <v>280.07</v>
      </c>
      <c r="J3" s="5">
        <v>679.64</v>
      </c>
    </row>
    <row r="4" spans="1:18" x14ac:dyDescent="0.35">
      <c r="A4" t="s">
        <v>25</v>
      </c>
      <c r="B4">
        <v>26</v>
      </c>
      <c r="C4">
        <v>15</v>
      </c>
      <c r="D4" t="s">
        <v>16</v>
      </c>
      <c r="E4" s="1">
        <v>41439.000011574077</v>
      </c>
      <c r="F4" s="1">
        <v>36841</v>
      </c>
      <c r="G4" s="6">
        <v>139.70998660100699</v>
      </c>
      <c r="H4" s="6">
        <v>22.9920399034783</v>
      </c>
      <c r="I4" s="5">
        <v>37.988199999999999</v>
      </c>
      <c r="J4" s="5">
        <v>679.64009999999996</v>
      </c>
    </row>
    <row r="5" spans="1:18" x14ac:dyDescent="0.35">
      <c r="A5" t="s">
        <v>25</v>
      </c>
      <c r="B5">
        <v>29</v>
      </c>
      <c r="C5">
        <v>15</v>
      </c>
      <c r="D5" t="s">
        <v>16</v>
      </c>
      <c r="E5" s="1">
        <v>41794.000011574077</v>
      </c>
      <c r="F5" s="1">
        <v>36841</v>
      </c>
      <c r="G5" s="6">
        <v>18.249684960674401</v>
      </c>
      <c r="H5" s="6">
        <v>22.9920399034783</v>
      </c>
      <c r="I5" s="5">
        <v>358.11520000000002</v>
      </c>
      <c r="J5" s="5">
        <v>679.64009999999996</v>
      </c>
    </row>
    <row r="6" spans="1:18" x14ac:dyDescent="0.35">
      <c r="A6" t="s">
        <v>25</v>
      </c>
      <c r="B6">
        <v>31</v>
      </c>
      <c r="C6">
        <v>15</v>
      </c>
      <c r="D6" t="s">
        <v>16</v>
      </c>
      <c r="E6" s="1">
        <v>41976</v>
      </c>
      <c r="F6" s="1">
        <v>36841</v>
      </c>
      <c r="G6" s="6">
        <v>168.57001179118001</v>
      </c>
      <c r="H6" s="6">
        <v>22.9920399034783</v>
      </c>
      <c r="I6" s="5">
        <v>39.353999999999999</v>
      </c>
      <c r="J6" s="5">
        <v>679.64009999999996</v>
      </c>
    </row>
    <row r="7" spans="1:18" x14ac:dyDescent="0.35">
      <c r="A7" t="s">
        <v>25</v>
      </c>
      <c r="B7">
        <v>92</v>
      </c>
      <c r="C7">
        <v>15</v>
      </c>
      <c r="D7" t="s">
        <v>16</v>
      </c>
      <c r="E7" s="1">
        <v>42202.719108796293</v>
      </c>
      <c r="F7" s="1">
        <v>36841</v>
      </c>
      <c r="G7" s="6">
        <v>18.393100097181701</v>
      </c>
      <c r="H7" s="6">
        <v>22.9920399034783</v>
      </c>
      <c r="I7" s="5">
        <v>443.13400000000001</v>
      </c>
      <c r="J7" s="5">
        <v>679.64009999999996</v>
      </c>
    </row>
    <row r="8" spans="1:18" x14ac:dyDescent="0.35">
      <c r="A8" t="s">
        <v>25</v>
      </c>
      <c r="B8">
        <v>101</v>
      </c>
      <c r="C8">
        <v>15</v>
      </c>
      <c r="D8" t="s">
        <v>16</v>
      </c>
      <c r="E8" s="1">
        <v>42279.463807870372</v>
      </c>
      <c r="F8" s="1">
        <v>36841</v>
      </c>
      <c r="G8" s="6">
        <v>323.52997894904399</v>
      </c>
      <c r="H8" s="6">
        <v>22.9920399034783</v>
      </c>
      <c r="I8" s="5">
        <v>24.7409</v>
      </c>
      <c r="J8" s="5">
        <v>679.64009999999996</v>
      </c>
    </row>
    <row r="9" spans="1:18" x14ac:dyDescent="0.35">
      <c r="A9" t="s">
        <v>25</v>
      </c>
      <c r="B9">
        <v>173</v>
      </c>
      <c r="C9">
        <v>15</v>
      </c>
      <c r="D9" t="s">
        <v>16</v>
      </c>
      <c r="E9" s="1">
        <v>43525.444016203706</v>
      </c>
      <c r="F9" s="1">
        <v>36841</v>
      </c>
      <c r="G9" s="6">
        <v>17.05</v>
      </c>
      <c r="H9" s="6">
        <v>22.9920399034783</v>
      </c>
      <c r="I9" s="5">
        <v>544.95190000000002</v>
      </c>
      <c r="J9" s="5">
        <v>679.64009999999996</v>
      </c>
    </row>
    <row r="10" spans="1:18" x14ac:dyDescent="0.35">
      <c r="A10" s="26" t="s">
        <v>25</v>
      </c>
      <c r="B10" s="26">
        <v>199</v>
      </c>
      <c r="C10" s="26">
        <v>15</v>
      </c>
      <c r="D10" s="26" t="s">
        <v>16</v>
      </c>
      <c r="E10" s="27">
        <v>44476.938761574071</v>
      </c>
      <c r="F10" s="27">
        <v>36841</v>
      </c>
      <c r="G10" s="28">
        <v>13.0395035545595</v>
      </c>
      <c r="H10" s="28">
        <v>22.9920399034783</v>
      </c>
      <c r="I10" s="25">
        <v>765.3691</v>
      </c>
      <c r="J10" s="25">
        <v>357.97120000000001</v>
      </c>
      <c r="K10" s="24"/>
      <c r="L10" s="25"/>
      <c r="M10" s="26"/>
      <c r="N10" s="26"/>
      <c r="O10" s="26"/>
      <c r="P10" s="26"/>
      <c r="Q10" s="26"/>
      <c r="R10" s="26"/>
    </row>
    <row r="11" spans="1:18" x14ac:dyDescent="0.35">
      <c r="A11" s="12" t="s">
        <v>26</v>
      </c>
      <c r="B11" s="12">
        <v>1229</v>
      </c>
      <c r="C11" s="12"/>
      <c r="D11" s="12"/>
      <c r="E11" s="13">
        <v>44844.783541666664</v>
      </c>
      <c r="F11" s="13"/>
      <c r="G11" s="15">
        <v>12.534000000000001</v>
      </c>
      <c r="H11" s="15"/>
      <c r="I11" s="14">
        <v>765.3691</v>
      </c>
      <c r="J11" s="14">
        <f>J10/I10*I11</f>
        <v>357.97120000000001</v>
      </c>
      <c r="K11" s="18" t="e">
        <f>#REF!</f>
        <v>#REF!</v>
      </c>
      <c r="L11" s="14" t="e">
        <f>J10/I10*K11</f>
        <v>#REF!</v>
      </c>
      <c r="M11" s="12"/>
      <c r="N11" s="12"/>
      <c r="O11" s="12"/>
      <c r="P11" s="12"/>
      <c r="Q11" s="12"/>
      <c r="R11" s="12"/>
    </row>
    <row r="12" spans="1:18" x14ac:dyDescent="0.35">
      <c r="A12" t="s">
        <v>25</v>
      </c>
      <c r="B12">
        <v>201</v>
      </c>
      <c r="C12">
        <v>15</v>
      </c>
      <c r="D12" t="s">
        <v>16</v>
      </c>
      <c r="E12" s="1">
        <v>44477.938761574071</v>
      </c>
      <c r="F12" s="1">
        <v>36841</v>
      </c>
      <c r="G12" s="6">
        <v>1904.1616206589399</v>
      </c>
      <c r="H12" s="6">
        <v>22.9920399034783</v>
      </c>
      <c r="I12" s="5">
        <v>4.6418999999999997</v>
      </c>
      <c r="J12" s="5">
        <v>321.66890000000001</v>
      </c>
    </row>
    <row r="13" spans="1:18" x14ac:dyDescent="0.35">
      <c r="A13" t="s">
        <v>25</v>
      </c>
      <c r="B13">
        <v>1231</v>
      </c>
      <c r="C13">
        <v>15</v>
      </c>
      <c r="D13" t="s">
        <v>16</v>
      </c>
      <c r="E13" s="1">
        <v>44861.454050925924</v>
      </c>
      <c r="F13" s="1">
        <v>36841</v>
      </c>
      <c r="G13" s="6">
        <v>10.282472605653799</v>
      </c>
      <c r="H13" s="6">
        <v>22.9920399034783</v>
      </c>
      <c r="I13" s="5">
        <v>810.69650000000001</v>
      </c>
      <c r="J13" s="5">
        <v>321.66890000000001</v>
      </c>
    </row>
    <row r="14" spans="1:18" x14ac:dyDescent="0.35">
      <c r="A14" s="26" t="s">
        <v>25</v>
      </c>
      <c r="B14" s="26">
        <v>1239</v>
      </c>
      <c r="C14" s="26">
        <v>15</v>
      </c>
      <c r="D14" s="26" t="s">
        <v>16</v>
      </c>
      <c r="E14" s="27">
        <v>44893.572569444441</v>
      </c>
      <c r="F14" s="27">
        <v>36841</v>
      </c>
      <c r="G14" s="28">
        <v>433.54192724694099</v>
      </c>
      <c r="H14" s="28">
        <v>22.9920399034783</v>
      </c>
      <c r="I14" s="25">
        <v>18.6356</v>
      </c>
      <c r="J14" s="25">
        <v>321.66890000000001</v>
      </c>
      <c r="K14" s="24"/>
      <c r="L14" s="25"/>
      <c r="M14" s="26"/>
      <c r="N14" s="26"/>
      <c r="O14" s="26"/>
      <c r="P14" s="26"/>
      <c r="Q14" s="26"/>
      <c r="R14" s="26"/>
    </row>
    <row r="15" spans="1:18" x14ac:dyDescent="0.35">
      <c r="A15" s="12" t="s">
        <v>26</v>
      </c>
      <c r="B15" s="12">
        <v>1278</v>
      </c>
      <c r="C15" s="12"/>
      <c r="D15" s="12"/>
      <c r="E15" s="13">
        <v>45495.441631944443</v>
      </c>
      <c r="F15" s="13"/>
      <c r="G15" s="15">
        <v>457.74209999999999</v>
      </c>
      <c r="H15" s="15"/>
      <c r="I15" s="14">
        <v>18.635999999999999</v>
      </c>
      <c r="J15" s="14">
        <f>J14/I14*I15</f>
        <v>321.67580439588738</v>
      </c>
      <c r="K15" s="18" t="e">
        <f>#REF!</f>
        <v>#REF!</v>
      </c>
      <c r="L15" s="14" t="e">
        <f>J14/I14*K15</f>
        <v>#REF!</v>
      </c>
      <c r="M15" s="12"/>
      <c r="N15" s="12"/>
      <c r="O15" s="12"/>
      <c r="P15" s="12"/>
      <c r="Q15" s="12"/>
      <c r="R15" s="12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8E6F-1675-4496-B061-13620CC0D329}">
  <dimension ref="A1:N110"/>
  <sheetViews>
    <sheetView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" sqref="K1:M1048576"/>
    </sheetView>
  </sheetViews>
  <sheetFormatPr defaultRowHeight="14.5" x14ac:dyDescent="0.35"/>
  <cols>
    <col min="2" max="2" width="4.81640625" bestFit="1" customWidth="1"/>
    <col min="3" max="3" width="10.54296875" bestFit="1" customWidth="1"/>
    <col min="4" max="4" width="11.08984375" bestFit="1" customWidth="1"/>
    <col min="5" max="5" width="4" customWidth="1"/>
    <col min="6" max="6" width="11.36328125" bestFit="1" customWidth="1"/>
    <col min="7" max="7" width="11.08984375" bestFit="1" customWidth="1"/>
    <col min="8" max="8" width="2.81640625" customWidth="1"/>
    <col min="9" max="9" width="10.7265625" bestFit="1" customWidth="1"/>
    <col min="10" max="10" width="6" customWidth="1"/>
    <col min="12" max="13" width="10.08984375" bestFit="1" customWidth="1"/>
  </cols>
  <sheetData>
    <row r="1" spans="1:14" x14ac:dyDescent="0.35">
      <c r="B1" s="21" t="s">
        <v>3</v>
      </c>
      <c r="C1" s="21" t="s">
        <v>33</v>
      </c>
      <c r="D1" s="21"/>
      <c r="F1" s="21" t="s">
        <v>6</v>
      </c>
      <c r="G1" s="21"/>
      <c r="I1" s="21" t="s">
        <v>34</v>
      </c>
      <c r="J1" s="21"/>
    </row>
    <row r="2" spans="1:14" x14ac:dyDescent="0.35">
      <c r="A2" t="s">
        <v>35</v>
      </c>
      <c r="B2">
        <v>1</v>
      </c>
      <c r="C2" s="30">
        <v>1062352</v>
      </c>
      <c r="D2" s="31">
        <f>C2</f>
        <v>1062352</v>
      </c>
      <c r="E2" s="30"/>
      <c r="F2" s="30">
        <v>1062352</v>
      </c>
      <c r="G2" s="31">
        <f>F2</f>
        <v>1062352</v>
      </c>
      <c r="H2" s="31"/>
      <c r="I2" s="30">
        <f>D2-G2</f>
        <v>0</v>
      </c>
      <c r="J2" s="30"/>
    </row>
    <row r="3" spans="1:14" x14ac:dyDescent="0.35">
      <c r="A3" t="s">
        <v>35</v>
      </c>
      <c r="B3">
        <v>2</v>
      </c>
      <c r="C3" s="30">
        <v>3064907</v>
      </c>
      <c r="D3" s="31">
        <f>D2+C3</f>
        <v>4127259</v>
      </c>
      <c r="E3" s="30"/>
      <c r="F3" s="30">
        <v>3064907</v>
      </c>
      <c r="G3" s="31">
        <f>G2+F3</f>
        <v>4127259</v>
      </c>
      <c r="H3" s="31"/>
      <c r="I3" s="30">
        <f t="shared" ref="I3:I66" si="0">D3-G3</f>
        <v>0</v>
      </c>
      <c r="J3" s="30"/>
    </row>
    <row r="4" spans="1:14" x14ac:dyDescent="0.35">
      <c r="A4" t="s">
        <v>35</v>
      </c>
      <c r="B4">
        <v>3</v>
      </c>
      <c r="C4" s="30">
        <v>-3037851</v>
      </c>
      <c r="D4" s="31">
        <f t="shared" ref="D4:D67" si="1">D3+C4</f>
        <v>1089408</v>
      </c>
      <c r="E4" s="30"/>
      <c r="F4" s="30">
        <v>-3037851</v>
      </c>
      <c r="G4" s="31">
        <f t="shared" ref="G4:G67" si="2">G3+F4</f>
        <v>1089408</v>
      </c>
      <c r="H4" s="31"/>
      <c r="I4" s="30">
        <f t="shared" si="0"/>
        <v>0</v>
      </c>
      <c r="J4" s="30"/>
    </row>
    <row r="5" spans="1:14" x14ac:dyDescent="0.35">
      <c r="A5" t="s">
        <v>18</v>
      </c>
      <c r="B5">
        <v>7</v>
      </c>
      <c r="C5">
        <v>0</v>
      </c>
      <c r="D5" s="31">
        <f t="shared" si="1"/>
        <v>1089408</v>
      </c>
      <c r="F5" s="30">
        <v>6986625</v>
      </c>
      <c r="G5" s="31">
        <f t="shared" si="2"/>
        <v>8076033</v>
      </c>
      <c r="H5" s="31"/>
      <c r="I5" s="30">
        <f t="shared" si="0"/>
        <v>-6986625</v>
      </c>
      <c r="J5" s="30"/>
    </row>
    <row r="6" spans="1:14" x14ac:dyDescent="0.35">
      <c r="A6" t="s">
        <v>36</v>
      </c>
      <c r="B6">
        <v>11</v>
      </c>
      <c r="C6" s="30">
        <v>-124698</v>
      </c>
      <c r="D6" s="31">
        <f t="shared" si="1"/>
        <v>964710</v>
      </c>
      <c r="E6" s="30"/>
      <c r="F6" s="30">
        <v>-124698</v>
      </c>
      <c r="G6" s="31">
        <f t="shared" si="2"/>
        <v>7951335</v>
      </c>
      <c r="H6" s="31"/>
      <c r="I6" s="30">
        <f t="shared" si="0"/>
        <v>-6986625</v>
      </c>
      <c r="J6" s="30"/>
    </row>
    <row r="7" spans="1:14" x14ac:dyDescent="0.35">
      <c r="A7" t="s">
        <v>36</v>
      </c>
      <c r="B7">
        <v>12</v>
      </c>
      <c r="C7" s="30">
        <v>-790503</v>
      </c>
      <c r="D7" s="31">
        <f t="shared" si="1"/>
        <v>174207</v>
      </c>
      <c r="E7" s="30"/>
      <c r="F7" s="30">
        <v>-790503</v>
      </c>
      <c r="G7" s="31">
        <f t="shared" si="2"/>
        <v>7160832</v>
      </c>
      <c r="H7" s="31"/>
      <c r="I7" s="30">
        <f t="shared" si="0"/>
        <v>-6986625</v>
      </c>
      <c r="J7" s="30"/>
    </row>
    <row r="8" spans="1:14" x14ac:dyDescent="0.35">
      <c r="A8" t="s">
        <v>16</v>
      </c>
      <c r="B8">
        <v>15</v>
      </c>
      <c r="C8">
        <v>0</v>
      </c>
      <c r="D8" s="31">
        <f t="shared" si="1"/>
        <v>174207</v>
      </c>
      <c r="F8" s="30">
        <v>-10114540</v>
      </c>
      <c r="G8" s="31">
        <f t="shared" si="2"/>
        <v>-2953708</v>
      </c>
      <c r="H8" s="31"/>
      <c r="I8" s="30">
        <f t="shared" si="0"/>
        <v>3127915</v>
      </c>
      <c r="J8" s="30"/>
      <c r="K8" s="22"/>
      <c r="L8" s="22"/>
    </row>
    <row r="9" spans="1:14" x14ac:dyDescent="0.35">
      <c r="A9" t="s">
        <v>1</v>
      </c>
      <c r="B9">
        <v>16</v>
      </c>
      <c r="C9">
        <v>0</v>
      </c>
      <c r="D9" s="31">
        <f t="shared" si="1"/>
        <v>174207</v>
      </c>
      <c r="F9" s="30">
        <v>377875</v>
      </c>
      <c r="G9" s="31">
        <f t="shared" si="2"/>
        <v>-2575833</v>
      </c>
      <c r="H9" s="31"/>
      <c r="I9" s="30">
        <f t="shared" si="0"/>
        <v>2750040</v>
      </c>
      <c r="J9" s="30"/>
      <c r="L9" s="17"/>
      <c r="M9" s="17"/>
      <c r="N9" s="17"/>
    </row>
    <row r="10" spans="1:14" x14ac:dyDescent="0.35">
      <c r="A10" t="s">
        <v>1</v>
      </c>
      <c r="B10">
        <v>17</v>
      </c>
      <c r="C10">
        <v>0</v>
      </c>
      <c r="D10" s="31">
        <f t="shared" si="1"/>
        <v>174207</v>
      </c>
      <c r="F10" s="30">
        <v>-848912</v>
      </c>
      <c r="G10" s="31">
        <f t="shared" si="2"/>
        <v>-3424745</v>
      </c>
      <c r="H10" s="31"/>
      <c r="I10" s="30">
        <f t="shared" si="0"/>
        <v>3598952</v>
      </c>
      <c r="J10" s="30"/>
      <c r="L10" s="17"/>
      <c r="M10" s="17"/>
      <c r="N10" s="17"/>
    </row>
    <row r="11" spans="1:14" x14ac:dyDescent="0.35">
      <c r="A11" t="s">
        <v>1</v>
      </c>
      <c r="B11">
        <v>24</v>
      </c>
      <c r="C11">
        <v>0</v>
      </c>
      <c r="D11" s="31">
        <f t="shared" si="1"/>
        <v>174207</v>
      </c>
      <c r="F11" s="30">
        <v>-204444</v>
      </c>
      <c r="G11" s="31">
        <f t="shared" si="2"/>
        <v>-3629189</v>
      </c>
      <c r="H11" s="31"/>
      <c r="I11" s="30">
        <f t="shared" si="0"/>
        <v>3803396</v>
      </c>
      <c r="J11" s="30"/>
      <c r="L11" s="17"/>
      <c r="M11" s="17"/>
      <c r="N11" s="17"/>
    </row>
    <row r="12" spans="1:14" x14ac:dyDescent="0.35">
      <c r="A12" t="s">
        <v>37</v>
      </c>
      <c r="B12">
        <v>26</v>
      </c>
      <c r="C12">
        <v>0</v>
      </c>
      <c r="D12" s="31">
        <f t="shared" si="1"/>
        <v>174207</v>
      </c>
      <c r="F12" s="30">
        <v>8073568</v>
      </c>
      <c r="G12" s="31">
        <f t="shared" si="2"/>
        <v>4444379</v>
      </c>
      <c r="H12" s="31"/>
      <c r="I12" s="30">
        <f t="shared" si="0"/>
        <v>-4270172</v>
      </c>
      <c r="J12" s="30"/>
      <c r="L12" s="17"/>
      <c r="M12" s="17"/>
      <c r="N12" s="17"/>
    </row>
    <row r="13" spans="1:14" x14ac:dyDescent="0.35">
      <c r="A13" t="s">
        <v>17</v>
      </c>
      <c r="B13">
        <v>27</v>
      </c>
      <c r="C13">
        <v>0</v>
      </c>
      <c r="D13" s="31">
        <f t="shared" si="1"/>
        <v>174207</v>
      </c>
      <c r="F13" s="30">
        <v>83731</v>
      </c>
      <c r="G13" s="31">
        <f t="shared" si="2"/>
        <v>4528110</v>
      </c>
      <c r="H13" s="31"/>
      <c r="I13" s="30">
        <f t="shared" si="0"/>
        <v>-4353903</v>
      </c>
      <c r="J13" s="30"/>
      <c r="L13" s="17"/>
      <c r="M13" s="17"/>
    </row>
    <row r="14" spans="1:14" x14ac:dyDescent="0.35">
      <c r="A14" t="s">
        <v>17</v>
      </c>
      <c r="B14">
        <v>29</v>
      </c>
      <c r="C14">
        <v>0</v>
      </c>
      <c r="D14" s="31">
        <f t="shared" si="1"/>
        <v>174207</v>
      </c>
      <c r="F14" s="30">
        <v>644249</v>
      </c>
      <c r="G14" s="31">
        <f t="shared" si="2"/>
        <v>5172359</v>
      </c>
      <c r="H14" s="31"/>
      <c r="I14" s="30">
        <f t="shared" si="0"/>
        <v>-4998152</v>
      </c>
      <c r="L14" s="17"/>
      <c r="M14" s="17"/>
    </row>
    <row r="15" spans="1:14" x14ac:dyDescent="0.35">
      <c r="A15" t="s">
        <v>37</v>
      </c>
      <c r="B15">
        <v>31</v>
      </c>
      <c r="C15">
        <v>0</v>
      </c>
      <c r="D15" s="31">
        <f t="shared" si="1"/>
        <v>174207</v>
      </c>
      <c r="F15" s="30">
        <v>10378221</v>
      </c>
      <c r="G15" s="31">
        <f t="shared" si="2"/>
        <v>15550580</v>
      </c>
      <c r="H15" s="31"/>
      <c r="I15" s="30">
        <f t="shared" si="0"/>
        <v>-15376373</v>
      </c>
      <c r="L15" s="17"/>
      <c r="M15" s="17"/>
    </row>
    <row r="16" spans="1:14" x14ac:dyDescent="0.35">
      <c r="A16" t="s">
        <v>38</v>
      </c>
      <c r="B16">
        <v>32</v>
      </c>
      <c r="C16">
        <v>0</v>
      </c>
      <c r="D16" s="31">
        <f t="shared" si="1"/>
        <v>174207</v>
      </c>
      <c r="F16" s="30">
        <v>376301</v>
      </c>
      <c r="G16" s="31">
        <f t="shared" si="2"/>
        <v>15926881</v>
      </c>
      <c r="H16" s="31"/>
      <c r="I16" s="30">
        <f t="shared" si="0"/>
        <v>-15752674</v>
      </c>
      <c r="J16" s="30"/>
      <c r="L16" s="17"/>
      <c r="M16" s="17"/>
    </row>
    <row r="17" spans="1:13" x14ac:dyDescent="0.35">
      <c r="A17" t="s">
        <v>39</v>
      </c>
      <c r="B17">
        <v>34</v>
      </c>
      <c r="C17" s="30">
        <v>-283135</v>
      </c>
      <c r="D17" s="31">
        <f t="shared" si="1"/>
        <v>-108928</v>
      </c>
      <c r="E17" s="30"/>
      <c r="F17" s="30">
        <v>-659436</v>
      </c>
      <c r="G17" s="31">
        <f t="shared" si="2"/>
        <v>15267445</v>
      </c>
      <c r="H17" s="31"/>
      <c r="I17" s="30">
        <f t="shared" si="0"/>
        <v>-15376373</v>
      </c>
      <c r="J17" s="30"/>
      <c r="L17" s="17"/>
      <c r="M17" s="17"/>
    </row>
    <row r="18" spans="1:13" x14ac:dyDescent="0.35">
      <c r="A18" t="s">
        <v>40</v>
      </c>
      <c r="B18">
        <v>35</v>
      </c>
      <c r="C18" s="30">
        <v>-46400</v>
      </c>
      <c r="D18" s="31">
        <f t="shared" si="1"/>
        <v>-155328</v>
      </c>
      <c r="E18" s="30"/>
      <c r="F18" s="30">
        <v>-46400</v>
      </c>
      <c r="G18" s="31">
        <f t="shared" si="2"/>
        <v>15221045</v>
      </c>
      <c r="H18" s="31"/>
      <c r="I18" s="30">
        <f t="shared" si="0"/>
        <v>-15376373</v>
      </c>
      <c r="J18" s="30"/>
      <c r="L18" s="17"/>
      <c r="M18" s="17"/>
    </row>
    <row r="19" spans="1:13" x14ac:dyDescent="0.35">
      <c r="A19" t="s">
        <v>19</v>
      </c>
      <c r="B19">
        <v>37</v>
      </c>
      <c r="C19">
        <v>0</v>
      </c>
      <c r="D19" s="31">
        <f t="shared" si="1"/>
        <v>-155328</v>
      </c>
      <c r="F19" s="30">
        <v>-17670</v>
      </c>
      <c r="G19" s="31">
        <f t="shared" si="2"/>
        <v>15203375</v>
      </c>
      <c r="H19" s="31"/>
      <c r="I19" s="30">
        <f t="shared" si="0"/>
        <v>-15358703</v>
      </c>
      <c r="J19" s="30"/>
      <c r="L19" s="17"/>
      <c r="M19" s="17"/>
    </row>
    <row r="20" spans="1:13" x14ac:dyDescent="0.35">
      <c r="A20" t="s">
        <v>18</v>
      </c>
      <c r="B20">
        <v>39</v>
      </c>
      <c r="C20">
        <v>0</v>
      </c>
      <c r="D20" s="31">
        <f t="shared" si="1"/>
        <v>-155328</v>
      </c>
      <c r="F20" s="30">
        <v>1168353</v>
      </c>
      <c r="G20" s="31">
        <f t="shared" si="2"/>
        <v>16371728</v>
      </c>
      <c r="H20" s="31"/>
      <c r="I20" s="30">
        <f t="shared" si="0"/>
        <v>-16527056</v>
      </c>
      <c r="J20" s="30"/>
      <c r="L20" s="17"/>
      <c r="M20" s="17"/>
    </row>
    <row r="21" spans="1:13" x14ac:dyDescent="0.35">
      <c r="A21" t="s">
        <v>35</v>
      </c>
      <c r="B21">
        <v>41</v>
      </c>
      <c r="C21" s="30">
        <v>507704</v>
      </c>
      <c r="D21" s="31">
        <f t="shared" si="1"/>
        <v>352376</v>
      </c>
      <c r="E21" s="30"/>
      <c r="F21" s="30">
        <v>97066</v>
      </c>
      <c r="G21" s="31">
        <f t="shared" si="2"/>
        <v>16468794</v>
      </c>
      <c r="H21" s="31"/>
      <c r="I21" s="30">
        <f t="shared" si="0"/>
        <v>-16116418</v>
      </c>
      <c r="J21" s="30"/>
      <c r="L21" s="17"/>
      <c r="M21" s="17"/>
    </row>
    <row r="22" spans="1:13" x14ac:dyDescent="0.35">
      <c r="A22" t="s">
        <v>41</v>
      </c>
      <c r="B22">
        <v>43</v>
      </c>
      <c r="C22" s="30">
        <v>-562739</v>
      </c>
      <c r="D22" s="31">
        <f t="shared" si="1"/>
        <v>-210363</v>
      </c>
      <c r="E22" s="30"/>
      <c r="F22" s="30">
        <v>-562739</v>
      </c>
      <c r="G22" s="31">
        <f t="shared" si="2"/>
        <v>15906055</v>
      </c>
      <c r="H22" s="31"/>
      <c r="I22" s="30">
        <f t="shared" si="0"/>
        <v>-16116418</v>
      </c>
      <c r="J22" s="30"/>
    </row>
    <row r="23" spans="1:13" x14ac:dyDescent="0.35">
      <c r="A23" t="s">
        <v>41</v>
      </c>
      <c r="B23">
        <v>46</v>
      </c>
      <c r="C23" s="30">
        <v>7513</v>
      </c>
      <c r="D23" s="31">
        <f t="shared" si="1"/>
        <v>-202850</v>
      </c>
      <c r="E23" s="30"/>
      <c r="F23" s="30">
        <v>7513</v>
      </c>
      <c r="G23" s="31">
        <f t="shared" si="2"/>
        <v>15913568</v>
      </c>
      <c r="H23" s="31"/>
      <c r="I23" s="30">
        <f t="shared" si="0"/>
        <v>-16116418</v>
      </c>
      <c r="J23" s="30"/>
      <c r="L23" s="29"/>
    </row>
    <row r="24" spans="1:13" x14ac:dyDescent="0.35">
      <c r="A24" t="s">
        <v>41</v>
      </c>
      <c r="B24">
        <v>49</v>
      </c>
      <c r="C24" s="30">
        <v>7513</v>
      </c>
      <c r="D24" s="31">
        <f t="shared" si="1"/>
        <v>-195337</v>
      </c>
      <c r="E24" s="30"/>
      <c r="F24" s="30">
        <v>7513</v>
      </c>
      <c r="G24" s="31">
        <f t="shared" si="2"/>
        <v>15921081</v>
      </c>
      <c r="H24" s="31"/>
      <c r="I24" s="30">
        <f t="shared" si="0"/>
        <v>-16116418</v>
      </c>
      <c r="J24" s="30"/>
    </row>
    <row r="25" spans="1:13" x14ac:dyDescent="0.35">
      <c r="A25" t="s">
        <v>41</v>
      </c>
      <c r="B25">
        <v>51</v>
      </c>
      <c r="C25" s="30">
        <v>-1557</v>
      </c>
      <c r="D25" s="31">
        <f t="shared" si="1"/>
        <v>-196894</v>
      </c>
      <c r="E25" s="30"/>
      <c r="F25" s="30">
        <v>-1557</v>
      </c>
      <c r="G25" s="31">
        <f t="shared" si="2"/>
        <v>15919524</v>
      </c>
      <c r="H25" s="31"/>
      <c r="I25" s="30">
        <f t="shared" si="0"/>
        <v>-16116418</v>
      </c>
      <c r="J25" s="30"/>
      <c r="L25" s="29"/>
    </row>
    <row r="26" spans="1:13" x14ac:dyDescent="0.35">
      <c r="A26" t="s">
        <v>41</v>
      </c>
      <c r="B26">
        <v>53</v>
      </c>
      <c r="C26" s="30">
        <v>7513</v>
      </c>
      <c r="D26" s="31">
        <f t="shared" si="1"/>
        <v>-189381</v>
      </c>
      <c r="E26" s="30"/>
      <c r="F26" s="30">
        <v>7513</v>
      </c>
      <c r="G26" s="31">
        <f t="shared" si="2"/>
        <v>15927037</v>
      </c>
      <c r="H26" s="31"/>
      <c r="I26" s="30">
        <f t="shared" si="0"/>
        <v>-16116418</v>
      </c>
      <c r="J26" s="30"/>
    </row>
    <row r="27" spans="1:13" x14ac:dyDescent="0.35">
      <c r="A27" t="s">
        <v>41</v>
      </c>
      <c r="B27">
        <v>55</v>
      </c>
      <c r="C27" s="30">
        <v>-1767</v>
      </c>
      <c r="D27" s="31">
        <f t="shared" si="1"/>
        <v>-191148</v>
      </c>
      <c r="E27" s="30"/>
      <c r="F27" s="30">
        <v>-1767</v>
      </c>
      <c r="G27" s="31">
        <f t="shared" si="2"/>
        <v>15925270</v>
      </c>
      <c r="H27" s="31"/>
      <c r="I27" s="30">
        <f t="shared" si="0"/>
        <v>-16116418</v>
      </c>
      <c r="J27" s="30"/>
    </row>
    <row r="28" spans="1:13" x14ac:dyDescent="0.35">
      <c r="A28" t="s">
        <v>41</v>
      </c>
      <c r="B28">
        <v>58</v>
      </c>
      <c r="C28" s="30">
        <v>3123</v>
      </c>
      <c r="D28" s="31">
        <f t="shared" si="1"/>
        <v>-188025</v>
      </c>
      <c r="E28" s="30"/>
      <c r="F28" s="30">
        <v>3123</v>
      </c>
      <c r="G28" s="31">
        <f t="shared" si="2"/>
        <v>15928393</v>
      </c>
      <c r="H28" s="31"/>
      <c r="I28" s="30">
        <f t="shared" si="0"/>
        <v>-16116418</v>
      </c>
      <c r="J28" s="30"/>
    </row>
    <row r="29" spans="1:13" x14ac:dyDescent="0.35">
      <c r="A29" t="s">
        <v>41</v>
      </c>
      <c r="B29">
        <v>63</v>
      </c>
      <c r="C29" s="30">
        <v>13230</v>
      </c>
      <c r="D29" s="31">
        <f t="shared" si="1"/>
        <v>-174795</v>
      </c>
      <c r="E29" s="30"/>
      <c r="F29" s="30">
        <v>13230</v>
      </c>
      <c r="G29" s="31">
        <f t="shared" si="2"/>
        <v>15941623</v>
      </c>
      <c r="H29" s="31"/>
      <c r="I29" s="30">
        <f t="shared" si="0"/>
        <v>-16116418</v>
      </c>
      <c r="J29" s="30"/>
    </row>
    <row r="30" spans="1:13" x14ac:dyDescent="0.35">
      <c r="A30" t="s">
        <v>41</v>
      </c>
      <c r="B30">
        <v>64</v>
      </c>
      <c r="C30" s="30">
        <v>1015970</v>
      </c>
      <c r="D30" s="31">
        <f t="shared" si="1"/>
        <v>841175</v>
      </c>
      <c r="E30" s="30"/>
      <c r="F30" s="30">
        <v>1015970</v>
      </c>
      <c r="G30" s="31">
        <f t="shared" si="2"/>
        <v>16957593</v>
      </c>
      <c r="H30" s="31"/>
      <c r="I30" s="30">
        <f t="shared" si="0"/>
        <v>-16116418</v>
      </c>
      <c r="J30" s="30"/>
    </row>
    <row r="31" spans="1:13" x14ac:dyDescent="0.35">
      <c r="A31" t="s">
        <v>41</v>
      </c>
      <c r="B31">
        <v>67</v>
      </c>
      <c r="C31" s="30">
        <v>1171868</v>
      </c>
      <c r="D31" s="31">
        <f t="shared" si="1"/>
        <v>2013043</v>
      </c>
      <c r="E31" s="30"/>
      <c r="F31" s="30">
        <v>1171868</v>
      </c>
      <c r="G31" s="31">
        <f t="shared" si="2"/>
        <v>18129461</v>
      </c>
      <c r="H31" s="31"/>
      <c r="I31" s="30">
        <f t="shared" si="0"/>
        <v>-16116418</v>
      </c>
      <c r="J31" s="30"/>
      <c r="L31" s="29"/>
    </row>
    <row r="32" spans="1:13" x14ac:dyDescent="0.35">
      <c r="A32" t="s">
        <v>41</v>
      </c>
      <c r="B32">
        <v>68</v>
      </c>
      <c r="C32" s="30">
        <v>110202</v>
      </c>
      <c r="D32" s="31">
        <f t="shared" si="1"/>
        <v>2123245</v>
      </c>
      <c r="E32" s="30"/>
      <c r="F32" s="30">
        <v>110202</v>
      </c>
      <c r="G32" s="31">
        <f t="shared" si="2"/>
        <v>18239663</v>
      </c>
      <c r="H32" s="31"/>
      <c r="I32" s="30">
        <f t="shared" si="0"/>
        <v>-16116418</v>
      </c>
      <c r="J32" s="30"/>
    </row>
    <row r="33" spans="1:12" x14ac:dyDescent="0.35">
      <c r="A33" t="s">
        <v>41</v>
      </c>
      <c r="B33">
        <v>70</v>
      </c>
      <c r="C33" s="30">
        <v>4930309</v>
      </c>
      <c r="D33" s="31">
        <f t="shared" si="1"/>
        <v>7053554</v>
      </c>
      <c r="E33" s="30"/>
      <c r="F33" s="30">
        <v>4930309</v>
      </c>
      <c r="G33" s="31">
        <f t="shared" si="2"/>
        <v>23169972</v>
      </c>
      <c r="H33" s="31"/>
      <c r="I33" s="30">
        <f t="shared" si="0"/>
        <v>-16116418</v>
      </c>
      <c r="J33" s="30"/>
      <c r="L33" s="29"/>
    </row>
    <row r="34" spans="1:12" x14ac:dyDescent="0.35">
      <c r="A34" t="s">
        <v>41</v>
      </c>
      <c r="B34">
        <v>71</v>
      </c>
      <c r="C34" s="30">
        <v>2251181</v>
      </c>
      <c r="D34" s="31">
        <f t="shared" si="1"/>
        <v>9304735</v>
      </c>
      <c r="E34" s="30"/>
      <c r="F34" s="30">
        <v>2251181</v>
      </c>
      <c r="G34" s="31">
        <f t="shared" si="2"/>
        <v>25421153</v>
      </c>
      <c r="H34" s="31"/>
      <c r="I34" s="30">
        <f t="shared" si="0"/>
        <v>-16116418</v>
      </c>
      <c r="J34" s="30"/>
      <c r="L34" s="29"/>
    </row>
    <row r="35" spans="1:12" x14ac:dyDescent="0.35">
      <c r="A35" t="s">
        <v>41</v>
      </c>
      <c r="B35">
        <v>72</v>
      </c>
      <c r="C35" s="30">
        <v>3572518</v>
      </c>
      <c r="D35" s="31">
        <f t="shared" si="1"/>
        <v>12877253</v>
      </c>
      <c r="E35" s="30"/>
      <c r="F35" s="30">
        <v>3572518</v>
      </c>
      <c r="G35" s="31">
        <f t="shared" si="2"/>
        <v>28993671</v>
      </c>
      <c r="H35" s="31"/>
      <c r="I35" s="30">
        <f t="shared" si="0"/>
        <v>-16116418</v>
      </c>
      <c r="J35" s="30"/>
      <c r="L35" s="29"/>
    </row>
    <row r="36" spans="1:12" x14ac:dyDescent="0.35">
      <c r="A36" t="s">
        <v>41</v>
      </c>
      <c r="B36">
        <v>74</v>
      </c>
      <c r="C36" s="30">
        <v>1798263</v>
      </c>
      <c r="D36" s="31">
        <f t="shared" si="1"/>
        <v>14675516</v>
      </c>
      <c r="E36" s="30"/>
      <c r="F36" s="30">
        <v>1798263</v>
      </c>
      <c r="G36" s="31">
        <f t="shared" si="2"/>
        <v>30791934</v>
      </c>
      <c r="H36" s="31"/>
      <c r="I36" s="30">
        <f t="shared" si="0"/>
        <v>-16116418</v>
      </c>
      <c r="J36" s="30"/>
    </row>
    <row r="37" spans="1:12" x14ac:dyDescent="0.35">
      <c r="A37" t="s">
        <v>41</v>
      </c>
      <c r="B37">
        <v>77</v>
      </c>
      <c r="C37" s="30">
        <v>9411874</v>
      </c>
      <c r="D37" s="31">
        <f t="shared" si="1"/>
        <v>24087390</v>
      </c>
      <c r="E37" s="30"/>
      <c r="F37" s="30">
        <v>9411874</v>
      </c>
      <c r="G37" s="31">
        <f t="shared" si="2"/>
        <v>40203808</v>
      </c>
      <c r="H37" s="31"/>
      <c r="I37" s="30">
        <f t="shared" si="0"/>
        <v>-16116418</v>
      </c>
      <c r="J37" s="30"/>
    </row>
    <row r="38" spans="1:12" x14ac:dyDescent="0.35">
      <c r="A38" t="s">
        <v>42</v>
      </c>
      <c r="B38">
        <v>78</v>
      </c>
      <c r="C38" s="30">
        <v>1314898</v>
      </c>
      <c r="D38" s="31">
        <f t="shared" si="1"/>
        <v>25402288</v>
      </c>
      <c r="E38" s="30"/>
      <c r="F38" s="30">
        <v>1314898</v>
      </c>
      <c r="G38" s="31">
        <f t="shared" si="2"/>
        <v>41518706</v>
      </c>
      <c r="H38" s="31"/>
      <c r="I38" s="30">
        <f t="shared" si="0"/>
        <v>-16116418</v>
      </c>
      <c r="J38" s="30"/>
    </row>
    <row r="39" spans="1:12" x14ac:dyDescent="0.35">
      <c r="A39" t="s">
        <v>43</v>
      </c>
      <c r="B39">
        <v>79</v>
      </c>
      <c r="C39" s="30">
        <v>167745</v>
      </c>
      <c r="D39" s="31">
        <f t="shared" si="1"/>
        <v>25570033</v>
      </c>
      <c r="E39" s="30"/>
      <c r="F39" s="30">
        <v>167745</v>
      </c>
      <c r="G39" s="31">
        <f t="shared" si="2"/>
        <v>41686451</v>
      </c>
      <c r="H39" s="31"/>
      <c r="I39" s="30">
        <f t="shared" si="0"/>
        <v>-16116418</v>
      </c>
      <c r="J39" s="30"/>
    </row>
    <row r="40" spans="1:12" x14ac:dyDescent="0.35">
      <c r="A40" t="s">
        <v>43</v>
      </c>
      <c r="B40">
        <v>81</v>
      </c>
      <c r="C40" s="30">
        <v>192810</v>
      </c>
      <c r="D40" s="31">
        <f t="shared" si="1"/>
        <v>25762843</v>
      </c>
      <c r="E40" s="30"/>
      <c r="F40" s="30">
        <v>192810</v>
      </c>
      <c r="G40" s="31">
        <f t="shared" si="2"/>
        <v>41879261</v>
      </c>
      <c r="H40" s="31"/>
      <c r="I40" s="30">
        <f t="shared" si="0"/>
        <v>-16116418</v>
      </c>
      <c r="J40" s="30"/>
    </row>
    <row r="41" spans="1:12" x14ac:dyDescent="0.35">
      <c r="A41" t="s">
        <v>43</v>
      </c>
      <c r="B41">
        <v>83</v>
      </c>
      <c r="C41" s="30">
        <v>-1239840</v>
      </c>
      <c r="D41" s="31">
        <f t="shared" si="1"/>
        <v>24523003</v>
      </c>
      <c r="E41" s="30"/>
      <c r="F41" s="30">
        <v>-1239840</v>
      </c>
      <c r="G41" s="31">
        <f t="shared" si="2"/>
        <v>40639421</v>
      </c>
      <c r="H41" s="31"/>
      <c r="I41" s="30">
        <f t="shared" si="0"/>
        <v>-16116418</v>
      </c>
      <c r="J41" s="30"/>
    </row>
    <row r="42" spans="1:12" x14ac:dyDescent="0.35">
      <c r="A42" t="s">
        <v>41</v>
      </c>
      <c r="B42">
        <v>85</v>
      </c>
      <c r="C42" s="30">
        <v>797066</v>
      </c>
      <c r="D42" s="31">
        <f t="shared" si="1"/>
        <v>25320069</v>
      </c>
      <c r="E42" s="30"/>
      <c r="F42" s="30">
        <v>797066</v>
      </c>
      <c r="G42" s="31">
        <f t="shared" si="2"/>
        <v>41436487</v>
      </c>
      <c r="H42" s="31"/>
      <c r="I42" s="30">
        <f t="shared" si="0"/>
        <v>-16116418</v>
      </c>
      <c r="J42" s="30"/>
    </row>
    <row r="43" spans="1:12" x14ac:dyDescent="0.35">
      <c r="A43" t="s">
        <v>42</v>
      </c>
      <c r="B43">
        <v>86</v>
      </c>
      <c r="C43" s="30">
        <v>1113407</v>
      </c>
      <c r="D43" s="31">
        <f t="shared" si="1"/>
        <v>26433476</v>
      </c>
      <c r="E43" s="30"/>
      <c r="F43" s="30">
        <v>1113407</v>
      </c>
      <c r="G43" s="31">
        <f t="shared" si="2"/>
        <v>42549894</v>
      </c>
      <c r="H43" s="31"/>
      <c r="I43" s="30">
        <f t="shared" si="0"/>
        <v>-16116418</v>
      </c>
      <c r="J43" s="30"/>
    </row>
    <row r="44" spans="1:12" x14ac:dyDescent="0.35">
      <c r="A44" t="s">
        <v>17</v>
      </c>
      <c r="B44">
        <v>92</v>
      </c>
      <c r="C44">
        <v>0</v>
      </c>
      <c r="D44" s="31">
        <f t="shared" si="1"/>
        <v>26433476</v>
      </c>
      <c r="F44" s="30">
        <v>-889335</v>
      </c>
      <c r="G44" s="31">
        <f t="shared" si="2"/>
        <v>41660559</v>
      </c>
      <c r="H44" s="31"/>
      <c r="I44" s="30">
        <f t="shared" si="0"/>
        <v>-15227083</v>
      </c>
      <c r="J44" s="30"/>
    </row>
    <row r="45" spans="1:12" x14ac:dyDescent="0.35">
      <c r="A45" t="s">
        <v>43</v>
      </c>
      <c r="B45">
        <v>94</v>
      </c>
      <c r="C45" s="30">
        <v>2499790</v>
      </c>
      <c r="D45" s="31">
        <f t="shared" si="1"/>
        <v>28933266</v>
      </c>
      <c r="E45" s="30"/>
      <c r="F45" s="30">
        <v>2499790</v>
      </c>
      <c r="G45" s="31">
        <f t="shared" si="2"/>
        <v>44160349</v>
      </c>
      <c r="H45" s="31"/>
      <c r="I45" s="30">
        <f t="shared" si="0"/>
        <v>-15227083</v>
      </c>
      <c r="J45" s="30"/>
    </row>
    <row r="46" spans="1:12" x14ac:dyDescent="0.35">
      <c r="A46" t="s">
        <v>18</v>
      </c>
      <c r="B46">
        <v>96</v>
      </c>
      <c r="C46">
        <v>0</v>
      </c>
      <c r="D46" s="31">
        <f t="shared" si="1"/>
        <v>28933266</v>
      </c>
      <c r="F46" s="30">
        <v>857239</v>
      </c>
      <c r="G46" s="31">
        <f t="shared" si="2"/>
        <v>45017588</v>
      </c>
      <c r="H46" s="31"/>
      <c r="I46" s="30">
        <f t="shared" si="0"/>
        <v>-16084322</v>
      </c>
      <c r="J46" s="30"/>
    </row>
    <row r="47" spans="1:12" x14ac:dyDescent="0.35">
      <c r="A47" t="s">
        <v>44</v>
      </c>
      <c r="B47">
        <v>98</v>
      </c>
      <c r="C47" s="30">
        <v>46210</v>
      </c>
      <c r="D47" s="31">
        <f t="shared" si="1"/>
        <v>28979476</v>
      </c>
      <c r="E47" s="30"/>
      <c r="F47" s="30">
        <v>46210</v>
      </c>
      <c r="G47" s="31">
        <f t="shared" si="2"/>
        <v>45063798</v>
      </c>
      <c r="H47" s="31"/>
      <c r="I47" s="30">
        <f t="shared" si="0"/>
        <v>-16084322</v>
      </c>
      <c r="J47" s="30"/>
    </row>
    <row r="48" spans="1:12" x14ac:dyDescent="0.35">
      <c r="A48" t="s">
        <v>41</v>
      </c>
      <c r="B48">
        <v>99</v>
      </c>
      <c r="C48" s="30">
        <v>3089870</v>
      </c>
      <c r="D48" s="31">
        <f t="shared" si="1"/>
        <v>32069346</v>
      </c>
      <c r="E48" s="30"/>
      <c r="F48" s="30">
        <v>3089870</v>
      </c>
      <c r="G48" s="31">
        <f t="shared" si="2"/>
        <v>48153668</v>
      </c>
      <c r="H48" s="31"/>
      <c r="I48" s="30">
        <f t="shared" si="0"/>
        <v>-16084322</v>
      </c>
      <c r="J48" s="30"/>
    </row>
    <row r="49" spans="1:10" x14ac:dyDescent="0.35">
      <c r="A49" t="s">
        <v>45</v>
      </c>
      <c r="B49">
        <v>101</v>
      </c>
      <c r="C49" s="30">
        <v>434492</v>
      </c>
      <c r="D49" s="31">
        <f t="shared" si="1"/>
        <v>32503838</v>
      </c>
      <c r="E49" s="30"/>
      <c r="F49" s="30">
        <v>19653451</v>
      </c>
      <c r="G49" s="31">
        <f t="shared" si="2"/>
        <v>67807119</v>
      </c>
      <c r="H49" s="31"/>
      <c r="I49" s="30">
        <f t="shared" si="0"/>
        <v>-35303281</v>
      </c>
      <c r="J49" s="30"/>
    </row>
    <row r="50" spans="1:10" x14ac:dyDescent="0.35">
      <c r="A50" t="s">
        <v>18</v>
      </c>
      <c r="B50">
        <v>104</v>
      </c>
      <c r="C50">
        <v>0</v>
      </c>
      <c r="D50" s="31">
        <f t="shared" si="1"/>
        <v>32503838</v>
      </c>
      <c r="F50" s="30">
        <v>7965</v>
      </c>
      <c r="G50" s="31">
        <f t="shared" si="2"/>
        <v>67815084</v>
      </c>
      <c r="H50" s="31"/>
      <c r="I50" s="30">
        <f t="shared" si="0"/>
        <v>-35311246</v>
      </c>
      <c r="J50" s="30"/>
    </row>
    <row r="51" spans="1:10" x14ac:dyDescent="0.35">
      <c r="A51" t="s">
        <v>46</v>
      </c>
      <c r="B51">
        <v>105</v>
      </c>
      <c r="C51" s="30">
        <v>-381395</v>
      </c>
      <c r="D51" s="31">
        <f t="shared" si="1"/>
        <v>32122443</v>
      </c>
      <c r="E51" s="30"/>
      <c r="F51" s="30">
        <v>-381395</v>
      </c>
      <c r="G51" s="31">
        <f t="shared" si="2"/>
        <v>67433689</v>
      </c>
      <c r="H51" s="31"/>
      <c r="I51" s="30">
        <f t="shared" si="0"/>
        <v>-35311246</v>
      </c>
      <c r="J51" s="30"/>
    </row>
    <row r="52" spans="1:10" x14ac:dyDescent="0.35">
      <c r="A52" t="s">
        <v>41</v>
      </c>
      <c r="B52">
        <v>106</v>
      </c>
      <c r="C52" s="30">
        <v>-3880590</v>
      </c>
      <c r="D52" s="31">
        <f t="shared" si="1"/>
        <v>28241853</v>
      </c>
      <c r="E52" s="30"/>
      <c r="F52" s="30">
        <v>-3880590</v>
      </c>
      <c r="G52" s="31">
        <f t="shared" si="2"/>
        <v>63553099</v>
      </c>
      <c r="H52" s="31"/>
      <c r="I52" s="30">
        <f t="shared" si="0"/>
        <v>-35311246</v>
      </c>
      <c r="J52" s="30"/>
    </row>
    <row r="53" spans="1:10" x14ac:dyDescent="0.35">
      <c r="A53" t="s">
        <v>20</v>
      </c>
      <c r="B53">
        <v>108</v>
      </c>
      <c r="C53">
        <v>0</v>
      </c>
      <c r="D53" s="31">
        <f t="shared" si="1"/>
        <v>28241853</v>
      </c>
      <c r="F53" s="30">
        <v>-34753</v>
      </c>
      <c r="G53" s="31">
        <f t="shared" si="2"/>
        <v>63518346</v>
      </c>
      <c r="H53" s="31"/>
      <c r="I53" s="30">
        <f t="shared" si="0"/>
        <v>-35276493</v>
      </c>
      <c r="J53" s="30"/>
    </row>
    <row r="54" spans="1:10" x14ac:dyDescent="0.35">
      <c r="A54" t="s">
        <v>47</v>
      </c>
      <c r="B54">
        <v>109</v>
      </c>
      <c r="C54" s="30">
        <v>2537295</v>
      </c>
      <c r="D54" s="31">
        <f t="shared" si="1"/>
        <v>30779148</v>
      </c>
      <c r="E54" s="30"/>
      <c r="F54" s="30">
        <v>2537295</v>
      </c>
      <c r="G54" s="31">
        <f t="shared" si="2"/>
        <v>66055641</v>
      </c>
      <c r="H54" s="31"/>
      <c r="I54" s="30">
        <f t="shared" si="0"/>
        <v>-35276493</v>
      </c>
      <c r="J54" s="30"/>
    </row>
    <row r="55" spans="1:10" x14ac:dyDescent="0.35">
      <c r="A55" t="s">
        <v>47</v>
      </c>
      <c r="B55">
        <v>110</v>
      </c>
      <c r="C55" s="30">
        <v>599235</v>
      </c>
      <c r="D55" s="31">
        <f t="shared" si="1"/>
        <v>31378383</v>
      </c>
      <c r="E55" s="30"/>
      <c r="F55" s="30">
        <v>599235</v>
      </c>
      <c r="G55" s="31">
        <f t="shared" si="2"/>
        <v>66654876</v>
      </c>
      <c r="H55" s="31"/>
      <c r="I55" s="30">
        <f t="shared" si="0"/>
        <v>-35276493</v>
      </c>
      <c r="J55" s="30"/>
    </row>
    <row r="56" spans="1:10" x14ac:dyDescent="0.35">
      <c r="A56" t="s">
        <v>44</v>
      </c>
      <c r="B56">
        <v>122</v>
      </c>
      <c r="C56" s="30">
        <v>2059176</v>
      </c>
      <c r="D56" s="31">
        <f t="shared" si="1"/>
        <v>33437559</v>
      </c>
      <c r="E56" s="30"/>
      <c r="F56" s="30">
        <v>2059176</v>
      </c>
      <c r="G56" s="31">
        <f t="shared" si="2"/>
        <v>68714052</v>
      </c>
      <c r="H56" s="31"/>
      <c r="I56" s="30">
        <f t="shared" si="0"/>
        <v>-35276493</v>
      </c>
      <c r="J56" s="30"/>
    </row>
    <row r="57" spans="1:10" x14ac:dyDescent="0.35">
      <c r="A57" t="s">
        <v>48</v>
      </c>
      <c r="B57">
        <v>123</v>
      </c>
      <c r="C57" s="30">
        <v>82806</v>
      </c>
      <c r="D57" s="31">
        <f t="shared" si="1"/>
        <v>33520365</v>
      </c>
      <c r="E57" s="30"/>
      <c r="F57" s="30">
        <v>82806</v>
      </c>
      <c r="G57" s="31">
        <f t="shared" si="2"/>
        <v>68796858</v>
      </c>
      <c r="H57" s="31"/>
      <c r="I57" s="30">
        <f t="shared" si="0"/>
        <v>-35276493</v>
      </c>
      <c r="J57" s="30"/>
    </row>
    <row r="58" spans="1:10" x14ac:dyDescent="0.35">
      <c r="A58" t="s">
        <v>48</v>
      </c>
      <c r="B58">
        <v>131</v>
      </c>
      <c r="C58" s="30">
        <v>447249</v>
      </c>
      <c r="D58" s="31">
        <f t="shared" si="1"/>
        <v>33967614</v>
      </c>
      <c r="E58" s="30"/>
      <c r="F58" s="30">
        <v>447249</v>
      </c>
      <c r="G58" s="31">
        <f t="shared" si="2"/>
        <v>69244107</v>
      </c>
      <c r="H58" s="31"/>
      <c r="I58" s="30">
        <f t="shared" si="0"/>
        <v>-35276493</v>
      </c>
      <c r="J58" s="30"/>
    </row>
    <row r="59" spans="1:10" x14ac:dyDescent="0.35">
      <c r="A59" t="s">
        <v>49</v>
      </c>
      <c r="B59">
        <v>136</v>
      </c>
      <c r="C59" s="30">
        <v>-62131</v>
      </c>
      <c r="D59" s="31">
        <f t="shared" si="1"/>
        <v>33905483</v>
      </c>
      <c r="E59" s="30"/>
      <c r="F59" s="30">
        <v>-62131</v>
      </c>
      <c r="G59" s="31">
        <f t="shared" si="2"/>
        <v>69181976</v>
      </c>
      <c r="H59" s="31"/>
      <c r="I59" s="30">
        <f t="shared" si="0"/>
        <v>-35276493</v>
      </c>
      <c r="J59" s="30"/>
    </row>
    <row r="60" spans="1:10" x14ac:dyDescent="0.35">
      <c r="A60" t="s">
        <v>50</v>
      </c>
      <c r="B60">
        <v>137</v>
      </c>
      <c r="C60" s="30">
        <v>-29118</v>
      </c>
      <c r="D60" s="31">
        <f t="shared" si="1"/>
        <v>33876365</v>
      </c>
      <c r="E60" s="30"/>
      <c r="F60" s="30">
        <v>-29118</v>
      </c>
      <c r="G60" s="31">
        <f t="shared" si="2"/>
        <v>69152858</v>
      </c>
      <c r="H60" s="31"/>
      <c r="I60" s="30">
        <f t="shared" si="0"/>
        <v>-35276493</v>
      </c>
      <c r="J60" s="30"/>
    </row>
    <row r="61" spans="1:10" x14ac:dyDescent="0.35">
      <c r="A61" t="s">
        <v>43</v>
      </c>
      <c r="B61">
        <v>151</v>
      </c>
      <c r="C61" s="30">
        <v>3985282</v>
      </c>
      <c r="D61" s="31">
        <f t="shared" si="1"/>
        <v>37861647</v>
      </c>
      <c r="E61" s="30"/>
      <c r="F61" s="30">
        <v>3985282</v>
      </c>
      <c r="G61" s="31">
        <f t="shared" si="2"/>
        <v>73138140</v>
      </c>
      <c r="H61" s="31"/>
      <c r="I61" s="30">
        <f t="shared" si="0"/>
        <v>-35276493</v>
      </c>
      <c r="J61" s="30"/>
    </row>
    <row r="62" spans="1:10" x14ac:dyDescent="0.35">
      <c r="A62" t="s">
        <v>43</v>
      </c>
      <c r="B62">
        <v>166</v>
      </c>
      <c r="C62" s="30">
        <v>-12360491</v>
      </c>
      <c r="D62" s="31">
        <f t="shared" si="1"/>
        <v>25501156</v>
      </c>
      <c r="E62" s="30"/>
      <c r="F62" s="30">
        <v>-12360491</v>
      </c>
      <c r="G62" s="31">
        <f t="shared" si="2"/>
        <v>60777649</v>
      </c>
      <c r="H62" s="31"/>
      <c r="I62" s="30">
        <f t="shared" si="0"/>
        <v>-35276493</v>
      </c>
      <c r="J62" s="30"/>
    </row>
    <row r="63" spans="1:10" x14ac:dyDescent="0.35">
      <c r="A63" t="s">
        <v>20</v>
      </c>
      <c r="B63">
        <v>171</v>
      </c>
      <c r="C63">
        <v>0</v>
      </c>
      <c r="D63" s="31">
        <f t="shared" si="1"/>
        <v>25501156</v>
      </c>
      <c r="F63" s="30">
        <v>-46515</v>
      </c>
      <c r="G63" s="31">
        <f t="shared" si="2"/>
        <v>60731134</v>
      </c>
      <c r="H63" s="31"/>
      <c r="I63" s="30">
        <f t="shared" si="0"/>
        <v>-35229978</v>
      </c>
      <c r="J63" s="30"/>
    </row>
    <row r="64" spans="1:10" x14ac:dyDescent="0.35">
      <c r="A64" t="s">
        <v>51</v>
      </c>
      <c r="B64">
        <v>173</v>
      </c>
      <c r="C64" s="30">
        <v>12496719</v>
      </c>
      <c r="D64" s="31">
        <f t="shared" si="1"/>
        <v>37997875</v>
      </c>
      <c r="E64" s="30"/>
      <c r="F64" s="30">
        <v>32126966</v>
      </c>
      <c r="G64" s="31">
        <f t="shared" si="2"/>
        <v>92858100</v>
      </c>
      <c r="H64" s="31"/>
      <c r="I64" s="30">
        <f t="shared" si="0"/>
        <v>-54860225</v>
      </c>
      <c r="J64" s="30"/>
    </row>
    <row r="65" spans="1:10" x14ac:dyDescent="0.35">
      <c r="A65" t="s">
        <v>43</v>
      </c>
      <c r="B65">
        <v>174</v>
      </c>
      <c r="C65" s="30">
        <v>-1305355</v>
      </c>
      <c r="D65" s="31">
        <f t="shared" si="1"/>
        <v>36692520</v>
      </c>
      <c r="E65" s="30"/>
      <c r="F65" s="30">
        <v>-1305355</v>
      </c>
      <c r="G65" s="31">
        <f t="shared" si="2"/>
        <v>91552745</v>
      </c>
      <c r="H65" s="31"/>
      <c r="I65" s="30">
        <f t="shared" si="0"/>
        <v>-54860225</v>
      </c>
      <c r="J65" s="30"/>
    </row>
    <row r="66" spans="1:10" x14ac:dyDescent="0.35">
      <c r="A66" t="s">
        <v>43</v>
      </c>
      <c r="B66">
        <v>178</v>
      </c>
      <c r="C66" s="30">
        <v>629335</v>
      </c>
      <c r="D66" s="31">
        <f t="shared" si="1"/>
        <v>37321855</v>
      </c>
      <c r="E66" s="30"/>
      <c r="F66" s="30">
        <v>629335</v>
      </c>
      <c r="G66" s="31">
        <f t="shared" si="2"/>
        <v>92182080</v>
      </c>
      <c r="H66" s="31"/>
      <c r="I66" s="30">
        <f t="shared" si="0"/>
        <v>-54860225</v>
      </c>
      <c r="J66" s="30"/>
    </row>
    <row r="67" spans="1:10" x14ac:dyDescent="0.35">
      <c r="A67" t="s">
        <v>43</v>
      </c>
      <c r="B67">
        <v>182</v>
      </c>
      <c r="C67" s="30">
        <v>9860831</v>
      </c>
      <c r="D67" s="31">
        <f t="shared" si="1"/>
        <v>47182686</v>
      </c>
      <c r="E67" s="30"/>
      <c r="F67" s="30">
        <v>9860831</v>
      </c>
      <c r="G67" s="31">
        <f t="shared" si="2"/>
        <v>102042911</v>
      </c>
      <c r="H67" s="31"/>
      <c r="I67" s="30">
        <f t="shared" ref="I67:I110" si="3">D67-G67</f>
        <v>-54860225</v>
      </c>
      <c r="J67" s="30"/>
    </row>
    <row r="68" spans="1:10" x14ac:dyDescent="0.35">
      <c r="A68" t="s">
        <v>43</v>
      </c>
      <c r="B68">
        <v>190</v>
      </c>
      <c r="C68" s="30">
        <v>1215660</v>
      </c>
      <c r="D68" s="31">
        <f t="shared" ref="D68:D110" si="4">D67+C68</f>
        <v>48398346</v>
      </c>
      <c r="E68" s="30"/>
      <c r="F68" s="30">
        <v>1215660</v>
      </c>
      <c r="G68" s="31">
        <f t="shared" ref="G68:G110" si="5">G67+F68</f>
        <v>103258571</v>
      </c>
      <c r="H68" s="31"/>
      <c r="I68" s="30">
        <f t="shared" si="3"/>
        <v>-54860225</v>
      </c>
      <c r="J68" s="30"/>
    </row>
    <row r="69" spans="1:10" x14ac:dyDescent="0.35">
      <c r="A69" t="s">
        <v>43</v>
      </c>
      <c r="B69">
        <v>191</v>
      </c>
      <c r="C69" s="30">
        <v>4533324</v>
      </c>
      <c r="D69" s="31">
        <f t="shared" si="4"/>
        <v>52931670</v>
      </c>
      <c r="E69" s="30"/>
      <c r="F69" s="30">
        <v>4533324</v>
      </c>
      <c r="G69" s="31">
        <f t="shared" si="5"/>
        <v>107791895</v>
      </c>
      <c r="H69" s="31"/>
      <c r="I69" s="30">
        <f t="shared" si="3"/>
        <v>-54860225</v>
      </c>
      <c r="J69" s="30"/>
    </row>
    <row r="70" spans="1:10" x14ac:dyDescent="0.35">
      <c r="A70" t="s">
        <v>43</v>
      </c>
      <c r="B70">
        <v>192</v>
      </c>
      <c r="C70" s="30">
        <v>8553792</v>
      </c>
      <c r="D70" s="31">
        <f t="shared" si="4"/>
        <v>61485462</v>
      </c>
      <c r="E70" s="30"/>
      <c r="F70" s="30">
        <v>8553792</v>
      </c>
      <c r="G70" s="31">
        <f t="shared" si="5"/>
        <v>116345687</v>
      </c>
      <c r="H70" s="31"/>
      <c r="I70" s="30">
        <f t="shared" si="3"/>
        <v>-54860225</v>
      </c>
      <c r="J70" s="30"/>
    </row>
    <row r="71" spans="1:10" x14ac:dyDescent="0.35">
      <c r="A71" t="s">
        <v>43</v>
      </c>
      <c r="B71">
        <v>193</v>
      </c>
      <c r="C71" s="30">
        <v>6616277</v>
      </c>
      <c r="D71" s="31">
        <f t="shared" si="4"/>
        <v>68101739</v>
      </c>
      <c r="E71" s="30"/>
      <c r="F71" s="30">
        <v>6616277</v>
      </c>
      <c r="G71" s="31">
        <f t="shared" si="5"/>
        <v>122961964</v>
      </c>
      <c r="H71" s="31"/>
      <c r="I71" s="30">
        <f t="shared" si="3"/>
        <v>-54860225</v>
      </c>
      <c r="J71" s="30"/>
    </row>
    <row r="72" spans="1:10" x14ac:dyDescent="0.35">
      <c r="A72" t="s">
        <v>52</v>
      </c>
      <c r="B72">
        <v>197</v>
      </c>
      <c r="C72" s="30">
        <v>6817598</v>
      </c>
      <c r="D72" s="31">
        <f t="shared" si="4"/>
        <v>74919337</v>
      </c>
      <c r="E72" s="30"/>
      <c r="F72" s="30">
        <v>571649</v>
      </c>
      <c r="G72" s="31">
        <f t="shared" si="5"/>
        <v>123533613</v>
      </c>
      <c r="H72" s="31"/>
      <c r="I72" s="30">
        <f t="shared" si="3"/>
        <v>-48614276</v>
      </c>
      <c r="J72" s="30"/>
    </row>
    <row r="73" spans="1:10" x14ac:dyDescent="0.35">
      <c r="A73" t="s">
        <v>53</v>
      </c>
      <c r="B73">
        <v>199</v>
      </c>
      <c r="C73" s="30">
        <v>1362648</v>
      </c>
      <c r="D73" s="31">
        <f t="shared" si="4"/>
        <v>76281985</v>
      </c>
      <c r="E73" s="30"/>
      <c r="F73" s="30">
        <v>-386897</v>
      </c>
      <c r="G73" s="31">
        <f t="shared" si="5"/>
        <v>123146716</v>
      </c>
      <c r="H73" s="31"/>
      <c r="I73" s="30">
        <f t="shared" si="3"/>
        <v>-46864731</v>
      </c>
      <c r="J73" s="30"/>
    </row>
    <row r="74" spans="1:10" x14ac:dyDescent="0.35">
      <c r="A74" t="s">
        <v>20</v>
      </c>
      <c r="B74">
        <v>201</v>
      </c>
      <c r="C74">
        <v>0</v>
      </c>
      <c r="D74" s="31">
        <f t="shared" si="4"/>
        <v>76281985</v>
      </c>
      <c r="F74" s="30">
        <v>-558179</v>
      </c>
      <c r="G74" s="31">
        <f t="shared" si="5"/>
        <v>122588537</v>
      </c>
      <c r="H74" s="31"/>
      <c r="I74" s="30">
        <f t="shared" si="3"/>
        <v>-46306552</v>
      </c>
      <c r="J74" s="30"/>
    </row>
    <row r="75" spans="1:10" x14ac:dyDescent="0.35">
      <c r="A75" t="s">
        <v>52</v>
      </c>
      <c r="B75">
        <v>203</v>
      </c>
      <c r="C75" s="30">
        <v>9477873</v>
      </c>
      <c r="D75" s="31">
        <f t="shared" si="4"/>
        <v>85759858</v>
      </c>
      <c r="E75" s="30"/>
      <c r="F75" s="30">
        <v>885990</v>
      </c>
      <c r="G75" s="31">
        <f t="shared" si="5"/>
        <v>123474527</v>
      </c>
      <c r="H75" s="31"/>
      <c r="I75" s="30">
        <f t="shared" si="3"/>
        <v>-37714669</v>
      </c>
      <c r="J75" s="30"/>
    </row>
    <row r="76" spans="1:10" x14ac:dyDescent="0.35">
      <c r="A76" t="s">
        <v>52</v>
      </c>
      <c r="B76">
        <v>205</v>
      </c>
      <c r="C76" s="30">
        <v>13459991</v>
      </c>
      <c r="D76" s="31">
        <f t="shared" si="4"/>
        <v>99219849</v>
      </c>
      <c r="E76" s="30"/>
      <c r="F76" s="30">
        <v>1189235</v>
      </c>
      <c r="G76" s="31">
        <f t="shared" si="5"/>
        <v>124663762</v>
      </c>
      <c r="H76" s="31"/>
      <c r="I76" s="30">
        <f t="shared" si="3"/>
        <v>-25443913</v>
      </c>
      <c r="J76" s="30"/>
    </row>
    <row r="77" spans="1:10" x14ac:dyDescent="0.35">
      <c r="A77" t="s">
        <v>52</v>
      </c>
      <c r="B77">
        <v>217</v>
      </c>
      <c r="C77" s="30">
        <v>7911036</v>
      </c>
      <c r="D77" s="31">
        <f t="shared" si="4"/>
        <v>107130885</v>
      </c>
      <c r="E77" s="30"/>
      <c r="F77" s="30">
        <v>631366</v>
      </c>
      <c r="G77" s="31">
        <f t="shared" si="5"/>
        <v>125295128</v>
      </c>
      <c r="H77" s="31"/>
      <c r="I77" s="30">
        <f t="shared" si="3"/>
        <v>-18164243</v>
      </c>
      <c r="J77" s="30"/>
    </row>
    <row r="78" spans="1:10" x14ac:dyDescent="0.35">
      <c r="A78" t="s">
        <v>54</v>
      </c>
      <c r="B78">
        <v>219</v>
      </c>
      <c r="C78">
        <v>0</v>
      </c>
      <c r="D78" s="31">
        <f t="shared" si="4"/>
        <v>107130885</v>
      </c>
      <c r="F78" s="30">
        <v>646431</v>
      </c>
      <c r="G78" s="31">
        <f t="shared" si="5"/>
        <v>125941559</v>
      </c>
      <c r="H78" s="31"/>
      <c r="I78" s="30">
        <f t="shared" si="3"/>
        <v>-18810674</v>
      </c>
      <c r="J78" s="30"/>
    </row>
    <row r="79" spans="1:10" x14ac:dyDescent="0.35">
      <c r="A79" t="s">
        <v>55</v>
      </c>
      <c r="B79">
        <v>227</v>
      </c>
      <c r="C79" s="30">
        <v>-103760</v>
      </c>
      <c r="D79" s="31">
        <f t="shared" si="4"/>
        <v>107027125</v>
      </c>
      <c r="E79" s="30"/>
      <c r="F79" s="30">
        <v>-103760</v>
      </c>
      <c r="G79" s="31">
        <f t="shared" si="5"/>
        <v>125837799</v>
      </c>
      <c r="H79" s="31"/>
      <c r="I79" s="30">
        <f t="shared" si="3"/>
        <v>-18810674</v>
      </c>
      <c r="J79" s="30"/>
    </row>
    <row r="80" spans="1:10" x14ac:dyDescent="0.35">
      <c r="A80" t="s">
        <v>56</v>
      </c>
      <c r="B80">
        <v>228</v>
      </c>
      <c r="C80" s="30">
        <v>-150800</v>
      </c>
      <c r="D80" s="31">
        <f t="shared" si="4"/>
        <v>106876325</v>
      </c>
      <c r="E80" s="30"/>
      <c r="F80" s="30">
        <v>-150800</v>
      </c>
      <c r="G80" s="31">
        <f t="shared" si="5"/>
        <v>125686999</v>
      </c>
      <c r="H80" s="31"/>
      <c r="I80" s="30">
        <f t="shared" si="3"/>
        <v>-18810674</v>
      </c>
      <c r="J80" s="30"/>
    </row>
    <row r="81" spans="1:10" x14ac:dyDescent="0.35">
      <c r="A81" t="s">
        <v>57</v>
      </c>
      <c r="B81">
        <v>229</v>
      </c>
      <c r="C81" s="30">
        <v>12741</v>
      </c>
      <c r="D81" s="31">
        <f t="shared" si="4"/>
        <v>106889066</v>
      </c>
      <c r="E81" s="30"/>
      <c r="F81" s="30">
        <v>12741</v>
      </c>
      <c r="G81" s="31">
        <f t="shared" si="5"/>
        <v>125699740</v>
      </c>
      <c r="H81" s="31"/>
      <c r="I81" s="30">
        <f t="shared" si="3"/>
        <v>-18810674</v>
      </c>
      <c r="J81" s="30"/>
    </row>
    <row r="82" spans="1:10" x14ac:dyDescent="0.35">
      <c r="A82" t="s">
        <v>55</v>
      </c>
      <c r="B82">
        <v>230</v>
      </c>
      <c r="C82" s="30">
        <v>-92950</v>
      </c>
      <c r="D82" s="31">
        <f t="shared" si="4"/>
        <v>106796116</v>
      </c>
      <c r="E82" s="30"/>
      <c r="F82" s="30">
        <v>-92950</v>
      </c>
      <c r="G82" s="31">
        <f t="shared" si="5"/>
        <v>125606790</v>
      </c>
      <c r="H82" s="31"/>
      <c r="I82" s="30">
        <f t="shared" si="3"/>
        <v>-18810674</v>
      </c>
      <c r="J82" s="30"/>
    </row>
    <row r="83" spans="1:10" x14ac:dyDescent="0.35">
      <c r="A83" t="s">
        <v>58</v>
      </c>
      <c r="B83">
        <v>1228</v>
      </c>
      <c r="C83">
        <v>0</v>
      </c>
      <c r="D83" s="31">
        <f t="shared" si="4"/>
        <v>106796116</v>
      </c>
      <c r="F83" s="30">
        <v>-504883</v>
      </c>
      <c r="G83" s="31">
        <f t="shared" si="5"/>
        <v>125101907</v>
      </c>
      <c r="H83" s="31"/>
      <c r="I83" s="30">
        <f t="shared" si="3"/>
        <v>-18305791</v>
      </c>
      <c r="J83" s="30"/>
    </row>
    <row r="84" spans="1:10" x14ac:dyDescent="0.35">
      <c r="A84" t="s">
        <v>59</v>
      </c>
      <c r="B84">
        <v>1231</v>
      </c>
      <c r="C84">
        <v>0</v>
      </c>
      <c r="D84" s="31">
        <f t="shared" si="4"/>
        <v>106796116</v>
      </c>
      <c r="F84" s="30">
        <v>-256657</v>
      </c>
      <c r="G84" s="31">
        <f t="shared" si="5"/>
        <v>124845250</v>
      </c>
      <c r="H84" s="31"/>
      <c r="I84" s="30">
        <f t="shared" si="3"/>
        <v>-18049134</v>
      </c>
      <c r="J84" s="30"/>
    </row>
    <row r="85" spans="1:10" x14ac:dyDescent="0.35">
      <c r="A85" t="s">
        <v>60</v>
      </c>
      <c r="B85">
        <v>1233</v>
      </c>
      <c r="C85">
        <v>0</v>
      </c>
      <c r="D85" s="31">
        <f t="shared" si="4"/>
        <v>106796116</v>
      </c>
      <c r="F85" s="30">
        <v>-196426</v>
      </c>
      <c r="G85" s="31">
        <f t="shared" si="5"/>
        <v>124648824</v>
      </c>
      <c r="H85" s="31"/>
      <c r="I85" s="30">
        <f t="shared" si="3"/>
        <v>-17852708</v>
      </c>
      <c r="J85" s="30"/>
    </row>
    <row r="86" spans="1:10" x14ac:dyDescent="0.35">
      <c r="A86" t="s">
        <v>52</v>
      </c>
      <c r="B86">
        <v>1235</v>
      </c>
      <c r="C86" s="30">
        <v>7145318</v>
      </c>
      <c r="D86" s="31">
        <f t="shared" si="4"/>
        <v>113941434</v>
      </c>
      <c r="E86" s="30"/>
      <c r="F86" s="30">
        <v>587607</v>
      </c>
      <c r="G86" s="31">
        <f t="shared" si="5"/>
        <v>125236431</v>
      </c>
      <c r="H86" s="31"/>
      <c r="I86" s="30">
        <f t="shared" si="3"/>
        <v>-11294997</v>
      </c>
      <c r="J86" s="30"/>
    </row>
    <row r="87" spans="1:10" x14ac:dyDescent="0.35">
      <c r="A87" t="s">
        <v>52</v>
      </c>
      <c r="B87">
        <v>1239</v>
      </c>
      <c r="C87" s="30">
        <v>1134606</v>
      </c>
      <c r="D87" s="31">
        <f t="shared" si="4"/>
        <v>115076040</v>
      </c>
      <c r="E87" s="30"/>
      <c r="F87" s="30">
        <v>501682</v>
      </c>
      <c r="G87" s="31">
        <f t="shared" si="5"/>
        <v>125738113</v>
      </c>
      <c r="H87" s="31"/>
      <c r="I87" s="30">
        <f t="shared" si="3"/>
        <v>-10662073</v>
      </c>
      <c r="J87" s="30"/>
    </row>
    <row r="88" spans="1:10" x14ac:dyDescent="0.35">
      <c r="A88" t="s">
        <v>52</v>
      </c>
      <c r="B88">
        <v>1241</v>
      </c>
      <c r="C88" s="30">
        <v>847483</v>
      </c>
      <c r="D88" s="31">
        <f t="shared" si="4"/>
        <v>115923523</v>
      </c>
      <c r="E88" s="30"/>
      <c r="F88" s="30">
        <v>152737</v>
      </c>
      <c r="G88" s="31">
        <f t="shared" si="5"/>
        <v>125890850</v>
      </c>
      <c r="H88" s="31"/>
      <c r="I88" s="30">
        <f t="shared" si="3"/>
        <v>-9967327</v>
      </c>
      <c r="J88" s="30"/>
    </row>
    <row r="89" spans="1:10" x14ac:dyDescent="0.35">
      <c r="A89" t="s">
        <v>57</v>
      </c>
      <c r="B89">
        <v>1242</v>
      </c>
      <c r="C89" s="30">
        <v>1155</v>
      </c>
      <c r="D89" s="31">
        <f t="shared" si="4"/>
        <v>115924678</v>
      </c>
      <c r="E89" s="30"/>
      <c r="F89" s="30">
        <v>1155</v>
      </c>
      <c r="G89" s="31">
        <f t="shared" si="5"/>
        <v>125892005</v>
      </c>
      <c r="H89" s="31"/>
      <c r="I89" s="30">
        <f t="shared" si="3"/>
        <v>-9967327</v>
      </c>
      <c r="J89" s="30"/>
    </row>
    <row r="90" spans="1:10" x14ac:dyDescent="0.35">
      <c r="A90" t="s">
        <v>57</v>
      </c>
      <c r="B90">
        <v>1243</v>
      </c>
      <c r="C90" s="30">
        <v>1157</v>
      </c>
      <c r="D90" s="31">
        <f t="shared" si="4"/>
        <v>115925835</v>
      </c>
      <c r="E90" s="30"/>
      <c r="F90" s="30">
        <v>1157</v>
      </c>
      <c r="G90" s="31">
        <f t="shared" si="5"/>
        <v>125893162</v>
      </c>
      <c r="H90" s="31"/>
      <c r="I90" s="30">
        <f t="shared" si="3"/>
        <v>-9967327</v>
      </c>
      <c r="J90" s="30"/>
    </row>
    <row r="91" spans="1:10" x14ac:dyDescent="0.35">
      <c r="A91" t="s">
        <v>57</v>
      </c>
      <c r="B91">
        <v>1244</v>
      </c>
      <c r="C91" s="30">
        <v>1051</v>
      </c>
      <c r="D91" s="31">
        <f t="shared" si="4"/>
        <v>115926886</v>
      </c>
      <c r="E91" s="30"/>
      <c r="F91" s="30">
        <v>1051</v>
      </c>
      <c r="G91" s="31">
        <f t="shared" si="5"/>
        <v>125894213</v>
      </c>
      <c r="H91" s="31"/>
      <c r="I91" s="30">
        <f t="shared" si="3"/>
        <v>-9967327</v>
      </c>
      <c r="J91" s="30"/>
    </row>
    <row r="92" spans="1:10" x14ac:dyDescent="0.35">
      <c r="A92" t="s">
        <v>61</v>
      </c>
      <c r="B92">
        <v>1246</v>
      </c>
      <c r="C92" s="30">
        <v>-3240</v>
      </c>
      <c r="D92" s="31">
        <f t="shared" si="4"/>
        <v>115923646</v>
      </c>
      <c r="E92" s="30"/>
      <c r="F92" s="30">
        <v>36049</v>
      </c>
      <c r="G92" s="31">
        <f t="shared" si="5"/>
        <v>125930262</v>
      </c>
      <c r="H92" s="31"/>
      <c r="I92" s="30">
        <f t="shared" si="3"/>
        <v>-10006616</v>
      </c>
      <c r="J92" s="30"/>
    </row>
    <row r="93" spans="1:10" x14ac:dyDescent="0.35">
      <c r="A93" t="s">
        <v>62</v>
      </c>
      <c r="B93">
        <v>1248</v>
      </c>
      <c r="C93">
        <v>0</v>
      </c>
      <c r="D93" s="31">
        <f t="shared" si="4"/>
        <v>115923646</v>
      </c>
      <c r="F93" s="30">
        <v>-1030448</v>
      </c>
      <c r="G93" s="31">
        <f t="shared" si="5"/>
        <v>124899814</v>
      </c>
      <c r="H93" s="31"/>
      <c r="I93" s="30">
        <f t="shared" si="3"/>
        <v>-8976168</v>
      </c>
      <c r="J93" s="30"/>
    </row>
    <row r="94" spans="1:10" x14ac:dyDescent="0.35">
      <c r="A94" t="s">
        <v>61</v>
      </c>
      <c r="B94">
        <v>1250</v>
      </c>
      <c r="C94">
        <v>0</v>
      </c>
      <c r="D94" s="31">
        <f t="shared" si="4"/>
        <v>115923646</v>
      </c>
      <c r="F94" s="30">
        <v>317825</v>
      </c>
      <c r="G94" s="31">
        <f t="shared" si="5"/>
        <v>125217639</v>
      </c>
      <c r="H94" s="31"/>
      <c r="I94" s="30">
        <f t="shared" si="3"/>
        <v>-9293993</v>
      </c>
      <c r="J94" s="30"/>
    </row>
    <row r="95" spans="1:10" x14ac:dyDescent="0.35">
      <c r="A95" t="s">
        <v>28</v>
      </c>
      <c r="B95">
        <v>1253</v>
      </c>
      <c r="C95">
        <v>0</v>
      </c>
      <c r="D95" s="31">
        <f t="shared" si="4"/>
        <v>115923646</v>
      </c>
      <c r="F95" s="30">
        <v>16381</v>
      </c>
      <c r="G95" s="31">
        <f t="shared" si="5"/>
        <v>125234020</v>
      </c>
      <c r="H95" s="31"/>
      <c r="I95" s="30">
        <f t="shared" si="3"/>
        <v>-9310374</v>
      </c>
      <c r="J95" s="30"/>
    </row>
    <row r="96" spans="1:10" x14ac:dyDescent="0.35">
      <c r="A96" t="s">
        <v>28</v>
      </c>
      <c r="B96">
        <v>1254</v>
      </c>
      <c r="C96">
        <v>0</v>
      </c>
      <c r="D96" s="31">
        <f t="shared" si="4"/>
        <v>115923646</v>
      </c>
      <c r="F96" s="30">
        <v>40740</v>
      </c>
      <c r="G96" s="31">
        <f t="shared" si="5"/>
        <v>125274760</v>
      </c>
      <c r="H96" s="31"/>
      <c r="I96" s="30">
        <f t="shared" si="3"/>
        <v>-9351114</v>
      </c>
      <c r="J96" s="30"/>
    </row>
    <row r="97" spans="1:10" x14ac:dyDescent="0.35">
      <c r="A97" t="s">
        <v>57</v>
      </c>
      <c r="B97">
        <v>1258</v>
      </c>
      <c r="C97" s="30">
        <v>5782</v>
      </c>
      <c r="D97" s="31">
        <f t="shared" si="4"/>
        <v>115929428</v>
      </c>
      <c r="E97" s="30"/>
      <c r="F97" s="30">
        <v>5782</v>
      </c>
      <c r="G97" s="31">
        <f t="shared" si="5"/>
        <v>125280542</v>
      </c>
      <c r="H97" s="31"/>
      <c r="I97" s="30">
        <f t="shared" si="3"/>
        <v>-9351114</v>
      </c>
      <c r="J97" s="30"/>
    </row>
    <row r="98" spans="1:10" x14ac:dyDescent="0.35">
      <c r="A98" t="s">
        <v>28</v>
      </c>
      <c r="B98">
        <v>1262</v>
      </c>
      <c r="C98">
        <v>-0.16</v>
      </c>
      <c r="D98" s="31">
        <f t="shared" si="4"/>
        <v>115929427.84</v>
      </c>
      <c r="F98" s="30">
        <v>-76575</v>
      </c>
      <c r="G98" s="31">
        <f t="shared" si="5"/>
        <v>125203967</v>
      </c>
      <c r="H98" s="31"/>
      <c r="I98" s="30">
        <f t="shared" si="3"/>
        <v>-9274539.1599999964</v>
      </c>
      <c r="J98" s="30"/>
    </row>
    <row r="99" spans="1:10" x14ac:dyDescent="0.35">
      <c r="A99" t="s">
        <v>63</v>
      </c>
      <c r="B99">
        <v>1263</v>
      </c>
      <c r="C99" s="30">
        <v>443016</v>
      </c>
      <c r="D99" s="31">
        <f t="shared" si="4"/>
        <v>116372443.84</v>
      </c>
      <c r="E99" s="30"/>
      <c r="F99" s="30">
        <v>443016</v>
      </c>
      <c r="G99" s="31">
        <f t="shared" si="5"/>
        <v>125646983</v>
      </c>
      <c r="H99" s="31"/>
      <c r="I99" s="30">
        <f t="shared" si="3"/>
        <v>-9274539.1599999964</v>
      </c>
      <c r="J99" s="30"/>
    </row>
    <row r="100" spans="1:10" x14ac:dyDescent="0.35">
      <c r="A100" t="s">
        <v>57</v>
      </c>
      <c r="B100">
        <v>1267</v>
      </c>
      <c r="C100" s="30">
        <v>8096</v>
      </c>
      <c r="D100" s="31">
        <f t="shared" si="4"/>
        <v>116380539.84</v>
      </c>
      <c r="E100" s="30"/>
      <c r="F100" s="30">
        <v>8096</v>
      </c>
      <c r="G100" s="31">
        <f t="shared" si="5"/>
        <v>125655079</v>
      </c>
      <c r="H100" s="31"/>
      <c r="I100" s="30">
        <f t="shared" si="3"/>
        <v>-9274539.1599999964</v>
      </c>
      <c r="J100" s="30"/>
    </row>
    <row r="101" spans="1:10" x14ac:dyDescent="0.35">
      <c r="A101" t="s">
        <v>57</v>
      </c>
      <c r="B101">
        <v>1268</v>
      </c>
      <c r="C101" s="30">
        <v>1238</v>
      </c>
      <c r="D101" s="31">
        <f t="shared" si="4"/>
        <v>116381777.84</v>
      </c>
      <c r="E101" s="30"/>
      <c r="F101" s="30">
        <v>1238</v>
      </c>
      <c r="G101" s="31">
        <f t="shared" si="5"/>
        <v>125656317</v>
      </c>
      <c r="H101" s="31"/>
      <c r="I101" s="30">
        <f t="shared" si="3"/>
        <v>-9274539.1599999964</v>
      </c>
      <c r="J101" s="30"/>
    </row>
    <row r="102" spans="1:10" x14ac:dyDescent="0.35">
      <c r="A102" t="s">
        <v>51</v>
      </c>
      <c r="B102">
        <v>1273</v>
      </c>
      <c r="C102" s="30">
        <v>6539008</v>
      </c>
      <c r="D102" s="31">
        <f t="shared" si="4"/>
        <v>122920785.84</v>
      </c>
      <c r="E102" s="30"/>
      <c r="F102" s="30">
        <v>578280</v>
      </c>
      <c r="G102" s="31">
        <f t="shared" si="5"/>
        <v>126234597</v>
      </c>
      <c r="H102" s="31"/>
      <c r="I102" s="30">
        <f t="shared" si="3"/>
        <v>-3313811.1599999964</v>
      </c>
      <c r="J102" s="30"/>
    </row>
    <row r="103" spans="1:10" x14ac:dyDescent="0.35">
      <c r="A103" t="s">
        <v>51</v>
      </c>
      <c r="B103">
        <v>1275</v>
      </c>
      <c r="C103" s="30">
        <v>1957344</v>
      </c>
      <c r="D103" s="31">
        <f t="shared" si="4"/>
        <v>124878129.84</v>
      </c>
      <c r="E103" s="30"/>
      <c r="F103" s="30">
        <v>-708015</v>
      </c>
      <c r="G103" s="31">
        <f t="shared" si="5"/>
        <v>125526582</v>
      </c>
      <c r="H103" s="31"/>
      <c r="I103" s="30">
        <f t="shared" si="3"/>
        <v>-648452.15999999642</v>
      </c>
      <c r="J103" s="30"/>
    </row>
    <row r="104" spans="1:10" x14ac:dyDescent="0.35">
      <c r="A104" t="s">
        <v>64</v>
      </c>
      <c r="B104">
        <v>1280</v>
      </c>
      <c r="C104" s="30">
        <v>589613</v>
      </c>
      <c r="D104" s="31">
        <f t="shared" si="4"/>
        <v>125467742.84</v>
      </c>
      <c r="E104" s="30"/>
      <c r="F104" s="30">
        <v>-55355</v>
      </c>
      <c r="G104" s="31">
        <f t="shared" si="5"/>
        <v>125471227</v>
      </c>
      <c r="H104" s="31"/>
      <c r="I104" s="30">
        <f t="shared" si="3"/>
        <v>-3484.1599999964237</v>
      </c>
      <c r="J104" s="30"/>
    </row>
    <row r="105" spans="1:10" x14ac:dyDescent="0.35">
      <c r="A105" t="s">
        <v>43</v>
      </c>
      <c r="B105">
        <v>1281</v>
      </c>
      <c r="C105" s="30">
        <v>156516</v>
      </c>
      <c r="D105" s="31">
        <f t="shared" si="4"/>
        <v>125624258.84</v>
      </c>
      <c r="E105" s="30"/>
      <c r="F105" s="30">
        <v>156516</v>
      </c>
      <c r="G105" s="31">
        <f t="shared" si="5"/>
        <v>125627743</v>
      </c>
      <c r="H105" s="31"/>
      <c r="I105" s="30">
        <f t="shared" si="3"/>
        <v>-3484.1599999964237</v>
      </c>
      <c r="J105" s="30"/>
    </row>
    <row r="106" spans="1:10" x14ac:dyDescent="0.35">
      <c r="A106" t="s">
        <v>43</v>
      </c>
      <c r="B106">
        <v>1282</v>
      </c>
      <c r="C106" s="30">
        <v>106984</v>
      </c>
      <c r="D106" s="31">
        <f t="shared" si="4"/>
        <v>125731242.84</v>
      </c>
      <c r="E106" s="30"/>
      <c r="F106" s="30">
        <v>106984</v>
      </c>
      <c r="G106" s="31">
        <f t="shared" si="5"/>
        <v>125734727</v>
      </c>
      <c r="H106" s="31"/>
      <c r="I106" s="30">
        <f t="shared" si="3"/>
        <v>-3484.1599999964237</v>
      </c>
      <c r="J106" s="30"/>
    </row>
    <row r="107" spans="1:10" x14ac:dyDescent="0.35">
      <c r="A107" t="s">
        <v>65</v>
      </c>
      <c r="B107">
        <v>1283</v>
      </c>
      <c r="C107" s="30">
        <v>195500</v>
      </c>
      <c r="D107" s="31">
        <f t="shared" si="4"/>
        <v>125926742.84</v>
      </c>
      <c r="E107" s="30"/>
      <c r="F107" s="30">
        <v>195500</v>
      </c>
      <c r="G107" s="31">
        <f t="shared" si="5"/>
        <v>125930227</v>
      </c>
      <c r="H107" s="31"/>
      <c r="I107" s="30">
        <f t="shared" si="3"/>
        <v>-3484.1599999964237</v>
      </c>
      <c r="J107" s="30"/>
    </row>
    <row r="108" spans="1:10" x14ac:dyDescent="0.35">
      <c r="A108" t="s">
        <v>43</v>
      </c>
      <c r="B108">
        <v>1286</v>
      </c>
      <c r="C108" s="30">
        <v>86720</v>
      </c>
      <c r="D108" s="31">
        <f t="shared" si="4"/>
        <v>126013462.84</v>
      </c>
      <c r="E108" s="30"/>
      <c r="F108" s="30">
        <v>86720</v>
      </c>
      <c r="G108" s="31">
        <f t="shared" si="5"/>
        <v>126016947</v>
      </c>
      <c r="H108" s="31"/>
      <c r="I108" s="30">
        <f t="shared" si="3"/>
        <v>-3484.1599999964237</v>
      </c>
      <c r="J108" s="30"/>
    </row>
    <row r="109" spans="1:10" x14ac:dyDescent="0.35">
      <c r="A109" t="s">
        <v>65</v>
      </c>
      <c r="B109">
        <v>1288</v>
      </c>
      <c r="C109" s="30">
        <v>1128000</v>
      </c>
      <c r="D109" s="31">
        <f t="shared" si="4"/>
        <v>127141462.84</v>
      </c>
      <c r="E109" s="30"/>
      <c r="F109" s="30">
        <v>1128000</v>
      </c>
      <c r="G109" s="31">
        <f t="shared" si="5"/>
        <v>127144947</v>
      </c>
      <c r="H109" s="31"/>
      <c r="I109" s="30">
        <f t="shared" si="3"/>
        <v>-3484.1599999964237</v>
      </c>
      <c r="J109" s="30"/>
    </row>
    <row r="110" spans="1:10" x14ac:dyDescent="0.35">
      <c r="A110" t="s">
        <v>66</v>
      </c>
      <c r="B110">
        <v>1290</v>
      </c>
      <c r="C110" s="30">
        <v>-5831</v>
      </c>
      <c r="D110" s="31">
        <f t="shared" si="4"/>
        <v>127135631.84</v>
      </c>
      <c r="E110" s="30"/>
      <c r="F110" s="30">
        <v>-5831</v>
      </c>
      <c r="G110" s="31">
        <f t="shared" si="5"/>
        <v>127139116</v>
      </c>
      <c r="H110" s="31"/>
      <c r="I110" s="30">
        <f t="shared" si="3"/>
        <v>-3484.1599999964237</v>
      </c>
      <c r="J110" s="30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A4C0-FE9B-4229-B4CD-CD15984755E5}">
  <dimension ref="A1:E15"/>
  <sheetViews>
    <sheetView tabSelected="1" topLeftCell="A4" zoomScale="190" zoomScaleNormal="190" workbookViewId="0">
      <selection activeCell="B13" sqref="B13"/>
    </sheetView>
  </sheetViews>
  <sheetFormatPr defaultRowHeight="14.5" x14ac:dyDescent="0.35"/>
  <cols>
    <col min="1" max="1" width="15.36328125" bestFit="1" customWidth="1"/>
    <col min="2" max="2" width="12.6328125" bestFit="1" customWidth="1"/>
    <col min="3" max="3" width="11.54296875" bestFit="1" customWidth="1"/>
    <col min="4" max="4" width="12.6328125" bestFit="1" customWidth="1"/>
  </cols>
  <sheetData>
    <row r="1" spans="1:5" x14ac:dyDescent="0.35">
      <c r="B1" s="22" t="s">
        <v>70</v>
      </c>
      <c r="C1" s="22" t="s">
        <v>71</v>
      </c>
      <c r="D1" s="22" t="s">
        <v>72</v>
      </c>
    </row>
    <row r="2" spans="1:5" x14ac:dyDescent="0.35">
      <c r="A2" s="31" t="s">
        <v>68</v>
      </c>
      <c r="B2" s="6">
        <v>127135.442</v>
      </c>
      <c r="C2" s="6">
        <v>73071.077999999994</v>
      </c>
      <c r="D2" s="6">
        <v>54064.364000000001</v>
      </c>
      <c r="E2" s="6"/>
    </row>
    <row r="3" spans="1:5" x14ac:dyDescent="0.35">
      <c r="A3" s="31" t="s">
        <v>69</v>
      </c>
      <c r="B3" s="6">
        <v>127139.101</v>
      </c>
      <c r="C3" s="6">
        <v>73074.736999999994</v>
      </c>
      <c r="D3" s="6">
        <v>54064.364000000001</v>
      </c>
      <c r="E3" s="6"/>
    </row>
    <row r="4" spans="1:5" x14ac:dyDescent="0.35">
      <c r="A4" s="31" t="s">
        <v>34</v>
      </c>
      <c r="B4" s="16">
        <f>+B3-B2</f>
        <v>3.6589999999996508</v>
      </c>
      <c r="C4" s="16">
        <f>+C3-C2</f>
        <v>3.6589999999996508</v>
      </c>
      <c r="D4" s="16">
        <f>+D3-D2</f>
        <v>0</v>
      </c>
    </row>
    <row r="5" spans="1:5" x14ac:dyDescent="0.35">
      <c r="A5" s="31" t="s">
        <v>73</v>
      </c>
      <c r="B5" s="6">
        <v>127139.11599999999</v>
      </c>
      <c r="C5" s="6">
        <v>73074.751000000004</v>
      </c>
      <c r="D5" s="6">
        <v>54064.364999999998</v>
      </c>
    </row>
    <row r="6" spans="1:5" x14ac:dyDescent="0.35">
      <c r="A6" s="31" t="s">
        <v>74</v>
      </c>
      <c r="B6" s="6">
        <v>127135.47199999999</v>
      </c>
      <c r="C6" s="6">
        <v>73071.107000000004</v>
      </c>
      <c r="D6" s="6">
        <v>54064.364999999998</v>
      </c>
    </row>
    <row r="8" spans="1:5" x14ac:dyDescent="0.35">
      <c r="A8" s="31" t="s">
        <v>81</v>
      </c>
    </row>
    <row r="9" spans="1:5" x14ac:dyDescent="0.35">
      <c r="A9" s="31" t="s">
        <v>68</v>
      </c>
      <c r="B9" s="6">
        <v>128287.14200000001</v>
      </c>
      <c r="C9" s="6">
        <v>73074.707999999999</v>
      </c>
      <c r="D9" s="6">
        <v>55212.434000000001</v>
      </c>
      <c r="E9" s="6"/>
    </row>
    <row r="10" spans="1:5" x14ac:dyDescent="0.35">
      <c r="A10" s="31" t="s">
        <v>69</v>
      </c>
      <c r="B10" s="6">
        <v>128287.171</v>
      </c>
      <c r="C10" s="6">
        <v>73074.736999999994</v>
      </c>
      <c r="D10" s="6">
        <v>55212.434000000001</v>
      </c>
      <c r="E10" s="6"/>
    </row>
    <row r="11" spans="1:5" x14ac:dyDescent="0.35">
      <c r="A11" s="31" t="s">
        <v>34</v>
      </c>
      <c r="B11" s="16">
        <f>+B10-B9</f>
        <v>2.8999999994994141E-2</v>
      </c>
      <c r="C11" s="16">
        <f>+C10-C9</f>
        <v>2.8999999994994141E-2</v>
      </c>
      <c r="D11" s="16">
        <f>+D10-D9</f>
        <v>0</v>
      </c>
    </row>
    <row r="13" spans="1:5" x14ac:dyDescent="0.35">
      <c r="C13" s="29"/>
    </row>
    <row r="14" spans="1:5" x14ac:dyDescent="0.35">
      <c r="C14" s="29"/>
    </row>
    <row r="15" spans="1:5" x14ac:dyDescent="0.35">
      <c r="C15" s="16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6241-78EB-4BF6-A89C-5BAC65CA3EB8}">
  <dimension ref="A1:H23"/>
  <sheetViews>
    <sheetView zoomScale="115" zoomScaleNormal="115" workbookViewId="0">
      <pane xSplit="1" ySplit="1" topLeftCell="B5" activePane="bottomRight" state="frozen"/>
      <selection pane="topRight" activeCell="C1" sqref="C1"/>
      <selection pane="bottomLeft" activeCell="A2" sqref="A2"/>
      <selection pane="bottomRight" activeCell="A22" sqref="A22"/>
    </sheetView>
  </sheetViews>
  <sheetFormatPr defaultRowHeight="14.5" x14ac:dyDescent="0.35"/>
  <cols>
    <col min="1" max="1" width="36" bestFit="1" customWidth="1"/>
    <col min="3" max="3" width="11.6328125" bestFit="1" customWidth="1"/>
    <col min="4" max="4" width="11.54296875" bestFit="1" customWidth="1"/>
    <col min="5" max="5" width="10.54296875" bestFit="1" customWidth="1"/>
  </cols>
  <sheetData>
    <row r="1" spans="1:8" x14ac:dyDescent="0.35">
      <c r="A1" s="21" t="s">
        <v>27</v>
      </c>
      <c r="B1" s="22" t="s">
        <v>67</v>
      </c>
      <c r="C1" s="22" t="s">
        <v>6</v>
      </c>
      <c r="D1" s="22" t="s">
        <v>75</v>
      </c>
      <c r="E1" s="22" t="s">
        <v>34</v>
      </c>
    </row>
    <row r="2" spans="1:8" x14ac:dyDescent="0.35">
      <c r="A2" t="s">
        <v>35</v>
      </c>
      <c r="B2">
        <v>4</v>
      </c>
      <c r="C2" s="6">
        <v>3711.0929999999998</v>
      </c>
      <c r="D2" s="17">
        <v>3711.093233287691</v>
      </c>
      <c r="E2" s="17">
        <f>C2-D2</f>
        <v>-2.3328769111685688E-4</v>
      </c>
    </row>
    <row r="3" spans="1:8" x14ac:dyDescent="0.35">
      <c r="A3" t="s">
        <v>35</v>
      </c>
      <c r="B3">
        <v>5</v>
      </c>
      <c r="C3" s="6">
        <v>414.53300000000002</v>
      </c>
      <c r="D3" s="17">
        <v>414.53308342409372</v>
      </c>
      <c r="E3" s="17">
        <f t="shared" ref="E3:E15" si="0">C3-D3</f>
        <v>-8.3424093702433311E-5</v>
      </c>
    </row>
    <row r="4" spans="1:8" x14ac:dyDescent="0.35">
      <c r="A4" t="s">
        <v>35</v>
      </c>
      <c r="B4">
        <v>6</v>
      </c>
      <c r="C4" s="6">
        <v>-3036.2170000000001</v>
      </c>
      <c r="D4" s="17">
        <v>-3036.2173167117908</v>
      </c>
      <c r="E4" s="17">
        <f t="shared" si="0"/>
        <v>3.1671179067416233E-4</v>
      </c>
    </row>
    <row r="5" spans="1:8" x14ac:dyDescent="0.35">
      <c r="A5" t="s">
        <v>35</v>
      </c>
      <c r="B5">
        <v>187</v>
      </c>
      <c r="C5" s="6">
        <v>507.70400000000001</v>
      </c>
      <c r="D5" s="6">
        <v>507.7042535969149</v>
      </c>
      <c r="E5" s="17">
        <f t="shared" si="0"/>
        <v>-2.5359691488802127E-4</v>
      </c>
    </row>
    <row r="6" spans="1:8" x14ac:dyDescent="0.35">
      <c r="A6" t="s">
        <v>36</v>
      </c>
      <c r="B6">
        <v>13</v>
      </c>
      <c r="C6" s="6">
        <v>-931.95</v>
      </c>
      <c r="D6" s="6">
        <v>-931.95041376242364</v>
      </c>
      <c r="E6" s="17">
        <f t="shared" si="0"/>
        <v>4.137624235909243E-4</v>
      </c>
    </row>
    <row r="7" spans="1:8" x14ac:dyDescent="0.35">
      <c r="A7" t="s">
        <v>36</v>
      </c>
      <c r="B7">
        <v>186</v>
      </c>
      <c r="C7" s="6">
        <v>16.75</v>
      </c>
      <c r="D7" s="6">
        <v>16.750219002420238</v>
      </c>
      <c r="E7" s="17">
        <f t="shared" si="0"/>
        <v>-2.1900242023775718E-4</v>
      </c>
    </row>
    <row r="8" spans="1:8" x14ac:dyDescent="0.35">
      <c r="A8" t="s">
        <v>39</v>
      </c>
      <c r="B8">
        <v>42</v>
      </c>
      <c r="C8" s="6">
        <v>-283.13499999999999</v>
      </c>
      <c r="D8" s="6">
        <v>-283.13487945998349</v>
      </c>
      <c r="E8" s="17">
        <f t="shared" si="0"/>
        <v>-1.2054001649630663E-4</v>
      </c>
    </row>
    <row r="9" spans="1:8" x14ac:dyDescent="0.35">
      <c r="A9" t="s">
        <v>40</v>
      </c>
      <c r="B9">
        <v>36</v>
      </c>
      <c r="C9" s="6">
        <v>-46.4</v>
      </c>
      <c r="D9" s="6">
        <v>-46.399999999994179</v>
      </c>
      <c r="E9" s="17">
        <f t="shared" si="0"/>
        <v>-5.8193450058752205E-12</v>
      </c>
    </row>
    <row r="10" spans="1:8" x14ac:dyDescent="0.35">
      <c r="A10" t="s">
        <v>44</v>
      </c>
      <c r="B10">
        <v>188</v>
      </c>
      <c r="C10" s="6">
        <v>2105.3850000000002</v>
      </c>
      <c r="D10" s="6">
        <v>2105.385349235004</v>
      </c>
      <c r="E10" s="17">
        <f t="shared" si="0"/>
        <v>-3.4923500379591133E-4</v>
      </c>
      <c r="H10">
        <v>1.57</v>
      </c>
    </row>
    <row r="11" spans="1:8" x14ac:dyDescent="0.35">
      <c r="A11" t="s">
        <v>45</v>
      </c>
      <c r="B11">
        <v>1252</v>
      </c>
      <c r="C11" s="6">
        <v>434.49200000000002</v>
      </c>
      <c r="D11" s="6">
        <v>434.49177578870581</v>
      </c>
      <c r="E11" s="17">
        <f t="shared" si="0"/>
        <v>2.2421129420990837E-4</v>
      </c>
      <c r="H11">
        <f>+H10*2</f>
        <v>3.14</v>
      </c>
    </row>
    <row r="12" spans="1:8" x14ac:dyDescent="0.35">
      <c r="A12" t="s">
        <v>51</v>
      </c>
      <c r="B12">
        <v>1251</v>
      </c>
      <c r="C12" s="6">
        <v>6715.3810000000003</v>
      </c>
      <c r="D12" s="6">
        <v>6715.3807197918868</v>
      </c>
      <c r="E12" s="17">
        <f t="shared" si="0"/>
        <v>2.8020811350870645E-4</v>
      </c>
    </row>
    <row r="13" spans="1:8" x14ac:dyDescent="0.35">
      <c r="A13" t="s">
        <v>52</v>
      </c>
      <c r="B13">
        <v>1278</v>
      </c>
      <c r="C13" s="6">
        <v>1134.6099999999999</v>
      </c>
      <c r="D13" s="6">
        <v>1134.6096273307239</v>
      </c>
      <c r="E13" s="17">
        <f t="shared" si="0"/>
        <v>3.7266927597556787E-4</v>
      </c>
    </row>
    <row r="14" spans="1:8" x14ac:dyDescent="0.35">
      <c r="A14" t="s">
        <v>53</v>
      </c>
      <c r="B14">
        <v>1229</v>
      </c>
      <c r="C14" s="6">
        <v>1362.6479999999999</v>
      </c>
      <c r="D14" s="6">
        <v>1362.6481847039886</v>
      </c>
      <c r="E14" s="17">
        <f t="shared" si="0"/>
        <v>-1.8470398867975746E-4</v>
      </c>
      <c r="H14" s="23">
        <v>3.24</v>
      </c>
    </row>
    <row r="15" spans="1:8" x14ac:dyDescent="0.35">
      <c r="A15" t="s">
        <v>7</v>
      </c>
      <c r="C15" s="6">
        <v>60969.843000000001</v>
      </c>
      <c r="D15" s="6">
        <f>D23</f>
        <v>60969.847588221892</v>
      </c>
      <c r="E15" s="17">
        <f t="shared" si="0"/>
        <v>-4.5882218910264783E-3</v>
      </c>
      <c r="H15" s="23">
        <v>0.16</v>
      </c>
    </row>
    <row r="16" spans="1:8" x14ac:dyDescent="0.35">
      <c r="C16" s="16">
        <f>SUM(C2:C15)</f>
        <v>73074.736999999994</v>
      </c>
      <c r="D16" s="16">
        <f>SUM(D2:D15)</f>
        <v>73074.741424449123</v>
      </c>
      <c r="H16" s="23">
        <v>0.23</v>
      </c>
    </row>
    <row r="17" spans="2:8" x14ac:dyDescent="0.35">
      <c r="H17" s="3">
        <f>SUM(H14:H16)</f>
        <v>3.6300000000000003</v>
      </c>
    </row>
    <row r="18" spans="2:8" x14ac:dyDescent="0.35">
      <c r="B18" s="32" t="s">
        <v>78</v>
      </c>
    </row>
    <row r="19" spans="2:8" x14ac:dyDescent="0.35">
      <c r="B19" t="s">
        <v>76</v>
      </c>
      <c r="D19" s="6">
        <v>45659.294382907567</v>
      </c>
      <c r="H19">
        <v>3.6589999999996508</v>
      </c>
    </row>
    <row r="20" spans="2:8" x14ac:dyDescent="0.35">
      <c r="B20" t="s">
        <v>79</v>
      </c>
      <c r="D20" s="6">
        <v>589.84273002514192</v>
      </c>
      <c r="H20" s="3">
        <f>+H19-H17</f>
        <v>2.8999999999650417E-2</v>
      </c>
    </row>
    <row r="21" spans="2:8" x14ac:dyDescent="0.35">
      <c r="B21" t="s">
        <v>80</v>
      </c>
      <c r="D21" s="6">
        <v>14277.694722289185</v>
      </c>
    </row>
    <row r="22" spans="2:8" x14ac:dyDescent="0.35">
      <c r="B22" t="s">
        <v>77</v>
      </c>
      <c r="D22" s="6">
        <v>443.0157530000015</v>
      </c>
    </row>
    <row r="23" spans="2:8" x14ac:dyDescent="0.35">
      <c r="B23" s="32" t="s">
        <v>23</v>
      </c>
      <c r="D23" s="16">
        <f>SUM(D19:D22)</f>
        <v>60969.847588221892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Compra 15</vt:lpstr>
      <vt:lpstr>Sheet0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2024-09-07T17:22:57Z</dcterms:created>
  <dcterms:modified xsi:type="dcterms:W3CDTF">2024-09-21T10:00:53Z</dcterms:modified>
</cp:coreProperties>
</file>