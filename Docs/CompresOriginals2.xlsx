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140" windowWidth="19140" windowHeight="7170" activeTab="7"/>
  </bookViews>
  <sheets>
    <sheet name="Sheet1" sheetId="1" r:id="rId1"/>
    <sheet name="27-Global Tech" sheetId="2" r:id="rId2"/>
    <sheet name="Sheet3" sheetId="3" r:id="rId3"/>
    <sheet name="Sheet2" sheetId="4" r:id="rId4"/>
    <sheet name="Sheet4" sheetId="5" r:id="rId5"/>
    <sheet name="Sheet5" sheetId="6" r:id="rId6"/>
    <sheet name="Sheet6" sheetId="7" r:id="rId7"/>
    <sheet name="Accions" sheetId="8" r:id="rId8"/>
    <sheet name="Sheet7" sheetId="9" r:id="rId9"/>
  </sheets>
  <calcPr calcId="125725"/>
</workbook>
</file>

<file path=xl/calcChain.xml><?xml version="1.0" encoding="utf-8"?>
<calcChain xmlns="http://schemas.openxmlformats.org/spreadsheetml/2006/main">
  <c r="Q56" i="8"/>
  <c r="Q53"/>
  <c r="M14" i="9"/>
  <c r="M13"/>
  <c r="J14"/>
  <c r="M12"/>
  <c r="L13"/>
  <c r="L12"/>
  <c r="L11"/>
  <c r="O47" i="8"/>
  <c r="E51" i="3"/>
  <c r="F51"/>
  <c r="E52" s="1"/>
  <c r="F60"/>
  <c r="F61"/>
  <c r="F62"/>
  <c r="F63"/>
  <c r="F64"/>
  <c r="F65"/>
  <c r="F66"/>
  <c r="F67"/>
  <c r="E68"/>
  <c r="F76"/>
  <c r="F77"/>
  <c r="F78"/>
  <c r="F79"/>
  <c r="F80"/>
  <c r="F81"/>
  <c r="F82"/>
  <c r="F83"/>
  <c r="E84"/>
  <c r="E96"/>
  <c r="F101"/>
  <c r="F102"/>
  <c r="F103"/>
  <c r="F105"/>
  <c r="E109"/>
  <c r="E110"/>
  <c r="E111"/>
  <c r="E112"/>
  <c r="E113"/>
  <c r="E114"/>
  <c r="E115"/>
  <c r="E116"/>
  <c r="F74" i="8"/>
  <c r="D74"/>
  <c r="N76"/>
  <c r="P74"/>
  <c r="O74"/>
  <c r="O68"/>
  <c r="O69" s="1"/>
  <c r="N70" s="1"/>
  <c r="N72" s="1"/>
  <c r="O72"/>
  <c r="K70"/>
  <c r="H68"/>
  <c r="E68"/>
  <c r="P69"/>
  <c r="N69"/>
  <c r="O66"/>
  <c r="O64"/>
  <c r="O61"/>
  <c r="O59"/>
  <c r="O56"/>
  <c r="O54"/>
  <c r="O52"/>
  <c r="O50"/>
  <c r="P63"/>
  <c r="N67"/>
  <c r="N65"/>
  <c r="N62"/>
  <c r="N60"/>
  <c r="N58"/>
  <c r="N55"/>
  <c r="N53"/>
  <c r="N51"/>
  <c r="N49"/>
  <c r="M49"/>
  <c r="K45"/>
  <c r="N46"/>
  <c r="P45"/>
  <c r="O45"/>
  <c r="N45"/>
  <c r="O44"/>
  <c r="O42"/>
  <c r="O40"/>
  <c r="O39"/>
  <c r="O35"/>
  <c r="O28"/>
  <c r="O25"/>
  <c r="O24"/>
  <c r="P38"/>
  <c r="P34"/>
  <c r="P32"/>
  <c r="P21"/>
  <c r="P20"/>
  <c r="P19"/>
  <c r="P18"/>
  <c r="P16"/>
  <c r="P15"/>
  <c r="P13"/>
  <c r="P11"/>
  <c r="P9"/>
  <c r="P7"/>
  <c r="P6"/>
  <c r="P4"/>
  <c r="N43"/>
  <c r="N41"/>
  <c r="N37"/>
  <c r="N36"/>
  <c r="N33"/>
  <c r="N31"/>
  <c r="N30"/>
  <c r="N29"/>
  <c r="N27"/>
  <c r="N26"/>
  <c r="N23"/>
  <c r="N22"/>
  <c r="N17"/>
  <c r="N14"/>
  <c r="N12"/>
  <c r="N10"/>
  <c r="N8"/>
  <c r="N5"/>
  <c r="N3"/>
  <c r="M3"/>
  <c r="Q24" i="7"/>
  <c r="Q29" s="1"/>
  <c r="L42"/>
  <c r="L43"/>
  <c r="L41"/>
  <c r="J25"/>
  <c r="L50"/>
  <c r="L51"/>
  <c r="L52"/>
  <c r="L49"/>
  <c r="L38"/>
  <c r="K31" s="1"/>
  <c r="K32"/>
  <c r="J32"/>
  <c r="L24"/>
  <c r="K14"/>
  <c r="K13"/>
  <c r="J14"/>
  <c r="R14"/>
  <c r="Q4"/>
  <c r="Q5" s="1"/>
  <c r="J7" s="1"/>
  <c r="V4" i="6"/>
  <c r="U3"/>
  <c r="P4"/>
  <c r="S4" s="1"/>
  <c r="U4" s="1"/>
  <c r="C162" i="3"/>
  <c r="D133"/>
  <c r="S44" i="6"/>
  <c r="S42"/>
  <c r="P42"/>
  <c r="P44" s="1"/>
  <c r="S41"/>
  <c r="P41"/>
  <c r="O43"/>
  <c r="O44" s="1"/>
  <c r="O45" s="1"/>
  <c r="O42"/>
  <c r="O41"/>
  <c r="P35"/>
  <c r="P31"/>
  <c r="P32" s="1"/>
  <c r="S32" s="1"/>
  <c r="S33" s="1"/>
  <c r="T33" s="1"/>
  <c r="O31"/>
  <c r="O32" s="1"/>
  <c r="O33" s="1"/>
  <c r="O34" s="1"/>
  <c r="O35" s="1"/>
  <c r="O36" s="1"/>
  <c r="C117" i="3"/>
  <c r="E117" s="1"/>
  <c r="D117"/>
  <c r="U27" i="6"/>
  <c r="U28" s="1"/>
  <c r="U29" s="1"/>
  <c r="U22"/>
  <c r="U23"/>
  <c r="U24"/>
  <c r="U21"/>
  <c r="Q8"/>
  <c r="Q9"/>
  <c r="Q10"/>
  <c r="Q11"/>
  <c r="S25"/>
  <c r="S19"/>
  <c r="S8"/>
  <c r="T8"/>
  <c r="U8"/>
  <c r="S11"/>
  <c r="T11"/>
  <c r="U11"/>
  <c r="S10"/>
  <c r="T10"/>
  <c r="U10"/>
  <c r="U9"/>
  <c r="T9"/>
  <c r="S9"/>
  <c r="G83" i="3"/>
  <c r="G82"/>
  <c r="G81"/>
  <c r="G80"/>
  <c r="G79"/>
  <c r="G78"/>
  <c r="G77"/>
  <c r="G76"/>
  <c r="O27" i="6"/>
  <c r="O28" s="1"/>
  <c r="O23"/>
  <c r="O24" s="1"/>
  <c r="O17"/>
  <c r="O18" s="1"/>
  <c r="O19" s="1"/>
  <c r="O20" s="1"/>
  <c r="O11"/>
  <c r="O12" s="1"/>
  <c r="O13" s="1"/>
  <c r="O14" s="1"/>
  <c r="O3"/>
  <c r="P13" s="1"/>
  <c r="J15" i="5"/>
  <c r="M23" i="4"/>
  <c r="I18"/>
  <c r="H19"/>
  <c r="H18"/>
  <c r="I14"/>
  <c r="H9"/>
  <c r="H10" s="1"/>
  <c r="H11" s="1"/>
  <c r="H8"/>
  <c r="H3"/>
  <c r="I4" s="1"/>
  <c r="G61" i="3"/>
  <c r="G62"/>
  <c r="G63"/>
  <c r="G64"/>
  <c r="G65"/>
  <c r="G66"/>
  <c r="G67"/>
  <c r="G60"/>
  <c r="D68"/>
  <c r="C68"/>
  <c r="G47"/>
  <c r="H43"/>
  <c r="I43"/>
  <c r="H44"/>
  <c r="I44"/>
  <c r="H45"/>
  <c r="I45"/>
  <c r="H46"/>
  <c r="I46"/>
  <c r="H47"/>
  <c r="I47"/>
  <c r="H48"/>
  <c r="I48"/>
  <c r="H49"/>
  <c r="I49"/>
  <c r="H50"/>
  <c r="I50"/>
  <c r="H56" s="1"/>
  <c r="G44"/>
  <c r="G45"/>
  <c r="G46"/>
  <c r="G48"/>
  <c r="G49"/>
  <c r="G50"/>
  <c r="G43"/>
  <c r="B38"/>
  <c r="B40" s="1"/>
  <c r="D51"/>
  <c r="C51"/>
  <c r="S7" i="2"/>
  <c r="S3"/>
  <c r="S4"/>
  <c r="S5"/>
  <c r="S6"/>
  <c r="S2"/>
  <c r="S45"/>
  <c r="S44"/>
  <c r="S43"/>
  <c r="S36"/>
  <c r="S31"/>
  <c r="S23"/>
  <c r="R44"/>
  <c r="R43"/>
  <c r="R42"/>
  <c r="R40"/>
  <c r="R39"/>
  <c r="R37"/>
  <c r="R36"/>
  <c r="R35"/>
  <c r="R31"/>
  <c r="R30"/>
  <c r="R33"/>
  <c r="R27"/>
  <c r="R28"/>
  <c r="R23"/>
  <c r="R22"/>
  <c r="R20"/>
  <c r="R19"/>
  <c r="R25"/>
  <c r="R17"/>
  <c r="R16"/>
  <c r="G39"/>
  <c r="G38"/>
  <c r="G33"/>
  <c r="G34" s="1"/>
  <c r="G35" s="1"/>
  <c r="G32"/>
  <c r="G29"/>
  <c r="G27"/>
  <c r="G28" s="1"/>
  <c r="G26"/>
  <c r="R14"/>
  <c r="R13"/>
  <c r="R11"/>
  <c r="H26"/>
  <c r="H27"/>
  <c r="H19"/>
  <c r="G20"/>
  <c r="G21" s="1"/>
  <c r="G22" s="1"/>
  <c r="G23" s="1"/>
  <c r="G19"/>
  <c r="G18"/>
  <c r="H22"/>
  <c r="H21" s="1"/>
  <c r="H11"/>
  <c r="H14"/>
  <c r="G3"/>
  <c r="G4"/>
  <c r="G5"/>
  <c r="G6"/>
  <c r="G2"/>
  <c r="K46" i="1"/>
  <c r="K45"/>
  <c r="J44"/>
  <c r="H43"/>
  <c r="J43" s="1"/>
  <c r="H41"/>
  <c r="H42" s="1"/>
  <c r="H40"/>
  <c r="J40" s="1"/>
  <c r="H39"/>
  <c r="H35"/>
  <c r="H36" s="1"/>
  <c r="H37" s="1"/>
  <c r="F74"/>
  <c r="H80"/>
  <c r="H81"/>
  <c r="H79"/>
  <c r="H69"/>
  <c r="H70" s="1"/>
  <c r="H71" s="1"/>
  <c r="H72" s="1"/>
  <c r="J64"/>
  <c r="J71" s="1"/>
  <c r="J61" s="1"/>
  <c r="K61" s="1"/>
  <c r="H61"/>
  <c r="H62" s="1"/>
  <c r="H63" s="1"/>
  <c r="H64" s="1"/>
  <c r="H65" s="1"/>
  <c r="H66" s="1"/>
  <c r="H33"/>
  <c r="J33" s="1"/>
  <c r="J27"/>
  <c r="H27"/>
  <c r="H28" s="1"/>
  <c r="J22"/>
  <c r="J21"/>
  <c r="H21"/>
  <c r="H22" s="1"/>
  <c r="H23" s="1"/>
  <c r="H24" s="1"/>
  <c r="J7"/>
  <c r="H15"/>
  <c r="H16" s="1"/>
  <c r="H17" s="1"/>
  <c r="H18" s="1"/>
  <c r="H7"/>
  <c r="H8" s="1"/>
  <c r="H9" s="1"/>
  <c r="H10" s="1"/>
  <c r="H11" s="1"/>
  <c r="H12" s="1"/>
  <c r="H3"/>
  <c r="H4" s="1"/>
  <c r="I46" i="7" l="1"/>
  <c r="J46" s="1"/>
  <c r="L46" s="1"/>
  <c r="L31" s="1"/>
  <c r="Q30"/>
  <c r="L47"/>
  <c r="J26"/>
  <c r="L26" s="1"/>
  <c r="L44"/>
  <c r="L25" s="1"/>
  <c r="L53"/>
  <c r="L32" s="1"/>
  <c r="J31"/>
  <c r="J33" s="1"/>
  <c r="L33" s="1"/>
  <c r="L36"/>
  <c r="L14"/>
  <c r="M14" s="1"/>
  <c r="R6"/>
  <c r="L7"/>
  <c r="L6"/>
  <c r="Q9"/>
  <c r="Q10" s="1"/>
  <c r="O4" i="6"/>
  <c r="O5" s="1"/>
  <c r="O6" s="1"/>
  <c r="O7" s="1"/>
  <c r="O8" s="1"/>
  <c r="H51" i="3"/>
  <c r="S46" i="6"/>
  <c r="P46"/>
  <c r="O37"/>
  <c r="O38" s="1"/>
  <c r="U18"/>
  <c r="V18" s="1"/>
  <c r="V21" s="1"/>
  <c r="V22" s="1"/>
  <c r="V23" s="1"/>
  <c r="V24" s="1"/>
  <c r="G68" i="3"/>
  <c r="G84"/>
  <c r="C69"/>
  <c r="C52"/>
  <c r="I51"/>
  <c r="D69"/>
  <c r="G51"/>
  <c r="I8" i="4"/>
  <c r="I10" s="1"/>
  <c r="H4"/>
  <c r="H5" s="1"/>
  <c r="D52" i="3"/>
  <c r="H54"/>
  <c r="G7" i="2"/>
  <c r="H82" i="1"/>
  <c r="L61"/>
  <c r="L27" i="7" l="1"/>
  <c r="L34"/>
  <c r="M6"/>
  <c r="M8" s="1"/>
  <c r="Q11"/>
  <c r="Q12" s="1"/>
  <c r="J15" s="1"/>
  <c r="L15" s="1"/>
  <c r="H15" i="4"/>
  <c r="H14"/>
  <c r="R13" i="7" l="1"/>
  <c r="J13"/>
  <c r="L13" s="1"/>
  <c r="M13" l="1"/>
  <c r="M16" s="1"/>
  <c r="M4" i="8"/>
  <c r="M5" s="1"/>
  <c r="M6" s="1"/>
  <c r="M7"/>
  <c r="M8"/>
  <c r="M9"/>
  <c r="M10"/>
  <c r="M11"/>
  <c r="M12"/>
  <c r="M13"/>
  <c r="M14"/>
  <c r="M15"/>
  <c r="M16"/>
  <c r="M17"/>
  <c r="M18"/>
  <c r="M19"/>
  <c r="M20"/>
  <c r="M21"/>
  <c r="M22"/>
  <c r="M23"/>
  <c r="M24"/>
  <c r="M25"/>
  <c r="M26"/>
  <c r="M27"/>
  <c r="M28"/>
  <c r="M29"/>
  <c r="M30"/>
  <c r="M31"/>
  <c r="M32"/>
  <c r="M33"/>
  <c r="M34"/>
  <c r="M35"/>
  <c r="M36"/>
  <c r="M37"/>
  <c r="M38"/>
  <c r="M39"/>
  <c r="M40"/>
  <c r="M41"/>
  <c r="M42"/>
  <c r="M43"/>
  <c r="M44"/>
  <c r="M50"/>
  <c r="M51" s="1"/>
  <c r="M52" s="1"/>
  <c r="M53" s="1"/>
  <c r="M54" s="1"/>
  <c r="M55" s="1"/>
  <c r="M56" s="1"/>
  <c r="M58"/>
  <c r="M59" s="1"/>
  <c r="M60" s="1"/>
  <c r="M61" s="1"/>
  <c r="M62" s="1"/>
  <c r="M63" s="1"/>
  <c r="M64" s="1"/>
  <c r="M65" s="1"/>
  <c r="M66" s="1"/>
  <c r="M67" s="1"/>
</calcChain>
</file>

<file path=xl/comments1.xml><?xml version="1.0" encoding="utf-8"?>
<comments xmlns="http://schemas.openxmlformats.org/spreadsheetml/2006/main">
  <authors>
    <author>joanp</author>
  </authors>
  <commentList>
    <comment ref="N74" authorId="0">
      <text>
        <r>
          <rPr>
            <b/>
            <sz val="9"/>
            <color indexed="81"/>
            <rFont val="Tahoma"/>
            <family val="2"/>
          </rPr>
          <t>Compres Brut</t>
        </r>
      </text>
    </comment>
    <comment ref="N75" authorId="0">
      <text>
        <r>
          <rPr>
            <b/>
            <sz val="9"/>
            <color indexed="81"/>
            <rFont val="Tahoma"/>
            <family val="2"/>
          </rPr>
          <t>Des</t>
        </r>
      </text>
    </comment>
    <comment ref="N76" authorId="0">
      <text>
        <r>
          <rPr>
            <b/>
            <sz val="9"/>
            <color indexed="81"/>
            <rFont val="Tahoma"/>
            <family val="2"/>
          </rPr>
          <t>Compres Net</t>
        </r>
      </text>
    </comment>
  </commentList>
</comments>
</file>

<file path=xl/sharedStrings.xml><?xml version="1.0" encoding="utf-8"?>
<sst xmlns="http://schemas.openxmlformats.org/spreadsheetml/2006/main" count="822" uniqueCount="210">
  <si>
    <t>19-NB Capital Plus FI</t>
  </si>
  <si>
    <t>Compra</t>
  </si>
  <si>
    <t>Traspàs C</t>
  </si>
  <si>
    <t>1-Optimal Income A-H Grs Acc Hdg EUR</t>
  </si>
  <si>
    <t>Traspàs V</t>
  </si>
  <si>
    <t>Part</t>
  </si>
  <si>
    <t>PU</t>
  </si>
  <si>
    <t>Id 92</t>
  </si>
  <si>
    <t>5-Deutschland</t>
  </si>
  <si>
    <t>C. 26</t>
  </si>
  <si>
    <t>C. 31</t>
  </si>
  <si>
    <t>C. 27, 29</t>
  </si>
  <si>
    <t>11-Total Return N Acc €-H1</t>
  </si>
  <si>
    <t>C16, 17, 24</t>
  </si>
  <si>
    <t>10-Bolsa Tecnología y Telecomunicaciones FI</t>
  </si>
  <si>
    <t>C. 15</t>
  </si>
  <si>
    <t>Saldo part</t>
  </si>
  <si>
    <t xml:space="preserve">Preu cost: </t>
  </si>
  <si>
    <t>Id</t>
  </si>
  <si>
    <t>Import</t>
  </si>
  <si>
    <t>27-Global Technology A-Acc-EUR</t>
  </si>
  <si>
    <t>16-DWS Aktien Strategie Deutschland</t>
  </si>
  <si>
    <t>Part mov</t>
  </si>
  <si>
    <t>Parft Mov</t>
  </si>
  <si>
    <t>Nom:</t>
  </si>
  <si>
    <t>Asian Smaller Companies Fund</t>
  </si>
  <si>
    <t>Data</t>
  </si>
  <si>
    <t>09/20/2012 00:00:00</t>
  </si>
  <si>
    <t>Es compra real</t>
  </si>
  <si>
    <t>Num Part</t>
  </si>
  <si>
    <t>Preu Part</t>
  </si>
  <si>
    <t>Import Brut</t>
  </si>
  <si>
    <t>9999.99</t>
  </si>
  <si>
    <t>39999.98</t>
  </si>
  <si>
    <t>05/16/2013 00:00:00</t>
  </si>
  <si>
    <t>20000.02</t>
  </si>
  <si>
    <t>Biotechnology C USD Acc</t>
  </si>
  <si>
    <t>6033.63</t>
  </si>
  <si>
    <t>Thailand A-USD</t>
  </si>
  <si>
    <t>999.9</t>
  </si>
  <si>
    <t>10/18/2013 00:00:00</t>
  </si>
  <si>
    <t>5000.11</t>
  </si>
  <si>
    <t>Bolsa Tecnología y Telecomunicaciones FI</t>
  </si>
  <si>
    <t>15626.31</t>
  </si>
  <si>
    <t>Total Return N Acc €-H1</t>
  </si>
  <si>
    <t>09/14/2012 00:00:00</t>
  </si>
  <si>
    <t>04/13/2013 00:00:00</t>
  </si>
  <si>
    <t>19999.99</t>
  </si>
  <si>
    <t>Optimal Income A-H Grs Acc Hdg EUR</t>
  </si>
  <si>
    <t>999.99</t>
  </si>
  <si>
    <t>American Extended Alpha R USD Acc</t>
  </si>
  <si>
    <t>09/14/2012 00:00:01</t>
  </si>
  <si>
    <t>Patrimoine A EUR Acc</t>
  </si>
  <si>
    <t>10/19/2012 00:00:00</t>
  </si>
  <si>
    <t>12002.49</t>
  </si>
  <si>
    <t>European Growth N Acc ?</t>
  </si>
  <si>
    <t>09/17/2013 00:00:00</t>
  </si>
  <si>
    <t>Templeton Emerging Mkts Sm Cos N Acc $</t>
  </si>
  <si>
    <t>NB Capital Plus FI</t>
  </si>
  <si>
    <t>01/18/2016 11:49:15</t>
  </si>
  <si>
    <t>09/22/2016 17:09:41</t>
  </si>
  <si>
    <t>Nom</t>
  </si>
  <si>
    <t>Fons</t>
  </si>
  <si>
    <t>Import a pel</t>
  </si>
  <si>
    <t>Import Desglos</t>
  </si>
  <si>
    <t>Deutschland</t>
  </si>
  <si>
    <t>DWS Aktien Strategie Deutschland</t>
  </si>
  <si>
    <t>Global Technology A-Acc-EUR</t>
  </si>
  <si>
    <t>Import SelfBank</t>
  </si>
  <si>
    <t>Self</t>
  </si>
  <si>
    <t>BD</t>
  </si>
  <si>
    <t>Total preu de compra cartera actual</t>
  </si>
  <si>
    <t>Dif</t>
  </si>
  <si>
    <t>Total</t>
  </si>
  <si>
    <t>Import Preu Orig</t>
  </si>
  <si>
    <t>Dif amb self</t>
  </si>
  <si>
    <t>Preu Desgloç</t>
  </si>
  <si>
    <t>Mov</t>
  </si>
  <si>
    <t>Participacions utilitzades en la venda marcada</t>
  </si>
  <si>
    <t>Compra Id: 15. Producte: Bolsa Tecnología y Telecomunicaciones FI</t>
  </si>
  <si>
    <t>Mov venda. Id: 23. Num part: 679,6400</t>
  </si>
  <si>
    <t>Compra Id: 24. Producte: Total Return N Acc €-H1</t>
  </si>
  <si>
    <t>Mov venda. Id: 25. Num part: 280,0700</t>
  </si>
  <si>
    <t>Compra Id: 26. Producte: Deutschland</t>
  </si>
  <si>
    <t>Mov venda. Id: 28. Num part: 249,0000</t>
  </si>
  <si>
    <t>Mov venda. Id: 91. Num part: 0,3471</t>
  </si>
  <si>
    <t>Compra Id: 29. Producte: Optimal Income A-H Grs Acc Hdg EUR</t>
  </si>
  <si>
    <t>Mov venda. Id: 30. Num part: 2.345,4980</t>
  </si>
  <si>
    <t>Mov venda. Id: 100. Num part: 1,8280</t>
  </si>
  <si>
    <t>Compra Id: 31. Producte: Deutschland</t>
  </si>
  <si>
    <t>Mov venda. Id: 91. Num part: 259,1829</t>
  </si>
  <si>
    <t>Compra Id: 92. Producte: Optimal Income A-H Grs Acc Hdg EUR</t>
  </si>
  <si>
    <t>Mov venda. Id: 100. Num part: 2.877,4150</t>
  </si>
  <si>
    <t>Mov venda. Id: 170. Num part: 44,9450</t>
  </si>
  <si>
    <t>Compra Id: 101. Producte: DWS Aktien Strategie Deutschland</t>
  </si>
  <si>
    <t>Mov venda. Id: 172. Num part: 80,7528</t>
  </si>
  <si>
    <t>Compra Id: 173. Producte: Global Technology A-Acc-EUR</t>
  </si>
  <si>
    <t>Compra Id: 171. Producte: NB Capital Plus FI</t>
  </si>
  <si>
    <t>1c</t>
  </si>
  <si>
    <t>2c</t>
  </si>
  <si>
    <t>3c</t>
  </si>
  <si>
    <t>4c</t>
  </si>
  <si>
    <t>5c</t>
  </si>
  <si>
    <t>6c</t>
  </si>
  <si>
    <t>7c</t>
  </si>
  <si>
    <t>8c</t>
  </si>
  <si>
    <t>9c</t>
  </si>
  <si>
    <t>10c</t>
  </si>
  <si>
    <t>11c</t>
  </si>
  <si>
    <t>12c</t>
  </si>
  <si>
    <t>13c</t>
  </si>
  <si>
    <t>14c</t>
  </si>
  <si>
    <t>1a</t>
  </si>
  <si>
    <t>2a</t>
  </si>
  <si>
    <t>3a</t>
  </si>
  <si>
    <t>4a</t>
  </si>
  <si>
    <t>5a</t>
  </si>
  <si>
    <t>6a</t>
  </si>
  <si>
    <t>7a</t>
  </si>
  <si>
    <t>8a</t>
  </si>
  <si>
    <t>9a</t>
  </si>
  <si>
    <t>10a</t>
  </si>
  <si>
    <t>11a</t>
  </si>
  <si>
    <t>12a</t>
  </si>
  <si>
    <t>13a</t>
  </si>
  <si>
    <t>14a</t>
  </si>
  <si>
    <t>Venda Id 100</t>
  </si>
  <si>
    <t>Venda Id 91</t>
  </si>
  <si>
    <t>Venda Id 172</t>
  </si>
  <si>
    <t>Venda Id 170</t>
  </si>
  <si>
    <t>Compra Id: 27. Producte: Optimal Income A-H Grs Acc Hdg EUR</t>
  </si>
  <si>
    <t>Mov venda. Id: 30. Num part: 58,5020</t>
  </si>
  <si>
    <t>Dif.</t>
  </si>
  <si>
    <t>tPreu Desgloç&lt;</t>
  </si>
  <si>
    <t>Valor actual</t>
  </si>
  <si>
    <t>PiG</t>
  </si>
  <si>
    <t>Asian Smaller Companies Fund.</t>
  </si>
  <si>
    <t>Thailand A-USD.</t>
  </si>
  <si>
    <t>Deutschland.</t>
  </si>
  <si>
    <t>Biotechnology C USD Acc.</t>
  </si>
  <si>
    <t>Templeton Emerging Mkts Sm Cos N Acc $.</t>
  </si>
  <si>
    <t>DWS Aktien Strategie Deutschland.</t>
  </si>
  <si>
    <t>NB Capital Plus FI.</t>
  </si>
  <si>
    <t>Global Technology A-Acc-EUR.</t>
  </si>
  <si>
    <t>pig1: 50.319,07€</t>
  </si>
  <si>
    <t>DesglosCompres</t>
  </si>
  <si>
    <t>Id O</t>
  </si>
  <si>
    <t>Parts</t>
  </si>
  <si>
    <t>Parts Orig</t>
  </si>
  <si>
    <t>3-Asian Smaller Companies Fund</t>
  </si>
  <si>
    <t>4-Thailand A-USD</t>
  </si>
  <si>
    <t>6-Biotechnology C USD Acc</t>
  </si>
  <si>
    <t>15-Templeton Emerging Mkts Sm Cos N Acc $</t>
  </si>
  <si>
    <t>Venda</t>
  </si>
  <si>
    <t>Producte</t>
  </si>
  <si>
    <t>Preu cost</t>
  </si>
  <si>
    <t>PiG Total:</t>
  </si>
  <si>
    <t>7-Arcelor Mittal Steel</t>
  </si>
  <si>
    <t>8-Santander</t>
  </si>
  <si>
    <t>9-Telefònica</t>
  </si>
  <si>
    <t>23-Inditex</t>
  </si>
  <si>
    <t>17-PROSHARES ULTRA NASDAQ BIOTECH US74347R2141</t>
  </si>
  <si>
    <t>24-ISHS MSCI EM MK</t>
  </si>
  <si>
    <t>25-VANGUARD S&amp;P500</t>
  </si>
  <si>
    <t>18-IShares MDAX UETF T Xetra DE0005933923-EXS3</t>
  </si>
  <si>
    <t>13-Indonesia Fund A-USD</t>
  </si>
  <si>
    <t>14-Patrimoine A EUR Acc</t>
  </si>
  <si>
    <t>PiG Ant</t>
  </si>
  <si>
    <t>PiG Act</t>
  </si>
  <si>
    <t>Producte: 7-Arcelor Mittal Steel</t>
  </si>
  <si>
    <t>Dividends</t>
  </si>
  <si>
    <t>Desp</t>
  </si>
  <si>
    <t>Imp. Net</t>
  </si>
  <si>
    <t>Imp. Brut</t>
  </si>
  <si>
    <t>Desp Propor</t>
  </si>
  <si>
    <t>Cost Parts en cartera</t>
  </si>
  <si>
    <t>Valor Parts en cartera</t>
  </si>
  <si>
    <t>Producte: 1-Optimal Income A-H Grs Acc Hdg EUR</t>
  </si>
  <si>
    <t>Producte: 2-European Growth N Acc ?</t>
  </si>
  <si>
    <t>Producte: 3-Asian Smaller Companies Fund</t>
  </si>
  <si>
    <t>Producte: 4-Thailand A-USD</t>
  </si>
  <si>
    <t>Producte: 5-Deutschland</t>
  </si>
  <si>
    <t>Producte: 6-Biotechnology C USD Acc</t>
  </si>
  <si>
    <t>Producte: 16-DWS Aktien Strategie Deutschland</t>
  </si>
  <si>
    <t>Producte: 19-NB Capital Plus FI</t>
  </si>
  <si>
    <t>Producte: 27-Global Technology A-Acc-EUR</t>
  </si>
  <si>
    <t>Resultats test</t>
  </si>
  <si>
    <t>Id Orig</t>
  </si>
  <si>
    <t>PU Orig</t>
  </si>
  <si>
    <t>Cost 31 --&gt;</t>
  </si>
  <si>
    <t>Cost 26 --&gt;</t>
  </si>
  <si>
    <t>Parts Cart</t>
  </si>
  <si>
    <t>Desp.</t>
  </si>
  <si>
    <t>Saldo Parts</t>
  </si>
  <si>
    <t>Compres</t>
  </si>
  <si>
    <t>Vendes</t>
  </si>
  <si>
    <t>Div.</t>
  </si>
  <si>
    <t>Telefonica</t>
  </si>
  <si>
    <t>Arcelor</t>
  </si>
  <si>
    <t>ContraSplit</t>
  </si>
  <si>
    <t>En cartera</t>
  </si>
  <si>
    <t>PiG Total</t>
  </si>
  <si>
    <t>2-European Growth N Acc ?</t>
  </si>
  <si>
    <t>12-American Extended Alpha R USD Acc</t>
  </si>
  <si>
    <t>PiG Producte</t>
  </si>
  <si>
    <t>PiG En cartera</t>
  </si>
  <si>
    <t>PiG2</t>
  </si>
  <si>
    <t>Any</t>
  </si>
  <si>
    <t>Cartera</t>
  </si>
  <si>
    <t>Trib+Cart</t>
  </si>
</sst>
</file>

<file path=xl/styles.xml><?xml version="1.0" encoding="utf-8"?>
<styleSheet xmlns="http://schemas.openxmlformats.org/spreadsheetml/2006/main">
  <numFmts count="8">
    <numFmt numFmtId="8" formatCode="#,##0.00\ &quot;€&quot;;[Red]\-#,##0.00\ &quot;€&quot;"/>
    <numFmt numFmtId="164" formatCode="0.0000"/>
    <numFmt numFmtId="165" formatCode="0.000"/>
    <numFmt numFmtId="166" formatCode="#,##0.0000"/>
    <numFmt numFmtId="167" formatCode="#,##0.000\ &quot;€&quot;"/>
    <numFmt numFmtId="168" formatCode="#,##0.00\ &quot;€&quot;"/>
    <numFmt numFmtId="169" formatCode="#,##0.000"/>
    <numFmt numFmtId="170" formatCode="#,##0.0000\ &quot;€&quot;;[Red]\-#,##0.0000\ &quot;€&quot;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 tint="0.39997558519241921"/>
        <bgColor indexed="65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</cellStyleXfs>
  <cellXfs count="74">
    <xf numFmtId="0" fontId="0" fillId="0" borderId="0" xfId="0"/>
    <xf numFmtId="0" fontId="0" fillId="0" borderId="0" xfId="0" applyAlignment="1">
      <alignment wrapText="1"/>
    </xf>
    <xf numFmtId="8" fontId="0" fillId="0" borderId="0" xfId="0" applyNumberFormat="1"/>
    <xf numFmtId="8" fontId="0" fillId="0" borderId="0" xfId="0" applyNumberFormat="1" applyAlignment="1">
      <alignment wrapText="1"/>
    </xf>
    <xf numFmtId="0" fontId="4" fillId="0" borderId="0" xfId="0" applyFon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0" applyFont="1" applyAlignment="1">
      <alignment horizontal="center"/>
    </xf>
    <xf numFmtId="0" fontId="2" fillId="2" borderId="0" xfId="2"/>
    <xf numFmtId="8" fontId="4" fillId="0" borderId="0" xfId="0" applyNumberFormat="1" applyFont="1"/>
    <xf numFmtId="10" fontId="0" fillId="0" borderId="0" xfId="1" applyNumberFormat="1" applyFont="1"/>
    <xf numFmtId="0" fontId="3" fillId="3" borderId="0" xfId="3"/>
    <xf numFmtId="164" fontId="2" fillId="2" borderId="0" xfId="2" applyNumberForma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168" fontId="4" fillId="0" borderId="0" xfId="0" applyNumberFormat="1" applyFont="1"/>
    <xf numFmtId="0" fontId="0" fillId="0" borderId="0" xfId="0" applyNumberFormat="1"/>
    <xf numFmtId="0" fontId="4" fillId="0" borderId="0" xfId="0" applyNumberFormat="1" applyFont="1"/>
    <xf numFmtId="168" fontId="0" fillId="0" borderId="0" xfId="0" applyNumberFormat="1" applyFont="1"/>
    <xf numFmtId="22" fontId="0" fillId="0" borderId="0" xfId="0" applyNumberFormat="1"/>
    <xf numFmtId="168" fontId="2" fillId="2" borderId="0" xfId="2" applyNumberFormat="1"/>
    <xf numFmtId="168" fontId="5" fillId="2" borderId="0" xfId="2" applyNumberFormat="1" applyFont="1"/>
    <xf numFmtId="0" fontId="2" fillId="2" borderId="0" xfId="2" applyAlignment="1">
      <alignment wrapText="1"/>
    </xf>
    <xf numFmtId="8" fontId="4" fillId="0" borderId="0" xfId="0" applyNumberFormat="1" applyFont="1" applyAlignment="1">
      <alignment horizontal="center"/>
    </xf>
    <xf numFmtId="169" fontId="0" fillId="0" borderId="0" xfId="0" applyNumberFormat="1"/>
    <xf numFmtId="4" fontId="2" fillId="2" borderId="0" xfId="2" applyNumberFormat="1"/>
    <xf numFmtId="170" fontId="0" fillId="0" borderId="0" xfId="0" applyNumberFormat="1"/>
    <xf numFmtId="0" fontId="4" fillId="0" borderId="0" xfId="0" applyFont="1" applyBorder="1"/>
    <xf numFmtId="0" fontId="0" fillId="0" borderId="0" xfId="0" applyBorder="1"/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wrapText="1"/>
    </xf>
    <xf numFmtId="14" fontId="0" fillId="0" borderId="0" xfId="0" applyNumberFormat="1" applyBorder="1" applyAlignment="1">
      <alignment wrapText="1"/>
    </xf>
    <xf numFmtId="3" fontId="0" fillId="0" borderId="0" xfId="0" applyNumberFormat="1" applyBorder="1" applyAlignment="1">
      <alignment wrapText="1"/>
    </xf>
    <xf numFmtId="8" fontId="0" fillId="0" borderId="0" xfId="0" applyNumberFormat="1" applyBorder="1" applyAlignment="1">
      <alignment wrapText="1"/>
    </xf>
    <xf numFmtId="3" fontId="0" fillId="0" borderId="0" xfId="0" applyNumberFormat="1" applyBorder="1"/>
    <xf numFmtId="0" fontId="2" fillId="2" borderId="0" xfId="2" applyBorder="1" applyAlignment="1">
      <alignment wrapText="1"/>
    </xf>
    <xf numFmtId="14" fontId="2" fillId="2" borderId="0" xfId="2" applyNumberFormat="1" applyBorder="1" applyAlignment="1">
      <alignment wrapText="1"/>
    </xf>
    <xf numFmtId="3" fontId="2" fillId="2" borderId="0" xfId="2" applyNumberFormat="1" applyBorder="1" applyAlignment="1">
      <alignment wrapText="1"/>
    </xf>
    <xf numFmtId="8" fontId="2" fillId="2" borderId="0" xfId="2" applyNumberFormat="1" applyBorder="1" applyAlignment="1">
      <alignment wrapText="1"/>
    </xf>
    <xf numFmtId="8" fontId="0" fillId="0" borderId="0" xfId="0" applyNumberFormat="1" applyBorder="1"/>
    <xf numFmtId="14" fontId="0" fillId="0" borderId="0" xfId="0" applyNumberFormat="1" applyBorder="1"/>
    <xf numFmtId="0" fontId="0" fillId="0" borderId="1" xfId="0" applyBorder="1"/>
    <xf numFmtId="14" fontId="0" fillId="0" borderId="1" xfId="0" applyNumberFormat="1" applyBorder="1"/>
    <xf numFmtId="8" fontId="0" fillId="0" borderId="1" xfId="0" applyNumberFormat="1" applyBorder="1"/>
    <xf numFmtId="0" fontId="4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5" xfId="0" applyBorder="1" applyAlignment="1">
      <alignment wrapText="1"/>
    </xf>
    <xf numFmtId="0" fontId="2" fillId="2" borderId="5" xfId="2" applyBorder="1" applyAlignment="1">
      <alignment wrapText="1"/>
    </xf>
    <xf numFmtId="8" fontId="0" fillId="0" borderId="6" xfId="0" applyNumberFormat="1" applyBorder="1"/>
    <xf numFmtId="0" fontId="0" fillId="0" borderId="7" xfId="0" applyBorder="1"/>
    <xf numFmtId="0" fontId="0" fillId="0" borderId="8" xfId="0" applyBorder="1"/>
    <xf numFmtId="0" fontId="4" fillId="0" borderId="0" xfId="0" applyFont="1" applyFill="1" applyBorder="1" applyAlignment="1">
      <alignment horizontal="center"/>
    </xf>
    <xf numFmtId="0" fontId="4" fillId="0" borderId="6" xfId="0" applyFont="1" applyBorder="1"/>
    <xf numFmtId="164" fontId="0" fillId="0" borderId="0" xfId="0" applyNumberFormat="1" applyAlignment="1">
      <alignment wrapText="1"/>
    </xf>
    <xf numFmtId="14" fontId="6" fillId="4" borderId="0" xfId="4" applyNumberFormat="1"/>
    <xf numFmtId="8" fontId="6" fillId="4" borderId="0" xfId="4" applyNumberFormat="1"/>
    <xf numFmtId="14" fontId="7" fillId="5" borderId="0" xfId="5" applyNumberFormat="1"/>
    <xf numFmtId="8" fontId="7" fillId="5" borderId="0" xfId="5" applyNumberFormat="1"/>
    <xf numFmtId="3" fontId="4" fillId="0" borderId="0" xfId="0" applyNumberFormat="1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wrapText="1"/>
    </xf>
    <xf numFmtId="8" fontId="0" fillId="0" borderId="0" xfId="0" applyNumberFormat="1" applyFont="1"/>
    <xf numFmtId="0" fontId="0" fillId="0" borderId="0" xfId="0" applyFont="1"/>
    <xf numFmtId="0" fontId="6" fillId="4" borderId="0" xfId="4"/>
    <xf numFmtId="3" fontId="6" fillId="4" borderId="0" xfId="4" applyNumberFormat="1"/>
  </cellXfs>
  <cellStyles count="6">
    <cellStyle name="60% - Accent3" xfId="5" builtinId="40"/>
    <cellStyle name="Bad" xfId="3" builtinId="27"/>
    <cellStyle name="Good" xfId="2" builtinId="26"/>
    <cellStyle name="Neutral" xfId="4" builtinId="28"/>
    <cellStyle name="Normal" xfId="0" builtinId="0"/>
    <cellStyle name="Percent" xfId="1" builtinId="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82"/>
  <sheetViews>
    <sheetView zoomScale="115" zoomScaleNormal="115" workbookViewId="0">
      <pane ySplit="1" topLeftCell="A68" activePane="bottomLeft" state="frozen"/>
      <selection pane="bottomLeft" activeCell="B18" sqref="B18"/>
    </sheetView>
  </sheetViews>
  <sheetFormatPr defaultRowHeight="14.5"/>
  <cols>
    <col min="2" max="2" width="3.54296875" customWidth="1"/>
    <col min="3" max="3" width="5.453125" customWidth="1"/>
    <col min="4" max="4" width="10.90625" customWidth="1"/>
    <col min="6" max="6" width="10.36328125" customWidth="1"/>
    <col min="7" max="7" width="2.36328125" customWidth="1"/>
    <col min="8" max="8" width="9.54296875" customWidth="1"/>
    <col min="10" max="10" width="13" customWidth="1"/>
    <col min="11" max="12" width="9.453125" bestFit="1" customWidth="1"/>
  </cols>
  <sheetData>
    <row r="1" spans="2:10">
      <c r="E1" t="s">
        <v>5</v>
      </c>
      <c r="F1" s="8" t="s">
        <v>6</v>
      </c>
      <c r="H1" s="4" t="s">
        <v>16</v>
      </c>
    </row>
    <row r="2" spans="2:10">
      <c r="B2" s="4" t="s">
        <v>0</v>
      </c>
    </row>
    <row r="3" spans="2:10">
      <c r="C3" s="1">
        <v>108</v>
      </c>
      <c r="D3" s="1" t="s">
        <v>1</v>
      </c>
      <c r="E3" s="9">
        <v>0.53749999999999998</v>
      </c>
      <c r="F3" s="3">
        <v>1860.4650999999999</v>
      </c>
      <c r="H3">
        <f>E3</f>
        <v>0.53749999999999998</v>
      </c>
    </row>
    <row r="4" spans="2:10">
      <c r="C4" s="1">
        <v>171</v>
      </c>
      <c r="D4" s="1" t="s">
        <v>2</v>
      </c>
      <c r="E4" s="9">
        <v>0.46779999999999999</v>
      </c>
      <c r="F4" s="3">
        <v>1895.2417</v>
      </c>
      <c r="H4">
        <f>+H3+E4</f>
        <v>1.0053000000000001</v>
      </c>
    </row>
    <row r="5" spans="2:10">
      <c r="E5" s="9"/>
    </row>
    <row r="6" spans="2:10">
      <c r="B6" s="4" t="s">
        <v>3</v>
      </c>
      <c r="E6" s="9"/>
    </row>
    <row r="7" spans="2:10">
      <c r="C7" s="1">
        <v>27</v>
      </c>
      <c r="D7" s="1" t="s">
        <v>1</v>
      </c>
      <c r="E7" s="9">
        <v>58.502000000000002</v>
      </c>
      <c r="F7" s="3">
        <v>17.093299999999999</v>
      </c>
      <c r="H7" s="6">
        <f>E7</f>
        <v>58.502000000000002</v>
      </c>
      <c r="J7">
        <f>E7</f>
        <v>58.502000000000002</v>
      </c>
    </row>
    <row r="8" spans="2:10">
      <c r="C8" s="1">
        <v>29</v>
      </c>
      <c r="D8" s="1" t="s">
        <v>2</v>
      </c>
      <c r="E8" s="9">
        <v>2347.326</v>
      </c>
      <c r="F8" s="3">
        <v>18.249700000000001</v>
      </c>
      <c r="H8" s="6">
        <f>+H7+E8</f>
        <v>2405.828</v>
      </c>
    </row>
    <row r="9" spans="2:10">
      <c r="C9" s="1">
        <v>30</v>
      </c>
      <c r="D9" s="1" t="s">
        <v>4</v>
      </c>
      <c r="E9" s="9">
        <v>2404</v>
      </c>
      <c r="F9" s="3">
        <v>18.5245</v>
      </c>
      <c r="H9" s="6">
        <f>+H8-E9</f>
        <v>1.8279999999999745</v>
      </c>
      <c r="I9" s="7" t="s">
        <v>11</v>
      </c>
    </row>
    <row r="10" spans="2:10">
      <c r="C10" s="1">
        <v>92</v>
      </c>
      <c r="D10" s="1" t="s">
        <v>2</v>
      </c>
      <c r="E10" s="9">
        <v>2922.36</v>
      </c>
      <c r="F10" s="3">
        <v>18.3931</v>
      </c>
      <c r="H10" s="6">
        <f t="shared" ref="H10" si="0">+H9+E10</f>
        <v>2924.1880000000001</v>
      </c>
    </row>
    <row r="11" spans="2:10">
      <c r="C11" s="1">
        <v>100</v>
      </c>
      <c r="D11" s="1" t="s">
        <v>4</v>
      </c>
      <c r="E11" s="9">
        <v>2879.2429999999999</v>
      </c>
      <c r="F11" s="3">
        <v>18.063199999999998</v>
      </c>
      <c r="H11" s="6">
        <f>+H10-E11</f>
        <v>44.945000000000164</v>
      </c>
    </row>
    <row r="12" spans="2:10">
      <c r="C12" s="1">
        <v>170</v>
      </c>
      <c r="D12" s="1" t="s">
        <v>4</v>
      </c>
      <c r="E12" s="9">
        <v>44.945</v>
      </c>
      <c r="F12" s="3">
        <v>19.726199999999999</v>
      </c>
      <c r="H12" s="6">
        <f>+H11-E12</f>
        <v>1.6342482922482304E-13</v>
      </c>
      <c r="I12" t="s">
        <v>7</v>
      </c>
    </row>
    <row r="13" spans="2:10">
      <c r="E13" s="9"/>
    </row>
    <row r="14" spans="2:10">
      <c r="B14" s="4" t="s">
        <v>8</v>
      </c>
      <c r="E14" s="9"/>
    </row>
    <row r="15" spans="2:10">
      <c r="C15" s="1">
        <v>26</v>
      </c>
      <c r="D15" s="1" t="s">
        <v>2</v>
      </c>
      <c r="E15" s="9">
        <v>249.34710000000001</v>
      </c>
      <c r="F15" s="3">
        <v>139.71</v>
      </c>
      <c r="H15" s="7">
        <f>E15</f>
        <v>249.34710000000001</v>
      </c>
    </row>
    <row r="16" spans="2:10">
      <c r="C16" s="1">
        <v>28</v>
      </c>
      <c r="D16" s="1" t="s">
        <v>4</v>
      </c>
      <c r="E16" s="9">
        <v>249</v>
      </c>
      <c r="F16" s="3">
        <v>172.04</v>
      </c>
      <c r="H16" s="7">
        <f>+H15-E16</f>
        <v>0.34710000000001173</v>
      </c>
      <c r="I16" t="s">
        <v>9</v>
      </c>
    </row>
    <row r="17" spans="1:13">
      <c r="C17" s="1">
        <v>31</v>
      </c>
      <c r="D17" s="1" t="s">
        <v>2</v>
      </c>
      <c r="E17" s="9">
        <v>264.18049999999999</v>
      </c>
      <c r="F17" s="3">
        <v>168.57</v>
      </c>
      <c r="H17" s="7">
        <f t="shared" ref="H17" si="1">+H16+E17</f>
        <v>264.52760000000001</v>
      </c>
    </row>
    <row r="18" spans="1:13">
      <c r="C18" s="1">
        <v>91</v>
      </c>
      <c r="D18" s="1" t="s">
        <v>4</v>
      </c>
      <c r="E18" s="9">
        <v>259.52999999999997</v>
      </c>
      <c r="F18" s="3">
        <v>207.11</v>
      </c>
      <c r="H18" s="7">
        <f>+H17-E18</f>
        <v>4.997600000000034</v>
      </c>
      <c r="I18" s="7" t="s">
        <v>10</v>
      </c>
    </row>
    <row r="19" spans="1:13">
      <c r="E19" s="9"/>
    </row>
    <row r="20" spans="1:13">
      <c r="B20" s="4" t="s">
        <v>12</v>
      </c>
      <c r="E20" s="9"/>
    </row>
    <row r="21" spans="1:13">
      <c r="C21" s="1">
        <v>16</v>
      </c>
      <c r="D21" s="1" t="s">
        <v>1</v>
      </c>
      <c r="E21" s="9">
        <v>547.64509999999996</v>
      </c>
      <c r="F21" s="3">
        <v>18.260000000000002</v>
      </c>
      <c r="H21">
        <f>E21</f>
        <v>547.64509999999996</v>
      </c>
      <c r="J21">
        <f>E21</f>
        <v>547.64509999999996</v>
      </c>
    </row>
    <row r="22" spans="1:13">
      <c r="C22" s="1">
        <v>17</v>
      </c>
      <c r="D22" s="1" t="s">
        <v>1</v>
      </c>
      <c r="E22" s="9">
        <v>1010.611</v>
      </c>
      <c r="F22" s="3">
        <v>19.79</v>
      </c>
      <c r="H22">
        <f>+H21+E22</f>
        <v>1558.2561000000001</v>
      </c>
      <c r="J22" s="5">
        <f>E22</f>
        <v>1010.611</v>
      </c>
    </row>
    <row r="23" spans="1:13">
      <c r="C23" s="1">
        <v>24</v>
      </c>
      <c r="D23" s="1" t="s">
        <v>2</v>
      </c>
      <c r="E23" s="9">
        <v>280.07</v>
      </c>
      <c r="F23" s="3">
        <v>19.68</v>
      </c>
      <c r="H23">
        <f t="shared" ref="H23" si="2">+H22+E23</f>
        <v>1838.3261</v>
      </c>
    </row>
    <row r="24" spans="1:13">
      <c r="C24" s="1">
        <v>25</v>
      </c>
      <c r="D24" s="1" t="s">
        <v>4</v>
      </c>
      <c r="E24" s="9">
        <v>1838.3261</v>
      </c>
      <c r="F24" s="3">
        <v>18.95</v>
      </c>
      <c r="H24" s="5">
        <f>+H23-E24</f>
        <v>0</v>
      </c>
      <c r="I24" t="s">
        <v>13</v>
      </c>
    </row>
    <row r="25" spans="1:13">
      <c r="E25" s="9"/>
    </row>
    <row r="26" spans="1:13">
      <c r="B26" s="4" t="s">
        <v>14</v>
      </c>
      <c r="E26" s="9"/>
    </row>
    <row r="27" spans="1:13">
      <c r="C27" s="1">
        <v>15</v>
      </c>
      <c r="D27" s="1" t="s">
        <v>1</v>
      </c>
      <c r="E27" s="9">
        <v>679.64</v>
      </c>
      <c r="F27" s="3">
        <v>22.992000000000001</v>
      </c>
      <c r="H27" s="7">
        <f>E27</f>
        <v>679.64</v>
      </c>
      <c r="J27">
        <f>E27</f>
        <v>679.64</v>
      </c>
    </row>
    <row r="28" spans="1:13">
      <c r="C28" s="1">
        <v>23</v>
      </c>
      <c r="D28" s="1" t="s">
        <v>4</v>
      </c>
      <c r="E28" s="9">
        <v>679.64</v>
      </c>
      <c r="F28" s="3">
        <v>8.1097999999999999</v>
      </c>
      <c r="H28" s="7">
        <f>+H27-E28</f>
        <v>0</v>
      </c>
      <c r="I28" t="s">
        <v>15</v>
      </c>
    </row>
    <row r="31" spans="1:13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</row>
    <row r="32" spans="1:13">
      <c r="B32" s="4" t="s">
        <v>0</v>
      </c>
    </row>
    <row r="33" spans="1:11">
      <c r="B33">
        <v>19</v>
      </c>
      <c r="C33" s="1">
        <v>108</v>
      </c>
      <c r="D33" s="1" t="s">
        <v>1</v>
      </c>
      <c r="E33" s="9">
        <v>0.53749999999999998</v>
      </c>
      <c r="F33" s="3">
        <v>1860.4650999999999</v>
      </c>
      <c r="H33" s="13">
        <f>E33</f>
        <v>0.53749999999999998</v>
      </c>
      <c r="J33" s="2">
        <f>H33*F33</f>
        <v>999.99999124999988</v>
      </c>
      <c r="K33" s="2"/>
    </row>
    <row r="34" spans="1:11">
      <c r="C34" s="1">
        <v>171</v>
      </c>
      <c r="D34" s="1" t="s">
        <v>2</v>
      </c>
      <c r="E34" s="9">
        <v>0.46779999999999999</v>
      </c>
      <c r="F34" s="3">
        <v>1895.2417</v>
      </c>
      <c r="H34" s="6"/>
    </row>
    <row r="35" spans="1:11">
      <c r="B35">
        <v>1</v>
      </c>
      <c r="C35" s="1">
        <v>170</v>
      </c>
      <c r="D35" s="1" t="s">
        <v>4</v>
      </c>
      <c r="E35" s="9">
        <v>44.945</v>
      </c>
      <c r="F35" s="3">
        <v>19.726199999999999</v>
      </c>
      <c r="H35" s="6">
        <f>E35</f>
        <v>44.945</v>
      </c>
    </row>
    <row r="36" spans="1:11">
      <c r="C36" s="1">
        <v>92</v>
      </c>
      <c r="D36" s="1" t="s">
        <v>2</v>
      </c>
      <c r="E36" s="9">
        <v>2922.36</v>
      </c>
      <c r="F36" s="3">
        <v>18.3931</v>
      </c>
      <c r="H36" s="6">
        <f>H35</f>
        <v>44.945</v>
      </c>
      <c r="K36" s="11"/>
    </row>
    <row r="37" spans="1:11">
      <c r="B37">
        <v>5</v>
      </c>
      <c r="C37" s="1">
        <v>91</v>
      </c>
      <c r="D37" s="1" t="s">
        <v>4</v>
      </c>
      <c r="E37" s="9">
        <v>259.52999999999997</v>
      </c>
      <c r="F37" s="3">
        <v>207.11</v>
      </c>
      <c r="H37" s="6">
        <f>H36/E36*E37</f>
        <v>3.9914917566624228</v>
      </c>
      <c r="I37" s="7"/>
    </row>
    <row r="38" spans="1:11">
      <c r="A38">
        <v>91</v>
      </c>
      <c r="C38" s="1">
        <v>26</v>
      </c>
      <c r="D38" s="1" t="s">
        <v>2</v>
      </c>
      <c r="E38" s="9">
        <v>249.34710000000001</v>
      </c>
      <c r="F38" s="3">
        <v>139.71</v>
      </c>
      <c r="H38" s="6">
        <v>0.34699999999999998</v>
      </c>
    </row>
    <row r="39" spans="1:11">
      <c r="B39">
        <v>11</v>
      </c>
      <c r="C39" s="1">
        <v>25</v>
      </c>
      <c r="D39" s="1" t="s">
        <v>4</v>
      </c>
      <c r="E39" s="9">
        <v>1838.3261</v>
      </c>
      <c r="F39" s="3">
        <v>18.95</v>
      </c>
      <c r="H39" s="6">
        <f>H38/E38*E39</f>
        <v>2.5582778251682088</v>
      </c>
    </row>
    <row r="40" spans="1:11">
      <c r="C40" s="1">
        <v>16</v>
      </c>
      <c r="D40" s="1" t="s">
        <v>1</v>
      </c>
      <c r="E40" s="9">
        <v>547.64509999999996</v>
      </c>
      <c r="F40" s="3">
        <v>18.260000000000002</v>
      </c>
      <c r="H40" s="13">
        <f>H39</f>
        <v>2.5582778251682088</v>
      </c>
      <c r="J40" s="2">
        <f>H40*F40</f>
        <v>46.714153087571496</v>
      </c>
    </row>
    <row r="41" spans="1:11">
      <c r="A41">
        <v>91</v>
      </c>
      <c r="B41">
        <v>5</v>
      </c>
      <c r="C41" s="1">
        <v>31</v>
      </c>
      <c r="D41" s="1" t="s">
        <v>2</v>
      </c>
      <c r="E41" s="9">
        <v>264.18049999999999</v>
      </c>
      <c r="F41" s="3">
        <v>168.57</v>
      </c>
      <c r="H41" s="6">
        <f>+H37-H38</f>
        <v>3.6444917566624229</v>
      </c>
    </row>
    <row r="42" spans="1:11">
      <c r="B42">
        <v>1</v>
      </c>
      <c r="C42" s="1">
        <v>30</v>
      </c>
      <c r="D42" s="1" t="s">
        <v>4</v>
      </c>
      <c r="E42" s="9">
        <v>2404</v>
      </c>
      <c r="F42" s="3">
        <v>18.5245</v>
      </c>
      <c r="H42" s="6">
        <f>H41/E41*E42</f>
        <v>33.164287988767015</v>
      </c>
      <c r="I42" s="6"/>
      <c r="J42" s="2"/>
    </row>
    <row r="43" spans="1:11">
      <c r="C43" s="1">
        <v>27</v>
      </c>
      <c r="D43" s="1" t="s">
        <v>1</v>
      </c>
      <c r="E43" s="9">
        <v>58.502000000000002</v>
      </c>
      <c r="F43" s="3">
        <v>17.093299999999999</v>
      </c>
      <c r="H43" s="13">
        <f>H42</f>
        <v>33.164287988767015</v>
      </c>
      <c r="J43" s="2">
        <f>H43*F43</f>
        <v>566.88712387839121</v>
      </c>
      <c r="K43" s="11"/>
    </row>
    <row r="44" spans="1:11">
      <c r="C44" s="1"/>
      <c r="D44" s="1"/>
      <c r="E44" s="9"/>
      <c r="F44" s="3"/>
      <c r="H44" s="6"/>
      <c r="J44" s="2">
        <f>SUM(J33:J43)</f>
        <v>1613.6012682159626</v>
      </c>
    </row>
    <row r="45" spans="1:11">
      <c r="C45" s="1"/>
      <c r="D45" s="1"/>
      <c r="E45" s="9"/>
      <c r="F45" s="3"/>
      <c r="H45" s="6"/>
      <c r="J45" s="2">
        <v>1580.29</v>
      </c>
      <c r="K45" s="2">
        <f>+J45-J44</f>
        <v>-33.311268215962627</v>
      </c>
    </row>
    <row r="46" spans="1:11">
      <c r="C46" s="1"/>
      <c r="D46" s="1"/>
      <c r="E46" s="9"/>
      <c r="F46" s="3"/>
      <c r="H46" s="6"/>
      <c r="J46" s="2">
        <v>1588.63</v>
      </c>
      <c r="K46" s="2">
        <f>+J44-J46</f>
        <v>24.971268215962482</v>
      </c>
    </row>
    <row r="47" spans="1:11">
      <c r="C47" s="1"/>
      <c r="D47" s="1"/>
      <c r="E47" s="9"/>
      <c r="F47" s="3"/>
      <c r="H47" s="6"/>
    </row>
    <row r="48" spans="1:11">
      <c r="C48" s="1"/>
      <c r="D48" s="1"/>
      <c r="E48" s="9"/>
      <c r="F48" s="3"/>
      <c r="H48" s="6"/>
    </row>
    <row r="49" spans="2:12">
      <c r="C49" s="1"/>
      <c r="D49" s="1"/>
      <c r="E49" s="9"/>
      <c r="F49" s="3"/>
      <c r="H49" s="6"/>
      <c r="J49" s="2"/>
    </row>
    <row r="50" spans="2:12">
      <c r="C50" s="1"/>
      <c r="D50" s="1"/>
      <c r="E50" s="9"/>
      <c r="F50" s="3"/>
      <c r="H50" s="6"/>
      <c r="J50" s="2"/>
    </row>
    <row r="51" spans="2:12">
      <c r="C51" s="1"/>
      <c r="D51" s="1"/>
      <c r="E51" s="9"/>
      <c r="F51" s="3"/>
      <c r="H51" s="6"/>
    </row>
    <row r="52" spans="2:12">
      <c r="C52" s="1"/>
      <c r="D52" s="1"/>
      <c r="E52" s="9"/>
      <c r="F52" s="3"/>
      <c r="H52" s="6"/>
    </row>
    <row r="53" spans="2:12">
      <c r="C53" s="1"/>
      <c r="D53" s="1"/>
      <c r="E53" s="9"/>
      <c r="F53" s="3"/>
      <c r="H53" s="6"/>
      <c r="J53" s="2"/>
    </row>
    <row r="54" spans="2:12">
      <c r="C54" s="1"/>
      <c r="D54" s="1"/>
      <c r="E54" s="9"/>
      <c r="F54" s="3"/>
      <c r="H54" s="6"/>
    </row>
    <row r="55" spans="2:12">
      <c r="C55" s="1"/>
      <c r="D55" s="1"/>
      <c r="E55" s="9"/>
      <c r="F55" s="3"/>
      <c r="H55" s="6"/>
    </row>
    <row r="56" spans="2:12">
      <c r="C56" s="1"/>
      <c r="D56" s="1"/>
      <c r="E56" s="9"/>
      <c r="F56" s="3"/>
      <c r="H56" s="6"/>
    </row>
    <row r="57" spans="2:12">
      <c r="C57" s="1"/>
      <c r="D57" s="1"/>
      <c r="E57" s="9"/>
      <c r="F57" s="3"/>
      <c r="H57" s="7"/>
    </row>
    <row r="58" spans="2:12">
      <c r="C58" s="1"/>
      <c r="D58" s="1"/>
      <c r="E58" s="9"/>
      <c r="F58" s="3"/>
      <c r="H58" s="7"/>
      <c r="J58" s="7"/>
      <c r="K58" s="11"/>
    </row>
    <row r="60" spans="2:12">
      <c r="B60" s="4" t="s">
        <v>3</v>
      </c>
      <c r="E60" s="9"/>
    </row>
    <row r="61" spans="2:12">
      <c r="C61" s="1">
        <v>27</v>
      </c>
      <c r="D61" s="1" t="s">
        <v>1</v>
      </c>
      <c r="E61" s="9">
        <v>58.502000000000002</v>
      </c>
      <c r="F61" s="3">
        <v>17.093299999999999</v>
      </c>
      <c r="H61" s="7">
        <f>E61</f>
        <v>58.502000000000002</v>
      </c>
      <c r="J61" s="9">
        <f>J71/E71*E63</f>
        <v>36.321932099517049</v>
      </c>
      <c r="K61" s="2">
        <f>+J61*F61</f>
        <v>620.86168195667472</v>
      </c>
      <c r="L61" s="2">
        <f>+K33+K61</f>
        <v>620.86168195667472</v>
      </c>
    </row>
    <row r="62" spans="2:12">
      <c r="C62" s="1">
        <v>29</v>
      </c>
      <c r="D62" s="1" t="s">
        <v>2</v>
      </c>
      <c r="E62" s="9">
        <v>2347.326</v>
      </c>
      <c r="F62" s="3">
        <v>18.249700000000001</v>
      </c>
      <c r="H62" s="7">
        <f>+H61+E62</f>
        <v>2405.828</v>
      </c>
    </row>
    <row r="63" spans="2:12">
      <c r="C63" s="1">
        <v>30</v>
      </c>
      <c r="D63" s="1" t="s">
        <v>4</v>
      </c>
      <c r="E63" s="9">
        <v>2404</v>
      </c>
      <c r="F63" s="3">
        <v>18.5245</v>
      </c>
      <c r="H63" s="7">
        <f>+H62-E63</f>
        <v>1.8279999999999745</v>
      </c>
      <c r="I63" s="7" t="s">
        <v>11</v>
      </c>
    </row>
    <row r="64" spans="2:12">
      <c r="C64" s="1">
        <v>92</v>
      </c>
      <c r="D64" s="1" t="s">
        <v>2</v>
      </c>
      <c r="E64" s="9">
        <v>2922.36</v>
      </c>
      <c r="F64" s="3">
        <v>18.3931</v>
      </c>
      <c r="H64" s="7">
        <f t="shared" ref="H64" si="3">+H63+E64</f>
        <v>2924.1880000000001</v>
      </c>
      <c r="J64">
        <f>E66</f>
        <v>44.945</v>
      </c>
      <c r="K64" s="11"/>
    </row>
    <row r="65" spans="2:11">
      <c r="C65" s="1">
        <v>100</v>
      </c>
      <c r="D65" s="1" t="s">
        <v>4</v>
      </c>
      <c r="E65" s="9">
        <v>2879.2429999999999</v>
      </c>
      <c r="F65" s="3">
        <v>18.063199999999998</v>
      </c>
      <c r="H65" s="7">
        <f>+H64-E65</f>
        <v>44.945000000000164</v>
      </c>
    </row>
    <row r="66" spans="2:11">
      <c r="C66" s="1">
        <v>170</v>
      </c>
      <c r="D66" s="1" t="s">
        <v>4</v>
      </c>
      <c r="E66" s="9">
        <v>44.945</v>
      </c>
      <c r="F66" s="3">
        <v>19.726199999999999</v>
      </c>
      <c r="H66" s="7">
        <f>+H65-E66</f>
        <v>1.6342482922482304E-13</v>
      </c>
      <c r="I66" t="s">
        <v>7</v>
      </c>
    </row>
    <row r="67" spans="2:11">
      <c r="E67" s="9"/>
    </row>
    <row r="68" spans="2:11">
      <c r="B68" s="4" t="s">
        <v>8</v>
      </c>
      <c r="E68" s="9"/>
    </row>
    <row r="69" spans="2:11">
      <c r="C69" s="1">
        <v>26</v>
      </c>
      <c r="D69" s="1" t="s">
        <v>2</v>
      </c>
      <c r="E69" s="9">
        <v>249.34710000000001</v>
      </c>
      <c r="F69" s="3">
        <v>139.71</v>
      </c>
      <c r="H69" s="7">
        <f>E69</f>
        <v>249.34710000000001</v>
      </c>
    </row>
    <row r="70" spans="2:11">
      <c r="C70" s="1">
        <v>28</v>
      </c>
      <c r="D70" s="1" t="s">
        <v>4</v>
      </c>
      <c r="E70" s="9">
        <v>249</v>
      </c>
      <c r="F70" s="3">
        <v>172.04</v>
      </c>
      <c r="H70" s="7">
        <f>+H69-E70</f>
        <v>0.34710000000001173</v>
      </c>
      <c r="I70" t="s">
        <v>9</v>
      </c>
    </row>
    <row r="71" spans="2:11">
      <c r="C71" s="1">
        <v>31</v>
      </c>
      <c r="D71" s="1" t="s">
        <v>2</v>
      </c>
      <c r="E71" s="9">
        <v>264.18049999999999</v>
      </c>
      <c r="F71" s="3">
        <v>168.57</v>
      </c>
      <c r="H71" s="7">
        <f t="shared" ref="H71" si="4">+H70+E71</f>
        <v>264.52760000000001</v>
      </c>
      <c r="J71" s="7">
        <f>J64/E64*E72</f>
        <v>3.9914917566624228</v>
      </c>
      <c r="K71" s="11"/>
    </row>
    <row r="72" spans="2:11">
      <c r="C72" s="1">
        <v>91</v>
      </c>
      <c r="D72" s="1" t="s">
        <v>4</v>
      </c>
      <c r="E72" s="9">
        <v>259.52999999999997</v>
      </c>
      <c r="F72" s="3">
        <v>207.11</v>
      </c>
      <c r="H72" s="7">
        <f>+H71-E72</f>
        <v>4.997600000000034</v>
      </c>
      <c r="I72" s="7" t="s">
        <v>10</v>
      </c>
    </row>
    <row r="74" spans="2:11">
      <c r="F74">
        <f>+E69-E70</f>
        <v>0.34710000000001173</v>
      </c>
    </row>
    <row r="79" spans="2:11">
      <c r="E79" s="9">
        <v>0.53749999999999998</v>
      </c>
      <c r="F79" s="3">
        <v>1860.4650999999999</v>
      </c>
      <c r="H79" s="2">
        <f>+E79*F79</f>
        <v>999.99999124999988</v>
      </c>
    </row>
    <row r="80" spans="2:11">
      <c r="E80">
        <v>19.652200000000001</v>
      </c>
      <c r="F80">
        <v>19.79</v>
      </c>
      <c r="H80" s="2">
        <f t="shared" ref="H80:H81" si="5">+E80*F80</f>
        <v>388.91703799999999</v>
      </c>
    </row>
    <row r="81" spans="5:8">
      <c r="E81">
        <v>11.195600000000001</v>
      </c>
      <c r="F81">
        <v>17.093299999999999</v>
      </c>
      <c r="H81" s="2">
        <f t="shared" si="5"/>
        <v>191.36974948</v>
      </c>
    </row>
    <row r="82" spans="5:8">
      <c r="H82" s="10">
        <f>SUM(H79:H81)</f>
        <v>1580.2867787299997</v>
      </c>
    </row>
  </sheetData>
  <pageMargins left="0.7" right="0.7" top="0.75" bottom="0.75" header="0.3" footer="0.3"/>
  <pageSetup paperSize="9" orientation="portrait" horizontalDpi="0" verticalDpi="0" r:id="rId1"/>
  <ignoredErrors>
    <ignoredError sqref="H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S91"/>
  <sheetViews>
    <sheetView zoomScale="115" zoomScaleNormal="115" workbookViewId="0">
      <pane ySplit="1" topLeftCell="A23" activePane="bottomLeft" state="frozen"/>
      <selection pane="bottomLeft" activeCell="F15" sqref="A13:F15"/>
    </sheetView>
  </sheetViews>
  <sheetFormatPr defaultRowHeight="14.5"/>
  <cols>
    <col min="1" max="1" width="3.36328125" customWidth="1"/>
    <col min="2" max="2" width="5.26953125" customWidth="1"/>
    <col min="3" max="3" width="11" customWidth="1"/>
    <col min="4" max="4" width="9.81640625" hidden="1" customWidth="1"/>
    <col min="5" max="5" width="11.36328125" customWidth="1"/>
    <col min="6" max="6" width="12.08984375" customWidth="1"/>
    <col min="7" max="7" width="23.81640625" customWidth="1"/>
    <col min="11" max="11" width="4.81640625" style="22" customWidth="1"/>
    <col min="12" max="12" width="6.08984375" customWidth="1"/>
    <col min="13" max="13" width="11.7265625" customWidth="1"/>
    <col min="14" max="14" width="11.54296875" hidden="1" customWidth="1"/>
    <col min="19" max="19" width="11" customWidth="1"/>
  </cols>
  <sheetData>
    <row r="1" spans="1:19">
      <c r="B1" s="8" t="s">
        <v>18</v>
      </c>
      <c r="E1" s="8" t="s">
        <v>5</v>
      </c>
      <c r="F1" s="8" t="s">
        <v>6</v>
      </c>
      <c r="G1" s="8" t="s">
        <v>19</v>
      </c>
      <c r="L1" s="8" t="s">
        <v>18</v>
      </c>
      <c r="O1" s="8" t="s">
        <v>5</v>
      </c>
      <c r="P1" s="8" t="s">
        <v>6</v>
      </c>
      <c r="R1" s="4" t="s">
        <v>23</v>
      </c>
      <c r="S1" s="8" t="s">
        <v>19</v>
      </c>
    </row>
    <row r="2" spans="1:19">
      <c r="B2">
        <v>16</v>
      </c>
      <c r="E2" s="15">
        <v>1.4295</v>
      </c>
      <c r="F2" s="16">
        <v>18.260000000000002</v>
      </c>
      <c r="G2" s="17">
        <f>E2*F2</f>
        <v>26.102670000000003</v>
      </c>
      <c r="L2">
        <v>16</v>
      </c>
      <c r="M2" t="s">
        <v>1</v>
      </c>
      <c r="N2">
        <v>41166</v>
      </c>
      <c r="O2">
        <v>547.64509999999996</v>
      </c>
      <c r="P2">
        <v>18.260000000000002</v>
      </c>
      <c r="R2">
        <v>1.4296191629248933</v>
      </c>
      <c r="S2" s="2">
        <f>R2*P2</f>
        <v>26.104845915008553</v>
      </c>
    </row>
    <row r="3" spans="1:19">
      <c r="B3">
        <v>16</v>
      </c>
      <c r="E3" s="15">
        <v>2.5590000000000002</v>
      </c>
      <c r="F3" s="16">
        <v>18.260000000000002</v>
      </c>
      <c r="G3" s="17">
        <f t="shared" ref="G3:G6" si="0">E3*F3</f>
        <v>46.727340000000005</v>
      </c>
      <c r="L3">
        <v>16</v>
      </c>
      <c r="M3" t="s">
        <v>1</v>
      </c>
      <c r="N3">
        <v>41166</v>
      </c>
      <c r="O3">
        <v>547.64509999999996</v>
      </c>
      <c r="P3">
        <v>18.260000000000002</v>
      </c>
      <c r="R3">
        <v>2.5590150810256929</v>
      </c>
      <c r="S3" s="2">
        <f t="shared" ref="S3:S6" si="1">R3*P3</f>
        <v>46.727615379529155</v>
      </c>
    </row>
    <row r="4" spans="1:19">
      <c r="B4">
        <v>27</v>
      </c>
      <c r="E4" s="15">
        <v>58.502000000000002</v>
      </c>
      <c r="F4" s="16">
        <v>17.093299999999999</v>
      </c>
      <c r="G4" s="17">
        <f t="shared" si="0"/>
        <v>999.99223659999996</v>
      </c>
      <c r="L4">
        <v>27</v>
      </c>
      <c r="M4" t="s">
        <v>1</v>
      </c>
      <c r="N4">
        <v>41521</v>
      </c>
      <c r="O4">
        <v>58.502000000000002</v>
      </c>
      <c r="P4">
        <v>17.093299999999999</v>
      </c>
      <c r="R4">
        <v>58.502000000000002</v>
      </c>
      <c r="S4" s="2">
        <f t="shared" si="1"/>
        <v>999.99223659999996</v>
      </c>
    </row>
    <row r="5" spans="1:19">
      <c r="B5">
        <v>16</v>
      </c>
      <c r="E5" s="15">
        <v>547.64509999999996</v>
      </c>
      <c r="F5" s="16">
        <v>18.260000000000002</v>
      </c>
      <c r="G5" s="17">
        <f t="shared" si="0"/>
        <v>9999.9995259999996</v>
      </c>
      <c r="L5">
        <v>16</v>
      </c>
      <c r="M5" t="s">
        <v>1</v>
      </c>
      <c r="N5">
        <v>41166</v>
      </c>
      <c r="O5">
        <v>547.64509999999996</v>
      </c>
      <c r="P5">
        <v>18.260000000000002</v>
      </c>
      <c r="R5">
        <v>547.64509999999996</v>
      </c>
      <c r="S5" s="2">
        <f t="shared" si="1"/>
        <v>9999.9995259999996</v>
      </c>
    </row>
    <row r="6" spans="1:19">
      <c r="B6">
        <v>17</v>
      </c>
      <c r="E6" s="15">
        <v>317.1096</v>
      </c>
      <c r="F6" s="16">
        <v>19.79</v>
      </c>
      <c r="G6" s="17">
        <f t="shared" si="0"/>
        <v>6275.5989839999993</v>
      </c>
      <c r="L6">
        <v>17</v>
      </c>
      <c r="M6" t="s">
        <v>1</v>
      </c>
      <c r="N6">
        <v>41377</v>
      </c>
      <c r="O6">
        <v>1010.611</v>
      </c>
      <c r="P6">
        <v>19.79</v>
      </c>
      <c r="R6">
        <v>317.10923237836198</v>
      </c>
      <c r="S6" s="2">
        <f t="shared" si="1"/>
        <v>6275.5917087677835</v>
      </c>
    </row>
    <row r="7" spans="1:19">
      <c r="B7" t="s">
        <v>17</v>
      </c>
      <c r="C7" s="17"/>
      <c r="G7" s="17">
        <f>SUM(G2:G6)</f>
        <v>17348.4207566</v>
      </c>
      <c r="S7" s="2">
        <f>SUM(S2:S6)</f>
        <v>17348.415932662319</v>
      </c>
    </row>
    <row r="8" spans="1:19">
      <c r="C8" s="17"/>
      <c r="G8" s="17"/>
    </row>
    <row r="9" spans="1:19">
      <c r="C9" s="17"/>
      <c r="H9" s="21" t="s">
        <v>22</v>
      </c>
      <c r="L9" s="8" t="s">
        <v>18</v>
      </c>
      <c r="O9" s="8" t="s">
        <v>5</v>
      </c>
      <c r="P9" s="8" t="s">
        <v>6</v>
      </c>
      <c r="Q9" s="4" t="s">
        <v>16</v>
      </c>
      <c r="R9" s="21" t="s">
        <v>22</v>
      </c>
    </row>
    <row r="10" spans="1:19">
      <c r="A10" s="4" t="s">
        <v>20</v>
      </c>
      <c r="I10" s="18"/>
      <c r="K10" s="23" t="s">
        <v>20</v>
      </c>
    </row>
    <row r="11" spans="1:19" ht="14" customHeight="1">
      <c r="B11" s="1">
        <v>173</v>
      </c>
      <c r="C11" s="1" t="s">
        <v>2</v>
      </c>
      <c r="D11" s="19">
        <v>43525</v>
      </c>
      <c r="E11" s="20">
        <v>1778.69</v>
      </c>
      <c r="F11" s="3">
        <v>17.05</v>
      </c>
      <c r="H11" s="5">
        <f>E11</f>
        <v>1778.69</v>
      </c>
      <c r="L11" s="1">
        <v>173</v>
      </c>
      <c r="M11" s="1" t="s">
        <v>2</v>
      </c>
      <c r="N11" s="19">
        <v>43525</v>
      </c>
      <c r="O11" s="20">
        <v>1778.69</v>
      </c>
      <c r="P11" s="3">
        <v>17.05</v>
      </c>
      <c r="R11" s="5">
        <f>O11</f>
        <v>1778.69</v>
      </c>
    </row>
    <row r="13" spans="1:19">
      <c r="A13" s="4" t="s">
        <v>21</v>
      </c>
      <c r="I13" s="18"/>
      <c r="K13" s="22">
        <v>16</v>
      </c>
      <c r="L13" s="1">
        <v>172</v>
      </c>
      <c r="M13" s="1" t="s">
        <v>4</v>
      </c>
      <c r="N13" s="19">
        <v>43525</v>
      </c>
      <c r="O13" s="1">
        <v>80.752799999999993</v>
      </c>
      <c r="P13" s="3">
        <v>375.55</v>
      </c>
      <c r="R13">
        <f>O13</f>
        <v>80.752799999999993</v>
      </c>
    </row>
    <row r="14" spans="1:19">
      <c r="B14" s="1">
        <v>101</v>
      </c>
      <c r="C14" s="1" t="s">
        <v>2</v>
      </c>
      <c r="D14" s="19">
        <v>42279</v>
      </c>
      <c r="E14" s="1">
        <v>160.75280000000001</v>
      </c>
      <c r="F14" s="3">
        <v>323.52999999999997</v>
      </c>
      <c r="H14">
        <f>E15</f>
        <v>80.752799999999993</v>
      </c>
      <c r="L14" s="1">
        <v>101</v>
      </c>
      <c r="M14" s="1" t="s">
        <v>2</v>
      </c>
      <c r="N14" s="19">
        <v>42279</v>
      </c>
      <c r="O14" s="1">
        <v>160.75280000000001</v>
      </c>
      <c r="P14" s="3">
        <v>323.52999999999997</v>
      </c>
      <c r="R14">
        <f>R13</f>
        <v>80.752799999999993</v>
      </c>
    </row>
    <row r="15" spans="1:19">
      <c r="B15" s="1">
        <v>172</v>
      </c>
      <c r="C15" s="1" t="s">
        <v>4</v>
      </c>
      <c r="D15" s="19">
        <v>43525</v>
      </c>
      <c r="E15" s="1">
        <v>80.752799999999993</v>
      </c>
      <c r="F15" s="3">
        <v>375.55</v>
      </c>
    </row>
    <row r="16" spans="1:19">
      <c r="G16" s="5"/>
      <c r="K16" s="22">
        <v>1</v>
      </c>
      <c r="L16" s="1">
        <v>100</v>
      </c>
      <c r="M16" s="1" t="s">
        <v>4</v>
      </c>
      <c r="N16" s="19">
        <v>42279</v>
      </c>
      <c r="O16" s="20">
        <v>2879.2429999999999</v>
      </c>
      <c r="P16" s="3">
        <v>18.063199999999998</v>
      </c>
      <c r="R16">
        <f>R14/O14*O16</f>
        <v>1446.3631994615332</v>
      </c>
    </row>
    <row r="17" spans="1:19">
      <c r="A17" s="4" t="s">
        <v>3</v>
      </c>
      <c r="G17" s="5"/>
      <c r="H17" s="5"/>
      <c r="L17" s="1">
        <v>29</v>
      </c>
      <c r="M17" s="1" t="s">
        <v>2</v>
      </c>
      <c r="N17" s="19">
        <v>41794</v>
      </c>
      <c r="O17" s="20">
        <v>2347.326</v>
      </c>
      <c r="P17" s="3">
        <v>18.249700000000001</v>
      </c>
      <c r="Q17" s="5"/>
      <c r="R17" s="5">
        <f>G20</f>
        <v>1.8279999999999745</v>
      </c>
    </row>
    <row r="18" spans="1:19">
      <c r="B18" s="1">
        <v>27</v>
      </c>
      <c r="C18" s="1" t="s">
        <v>1</v>
      </c>
      <c r="D18" s="19">
        <v>41521</v>
      </c>
      <c r="E18" s="1">
        <v>58.502000000000002</v>
      </c>
      <c r="F18" s="3">
        <v>17.093299999999999</v>
      </c>
      <c r="G18">
        <f>E18</f>
        <v>58.502000000000002</v>
      </c>
    </row>
    <row r="19" spans="1:19">
      <c r="B19" s="1">
        <v>29</v>
      </c>
      <c r="C19" s="1" t="s">
        <v>2</v>
      </c>
      <c r="D19" s="19">
        <v>41794</v>
      </c>
      <c r="E19" s="20">
        <v>2347.326</v>
      </c>
      <c r="F19" s="3">
        <v>18.249700000000001</v>
      </c>
      <c r="G19" s="5">
        <f>G18+E19</f>
        <v>2405.828</v>
      </c>
      <c r="H19" s="5">
        <f>G20</f>
        <v>1.8279999999999745</v>
      </c>
      <c r="K19" s="22">
        <v>5</v>
      </c>
      <c r="L19" s="1">
        <v>28</v>
      </c>
      <c r="M19" s="1" t="s">
        <v>4</v>
      </c>
      <c r="N19" s="19">
        <v>41794</v>
      </c>
      <c r="O19" s="1">
        <v>249</v>
      </c>
      <c r="P19" s="3">
        <v>172.04</v>
      </c>
      <c r="R19">
        <f>R17/O17*O19</f>
        <v>0.19391085856842791</v>
      </c>
    </row>
    <row r="20" spans="1:19">
      <c r="B20" s="1">
        <v>30</v>
      </c>
      <c r="C20" s="1" t="s">
        <v>4</v>
      </c>
      <c r="D20" s="19">
        <v>41971</v>
      </c>
      <c r="E20" s="20">
        <v>2404</v>
      </c>
      <c r="F20" s="3">
        <v>18.5245</v>
      </c>
      <c r="G20" s="5">
        <f>G19-E20</f>
        <v>1.8279999999999745</v>
      </c>
      <c r="L20" s="1">
        <v>26</v>
      </c>
      <c r="M20" s="1" t="s">
        <v>2</v>
      </c>
      <c r="N20" s="19">
        <v>41439</v>
      </c>
      <c r="O20" s="1">
        <v>249.34710000000001</v>
      </c>
      <c r="P20" s="3">
        <v>139.71</v>
      </c>
      <c r="R20">
        <f>R19</f>
        <v>0.19391085856842791</v>
      </c>
    </row>
    <row r="21" spans="1:19">
      <c r="B21" s="1">
        <v>92</v>
      </c>
      <c r="C21" s="1" t="s">
        <v>2</v>
      </c>
      <c r="D21" s="19">
        <v>42202</v>
      </c>
      <c r="E21" s="20">
        <v>2922.36</v>
      </c>
      <c r="F21" s="3">
        <v>18.3931</v>
      </c>
      <c r="G21" s="15">
        <f t="shared" ref="G21" si="2">G20+E21</f>
        <v>2924.1880000000001</v>
      </c>
      <c r="H21" s="5">
        <f>H22-H19</f>
        <v>1444.5351994615332</v>
      </c>
    </row>
    <row r="22" spans="1:19">
      <c r="B22" s="1">
        <v>100</v>
      </c>
      <c r="C22" s="1" t="s">
        <v>4</v>
      </c>
      <c r="D22" s="19">
        <v>42279</v>
      </c>
      <c r="E22" s="20">
        <v>2879.2429999999999</v>
      </c>
      <c r="F22" s="3">
        <v>18.063199999999998</v>
      </c>
      <c r="G22" s="5">
        <f>G21-E22</f>
        <v>44.945000000000164</v>
      </c>
      <c r="H22">
        <f>H14/E14*E22</f>
        <v>1446.3631994615332</v>
      </c>
      <c r="K22" s="22">
        <v>11</v>
      </c>
      <c r="L22" s="1">
        <v>25</v>
      </c>
      <c r="M22" s="1" t="s">
        <v>4</v>
      </c>
      <c r="N22" s="19">
        <v>41439</v>
      </c>
      <c r="O22" s="20">
        <v>1838.3261</v>
      </c>
      <c r="P22" s="3">
        <v>18.95</v>
      </c>
      <c r="R22">
        <f>R20/O20*O22</f>
        <v>1.4296191629248933</v>
      </c>
    </row>
    <row r="23" spans="1:19">
      <c r="B23" s="1">
        <v>170</v>
      </c>
      <c r="C23" s="1" t="s">
        <v>4</v>
      </c>
      <c r="D23" s="19">
        <v>43516</v>
      </c>
      <c r="E23" s="1">
        <v>44.945</v>
      </c>
      <c r="F23" s="3">
        <v>19.726199999999999</v>
      </c>
      <c r="G23" s="5">
        <f>G22-E23</f>
        <v>1.6342482922482304E-13</v>
      </c>
      <c r="L23" s="1">
        <v>16</v>
      </c>
      <c r="M23" s="1" t="s">
        <v>1</v>
      </c>
      <c r="N23" s="19">
        <v>41166</v>
      </c>
      <c r="O23" s="1">
        <v>547.64509999999996</v>
      </c>
      <c r="P23" s="3">
        <v>18.260000000000002</v>
      </c>
      <c r="R23" s="9">
        <f>R22</f>
        <v>1.4296191629248933</v>
      </c>
      <c r="S23" s="2">
        <f>R23*P23</f>
        <v>26.104845915008553</v>
      </c>
    </row>
    <row r="25" spans="1:19">
      <c r="A25" s="4" t="s">
        <v>8</v>
      </c>
      <c r="K25" s="22">
        <v>1</v>
      </c>
      <c r="L25" s="1">
        <v>92</v>
      </c>
      <c r="M25" t="s">
        <v>2</v>
      </c>
      <c r="N25" s="19">
        <v>42202</v>
      </c>
      <c r="O25" s="20">
        <v>2922.36</v>
      </c>
      <c r="P25" s="3">
        <v>18.3931</v>
      </c>
      <c r="R25" s="5">
        <f>R16-R17</f>
        <v>1444.5351994615332</v>
      </c>
    </row>
    <row r="26" spans="1:19">
      <c r="B26" s="1">
        <v>26</v>
      </c>
      <c r="C26" s="1" t="s">
        <v>2</v>
      </c>
      <c r="D26" s="19">
        <v>41439</v>
      </c>
      <c r="E26" s="1">
        <v>249.34710000000001</v>
      </c>
      <c r="F26" s="3">
        <v>139.71</v>
      </c>
      <c r="G26">
        <f>E26</f>
        <v>249.34710000000001</v>
      </c>
      <c r="H26">
        <f>H27</f>
        <v>0.19391085856842791</v>
      </c>
    </row>
    <row r="27" spans="1:19">
      <c r="B27" s="1">
        <v>28</v>
      </c>
      <c r="C27" s="1" t="s">
        <v>4</v>
      </c>
      <c r="D27" s="19">
        <v>41794</v>
      </c>
      <c r="E27" s="1">
        <v>249</v>
      </c>
      <c r="F27" s="3">
        <v>172.04</v>
      </c>
      <c r="G27" s="5">
        <f>G26-E27</f>
        <v>0.34710000000001173</v>
      </c>
      <c r="H27">
        <f>H19/E19*E27</f>
        <v>0.19391085856842791</v>
      </c>
      <c r="K27" s="22">
        <v>5</v>
      </c>
      <c r="L27" s="1">
        <v>91</v>
      </c>
      <c r="M27" s="1" t="s">
        <v>4</v>
      </c>
      <c r="N27" s="19">
        <v>42201</v>
      </c>
      <c r="O27" s="1">
        <v>259.52999999999997</v>
      </c>
      <c r="P27" s="3">
        <v>207.11</v>
      </c>
      <c r="R27">
        <f>R25/O25*O27</f>
        <v>128.28680255555497</v>
      </c>
    </row>
    <row r="28" spans="1:19">
      <c r="B28" s="1">
        <v>31</v>
      </c>
      <c r="C28" s="1" t="s">
        <v>2</v>
      </c>
      <c r="D28" s="19">
        <v>41976</v>
      </c>
      <c r="E28" s="1">
        <v>264.18049999999999</v>
      </c>
      <c r="F28" s="3">
        <v>168.57</v>
      </c>
      <c r="G28" s="5">
        <f t="shared" ref="G28" si="3">G27+E28</f>
        <v>264.52760000000001</v>
      </c>
      <c r="L28" s="1">
        <v>26</v>
      </c>
      <c r="M28" s="1" t="s">
        <v>2</v>
      </c>
      <c r="N28" s="19">
        <v>41439</v>
      </c>
      <c r="O28" s="1">
        <v>249.34710000000001</v>
      </c>
      <c r="P28" s="3">
        <v>139.71</v>
      </c>
      <c r="R28" s="5">
        <f>G27</f>
        <v>0.34710000000001173</v>
      </c>
    </row>
    <row r="29" spans="1:19">
      <c r="B29" s="1">
        <v>91</v>
      </c>
      <c r="C29" s="1" t="s">
        <v>4</v>
      </c>
      <c r="D29" s="19">
        <v>42201</v>
      </c>
      <c r="E29" s="1">
        <v>259.52999999999997</v>
      </c>
      <c r="F29" s="3">
        <v>207.11</v>
      </c>
      <c r="G29" s="5">
        <f>G28-E29</f>
        <v>4.997600000000034</v>
      </c>
    </row>
    <row r="30" spans="1:19">
      <c r="B30" s="1"/>
      <c r="C30" s="1"/>
      <c r="D30" s="19"/>
      <c r="E30" s="1"/>
      <c r="F30" s="3"/>
      <c r="K30" s="22">
        <v>11</v>
      </c>
      <c r="L30" s="1">
        <v>25</v>
      </c>
      <c r="M30" s="1" t="s">
        <v>4</v>
      </c>
      <c r="N30" s="19">
        <v>41439</v>
      </c>
      <c r="O30" s="20">
        <v>1838.3261</v>
      </c>
      <c r="P30" s="3">
        <v>18.95</v>
      </c>
      <c r="R30">
        <f>R28/O28*O30</f>
        <v>2.5590150810256929</v>
      </c>
    </row>
    <row r="31" spans="1:19">
      <c r="A31" s="4" t="s">
        <v>12</v>
      </c>
      <c r="B31" s="1"/>
      <c r="C31" s="1"/>
      <c r="D31" s="19"/>
      <c r="E31" s="1"/>
      <c r="F31" s="3"/>
      <c r="L31" s="1">
        <v>16</v>
      </c>
      <c r="M31" s="1" t="s">
        <v>1</v>
      </c>
      <c r="N31" s="19">
        <v>41166</v>
      </c>
      <c r="O31" s="1">
        <v>547.64509999999996</v>
      </c>
      <c r="P31" s="3">
        <v>18.260000000000002</v>
      </c>
      <c r="R31" s="9">
        <f>R30</f>
        <v>2.5590150810256929</v>
      </c>
      <c r="S31" s="2">
        <f>R31*P31</f>
        <v>46.727615379529155</v>
      </c>
    </row>
    <row r="32" spans="1:19">
      <c r="B32" s="1">
        <v>16</v>
      </c>
      <c r="C32" s="1" t="s">
        <v>1</v>
      </c>
      <c r="D32" s="19">
        <v>41166</v>
      </c>
      <c r="E32" s="1">
        <v>547.64509999999996</v>
      </c>
      <c r="F32" s="3">
        <v>18.260000000000002</v>
      </c>
      <c r="G32">
        <f>E32</f>
        <v>547.64509999999996</v>
      </c>
    </row>
    <row r="33" spans="1:19">
      <c r="B33" s="1">
        <v>17</v>
      </c>
      <c r="C33" s="1" t="s">
        <v>1</v>
      </c>
      <c r="D33" s="19">
        <v>41377</v>
      </c>
      <c r="E33" s="20">
        <v>1010.611</v>
      </c>
      <c r="F33" s="3">
        <v>19.79</v>
      </c>
      <c r="G33" s="5">
        <f>G32+E33</f>
        <v>1558.2561000000001</v>
      </c>
      <c r="K33" s="22">
        <v>5</v>
      </c>
      <c r="L33" s="1">
        <v>31</v>
      </c>
      <c r="M33" s="1" t="s">
        <v>2</v>
      </c>
      <c r="N33" s="19">
        <v>41976</v>
      </c>
      <c r="O33" s="1">
        <v>264.18049999999999</v>
      </c>
      <c r="P33" s="3">
        <v>168.57</v>
      </c>
      <c r="R33" s="5">
        <f>R27-R28</f>
        <v>127.93970255555496</v>
      </c>
    </row>
    <row r="34" spans="1:19">
      <c r="B34" s="1">
        <v>24</v>
      </c>
      <c r="C34" s="1" t="s">
        <v>2</v>
      </c>
      <c r="D34" s="19">
        <v>41383</v>
      </c>
      <c r="E34" s="1">
        <v>280.07</v>
      </c>
      <c r="F34" s="3">
        <v>19.68</v>
      </c>
      <c r="G34" s="5">
        <f t="shared" ref="G34" si="4">G33+E34</f>
        <v>1838.3261</v>
      </c>
    </row>
    <row r="35" spans="1:19">
      <c r="B35" s="1">
        <v>25</v>
      </c>
      <c r="C35" s="1" t="s">
        <v>4</v>
      </c>
      <c r="D35" s="19">
        <v>41439</v>
      </c>
      <c r="E35" s="20">
        <v>1838.3261</v>
      </c>
      <c r="F35" s="3">
        <v>18.95</v>
      </c>
      <c r="G35" s="5">
        <f>G34-E35</f>
        <v>0</v>
      </c>
      <c r="K35" s="22">
        <v>1</v>
      </c>
      <c r="L35" s="1">
        <v>30</v>
      </c>
      <c r="M35" s="1" t="s">
        <v>4</v>
      </c>
      <c r="N35" s="19">
        <v>41971</v>
      </c>
      <c r="O35" s="20">
        <v>2404</v>
      </c>
      <c r="P35" s="3">
        <v>18.5245</v>
      </c>
      <c r="R35">
        <f>R33/O33*O35</f>
        <v>1164.2306867598256</v>
      </c>
    </row>
    <row r="36" spans="1:19">
      <c r="B36" s="1"/>
      <c r="C36" s="1"/>
      <c r="D36" s="19"/>
      <c r="E36" s="20"/>
      <c r="F36" s="3"/>
      <c r="L36" s="1">
        <v>27</v>
      </c>
      <c r="M36" s="1" t="s">
        <v>1</v>
      </c>
      <c r="N36" s="19">
        <v>41521</v>
      </c>
      <c r="O36" s="1">
        <v>58.502000000000002</v>
      </c>
      <c r="P36" s="3">
        <v>17.093299999999999</v>
      </c>
      <c r="R36" s="9">
        <f>O36</f>
        <v>58.502000000000002</v>
      </c>
      <c r="S36" s="2">
        <f>R36*P36</f>
        <v>999.99223659999996</v>
      </c>
    </row>
    <row r="37" spans="1:19">
      <c r="A37" s="4" t="s">
        <v>14</v>
      </c>
      <c r="L37" s="1">
        <v>29</v>
      </c>
      <c r="M37" s="1" t="s">
        <v>2</v>
      </c>
      <c r="N37" s="19">
        <v>41794</v>
      </c>
      <c r="O37" s="20">
        <v>2347.326</v>
      </c>
      <c r="P37" s="3">
        <v>18.249700000000001</v>
      </c>
      <c r="R37">
        <f>R35-R36</f>
        <v>1105.7286867598257</v>
      </c>
    </row>
    <row r="38" spans="1:19">
      <c r="B38" s="1">
        <v>15</v>
      </c>
      <c r="C38" s="1" t="s">
        <v>1</v>
      </c>
      <c r="D38" s="19">
        <v>36841</v>
      </c>
      <c r="E38" s="1">
        <v>679.64</v>
      </c>
      <c r="F38" s="3">
        <v>22.992000000000001</v>
      </c>
      <c r="G38">
        <f>E38</f>
        <v>679.64</v>
      </c>
    </row>
    <row r="39" spans="1:19">
      <c r="B39" s="1">
        <v>23</v>
      </c>
      <c r="C39" s="1" t="s">
        <v>4</v>
      </c>
      <c r="D39" s="19">
        <v>41383</v>
      </c>
      <c r="E39" s="1">
        <v>679.64</v>
      </c>
      <c r="F39" s="3">
        <v>8.1097999999999999</v>
      </c>
      <c r="G39" s="5">
        <f>G38-E39</f>
        <v>0</v>
      </c>
      <c r="K39" s="22">
        <v>5</v>
      </c>
      <c r="L39" s="1">
        <v>28</v>
      </c>
      <c r="M39" s="1" t="s">
        <v>4</v>
      </c>
      <c r="N39" s="19">
        <v>41794</v>
      </c>
      <c r="O39" s="1">
        <v>249</v>
      </c>
      <c r="P39" s="3">
        <v>172.04</v>
      </c>
      <c r="R39">
        <f>R37/O37*O39</f>
        <v>117.29365371626974</v>
      </c>
    </row>
    <row r="40" spans="1:19">
      <c r="B40" s="1"/>
      <c r="C40" s="1"/>
      <c r="D40" s="19"/>
      <c r="E40" s="1"/>
      <c r="F40" s="3"/>
      <c r="L40" s="1">
        <v>26</v>
      </c>
      <c r="M40" s="1" t="s">
        <v>2</v>
      </c>
      <c r="N40" s="19">
        <v>41439</v>
      </c>
      <c r="O40" s="1">
        <v>249.34710000000001</v>
      </c>
      <c r="P40" s="3">
        <v>139.71</v>
      </c>
      <c r="R40">
        <f>R39</f>
        <v>117.29365371626974</v>
      </c>
    </row>
    <row r="41" spans="1:19">
      <c r="B41" s="1"/>
      <c r="C41" s="1"/>
      <c r="D41" s="19"/>
      <c r="E41" s="1"/>
      <c r="F41" s="3"/>
    </row>
    <row r="42" spans="1:19">
      <c r="K42" s="22">
        <v>11</v>
      </c>
      <c r="L42" s="1">
        <v>25</v>
      </c>
      <c r="M42" s="1" t="s">
        <v>4</v>
      </c>
      <c r="N42" s="19">
        <v>41439</v>
      </c>
      <c r="O42" s="20">
        <v>1838.3261</v>
      </c>
      <c r="P42" s="3">
        <v>18.95</v>
      </c>
      <c r="R42">
        <f>R40/O40*O42</f>
        <v>864.75433237836194</v>
      </c>
    </row>
    <row r="43" spans="1:19">
      <c r="L43" s="1">
        <v>16</v>
      </c>
      <c r="M43" s="1" t="s">
        <v>1</v>
      </c>
      <c r="N43" s="19">
        <v>41166</v>
      </c>
      <c r="O43" s="1">
        <v>547.64509999999996</v>
      </c>
      <c r="P43" s="3">
        <v>18.260000000000002</v>
      </c>
      <c r="R43" s="9">
        <f>O43</f>
        <v>547.64509999999996</v>
      </c>
      <c r="S43" s="2">
        <f>R43*P43</f>
        <v>9999.9995259999996</v>
      </c>
    </row>
    <row r="44" spans="1:19">
      <c r="L44" s="1">
        <v>17</v>
      </c>
      <c r="M44" s="1" t="s">
        <v>1</v>
      </c>
      <c r="N44" s="19">
        <v>41377</v>
      </c>
      <c r="O44" s="20">
        <v>1010.611</v>
      </c>
      <c r="P44" s="3">
        <v>19.79</v>
      </c>
      <c r="Q44" s="5"/>
      <c r="R44" s="9">
        <f>R42-R43</f>
        <v>317.10923237836198</v>
      </c>
      <c r="S44" s="2">
        <f>R44*P44</f>
        <v>6275.5917087677835</v>
      </c>
    </row>
    <row r="45" spans="1:19">
      <c r="S45" s="21">
        <f>SUM(S11:S44)</f>
        <v>17348.415932662319</v>
      </c>
    </row>
    <row r="57" spans="14:14">
      <c r="N57" t="s">
        <v>32</v>
      </c>
    </row>
    <row r="58" spans="14:14">
      <c r="N58" t="s">
        <v>33</v>
      </c>
    </row>
    <row r="59" spans="14:14">
      <c r="N59" t="s">
        <v>35</v>
      </c>
    </row>
    <row r="60" spans="14:14">
      <c r="N60" t="s">
        <v>37</v>
      </c>
    </row>
    <row r="61" spans="14:14">
      <c r="N61" t="s">
        <v>39</v>
      </c>
    </row>
    <row r="62" spans="14:14">
      <c r="N62" t="s">
        <v>41</v>
      </c>
    </row>
    <row r="63" spans="14:14">
      <c r="N63" t="s">
        <v>43</v>
      </c>
    </row>
    <row r="64" spans="14:14">
      <c r="N64">
        <v>10000</v>
      </c>
    </row>
    <row r="65" spans="5:14">
      <c r="N65" t="s">
        <v>47</v>
      </c>
    </row>
    <row r="66" spans="5:14">
      <c r="N66" t="s">
        <v>49</v>
      </c>
    </row>
    <row r="67" spans="5:14">
      <c r="N67" s="14">
        <v>999999887946</v>
      </c>
    </row>
    <row r="68" spans="5:14">
      <c r="N68" t="s">
        <v>54</v>
      </c>
    </row>
    <row r="69" spans="5:14">
      <c r="N69">
        <v>1000</v>
      </c>
    </row>
    <row r="70" spans="5:14">
      <c r="N70">
        <v>1000</v>
      </c>
    </row>
    <row r="71" spans="5:14">
      <c r="N71">
        <v>1000</v>
      </c>
    </row>
    <row r="72" spans="5:14">
      <c r="N72" s="14">
        <v>49998343368</v>
      </c>
    </row>
    <row r="75" spans="5:14">
      <c r="E75" s="4"/>
      <c r="F75" s="4"/>
      <c r="G75" s="4"/>
      <c r="H75" s="4"/>
      <c r="I75" s="4"/>
      <c r="J75" s="10"/>
      <c r="K75" s="2"/>
    </row>
    <row r="76" spans="5:14">
      <c r="F76" s="18"/>
      <c r="G76" s="25"/>
      <c r="H76" s="14"/>
      <c r="I76" s="14"/>
      <c r="J76" s="2"/>
      <c r="K76" s="2"/>
    </row>
    <row r="77" spans="5:14">
      <c r="F77" s="25"/>
      <c r="H77" s="14"/>
      <c r="I77" s="14"/>
      <c r="J77" s="2"/>
      <c r="K77" s="2"/>
    </row>
    <row r="78" spans="5:14">
      <c r="G78" s="25"/>
      <c r="H78" s="14"/>
      <c r="I78" s="14"/>
      <c r="J78" s="2"/>
      <c r="K78" s="2"/>
    </row>
    <row r="79" spans="5:14">
      <c r="F79" s="25"/>
      <c r="G79" s="25"/>
      <c r="H79" s="14"/>
      <c r="I79" s="14"/>
      <c r="J79" s="2"/>
      <c r="K79" s="2"/>
    </row>
    <row r="80" spans="5:14">
      <c r="F80" s="25"/>
      <c r="I80" s="14"/>
      <c r="J80" s="2"/>
      <c r="K80" s="2"/>
    </row>
    <row r="81" spans="6:11">
      <c r="G81" s="25"/>
      <c r="I81" s="14"/>
      <c r="J81" s="2"/>
      <c r="K81" s="2"/>
    </row>
    <row r="82" spans="6:11">
      <c r="F82" s="25"/>
      <c r="I82" s="14"/>
      <c r="J82" s="2"/>
      <c r="K82" s="2"/>
    </row>
    <row r="83" spans="6:11">
      <c r="H83" s="14"/>
      <c r="I83" s="14"/>
      <c r="J83" s="2"/>
      <c r="K83" s="2"/>
    </row>
    <row r="84" spans="6:11">
      <c r="G84" s="25"/>
      <c r="H84" s="14"/>
      <c r="I84" s="14"/>
      <c r="J84" s="2"/>
      <c r="K84" s="2"/>
    </row>
    <row r="85" spans="6:11">
      <c r="F85" s="25"/>
      <c r="H85" s="14"/>
      <c r="I85" s="14"/>
      <c r="J85" s="2"/>
      <c r="K85" s="2"/>
    </row>
    <row r="86" spans="6:11">
      <c r="H86" s="14"/>
      <c r="I86" s="14"/>
      <c r="J86" s="14"/>
      <c r="K86" s="2"/>
    </row>
    <row r="87" spans="6:11">
      <c r="I87" s="14"/>
      <c r="J87" s="2"/>
      <c r="K87" s="2"/>
    </row>
    <row r="88" spans="6:11">
      <c r="G88" s="25"/>
      <c r="H88" s="14"/>
      <c r="I88" s="14"/>
      <c r="J88" s="2"/>
      <c r="K88" s="2"/>
    </row>
    <row r="89" spans="6:11">
      <c r="F89" s="25"/>
      <c r="H89" s="14"/>
      <c r="I89" s="14"/>
      <c r="J89" s="2"/>
      <c r="K89" s="2"/>
    </row>
    <row r="90" spans="6:11">
      <c r="I90" s="14"/>
      <c r="J90" s="2"/>
      <c r="K90" s="2"/>
    </row>
    <row r="91" spans="6:11">
      <c r="H91" s="14"/>
      <c r="I91" s="14"/>
      <c r="J91" s="14"/>
    </row>
  </sheetData>
  <pageMargins left="0.7" right="0.7" top="0.75" bottom="0.75" header="0.3" footer="0.3"/>
  <pageSetup paperSize="9" orientation="portrait" horizontalDpi="0" verticalDpi="0" r:id="rId1"/>
  <ignoredErrors>
    <ignoredError sqref="G2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211"/>
  <sheetViews>
    <sheetView topLeftCell="A180" zoomScale="115" zoomScaleNormal="115" workbookViewId="0">
      <selection activeCell="D193" sqref="D193:D196"/>
    </sheetView>
  </sheetViews>
  <sheetFormatPr defaultRowHeight="14.5"/>
  <cols>
    <col min="2" max="2" width="30.54296875" customWidth="1"/>
    <col min="3" max="3" width="13.26953125" customWidth="1"/>
    <col min="4" max="4" width="12.1796875" customWidth="1"/>
    <col min="5" max="5" width="17" customWidth="1"/>
    <col min="6" max="6" width="12.1796875" customWidth="1"/>
    <col min="7" max="7" width="11.81640625" customWidth="1"/>
    <col min="8" max="8" width="12.453125" customWidth="1"/>
    <col min="9" max="9" width="11.54296875" customWidth="1"/>
    <col min="10" max="10" width="10.08984375" customWidth="1"/>
  </cols>
  <sheetData>
    <row r="1" spans="1:9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b">
        <v>1</v>
      </c>
      <c r="G1" s="22" t="s">
        <v>30</v>
      </c>
      <c r="H1" s="14">
        <v>307198591800247</v>
      </c>
      <c r="I1" t="s">
        <v>31</v>
      </c>
    </row>
    <row r="2" spans="1:9">
      <c r="A2" t="s">
        <v>24</v>
      </c>
      <c r="B2" t="s">
        <v>25</v>
      </c>
      <c r="C2" t="s">
        <v>26</v>
      </c>
      <c r="D2" s="25">
        <v>41039</v>
      </c>
      <c r="E2" t="s">
        <v>28</v>
      </c>
      <c r="F2" t="b">
        <v>1</v>
      </c>
      <c r="G2" s="22" t="s">
        <v>30</v>
      </c>
      <c r="H2" s="14">
        <v>315534895021488</v>
      </c>
      <c r="I2" t="s">
        <v>31</v>
      </c>
    </row>
    <row r="3" spans="1:9">
      <c r="A3" t="s">
        <v>24</v>
      </c>
      <c r="B3" t="s">
        <v>25</v>
      </c>
      <c r="C3" t="s">
        <v>26</v>
      </c>
      <c r="D3" t="s">
        <v>34</v>
      </c>
      <c r="E3" t="s">
        <v>28</v>
      </c>
      <c r="F3" t="b">
        <v>1</v>
      </c>
      <c r="G3" s="22" t="s">
        <v>30</v>
      </c>
      <c r="H3" s="14">
        <v>382867830328462</v>
      </c>
      <c r="I3" t="s">
        <v>31</v>
      </c>
    </row>
    <row r="4" spans="1:9">
      <c r="A4" t="s">
        <v>24</v>
      </c>
      <c r="B4" t="s">
        <v>36</v>
      </c>
      <c r="C4" t="s">
        <v>26</v>
      </c>
      <c r="D4" s="25">
        <v>41433.000011574077</v>
      </c>
      <c r="E4" t="s">
        <v>28</v>
      </c>
      <c r="F4" t="b">
        <v>1</v>
      </c>
      <c r="G4" s="22" t="s">
        <v>30</v>
      </c>
      <c r="H4" s="14">
        <v>250441225303005</v>
      </c>
      <c r="I4" t="s">
        <v>31</v>
      </c>
    </row>
    <row r="5" spans="1:9">
      <c r="A5" t="s">
        <v>24</v>
      </c>
      <c r="B5" t="s">
        <v>38</v>
      </c>
      <c r="C5" t="s">
        <v>26</v>
      </c>
      <c r="D5" s="25">
        <v>41465</v>
      </c>
      <c r="E5" t="s">
        <v>28</v>
      </c>
      <c r="F5" t="b">
        <v>1</v>
      </c>
      <c r="G5" s="22" t="s">
        <v>30</v>
      </c>
      <c r="H5" s="14">
        <v>353571428571429</v>
      </c>
      <c r="I5" t="s">
        <v>31</v>
      </c>
    </row>
    <row r="6" spans="1:9">
      <c r="A6" t="s">
        <v>24</v>
      </c>
      <c r="B6" t="s">
        <v>38</v>
      </c>
      <c r="C6" t="s">
        <v>26</v>
      </c>
      <c r="D6" t="s">
        <v>40</v>
      </c>
      <c r="E6" t="s">
        <v>28</v>
      </c>
      <c r="F6" t="b">
        <v>1</v>
      </c>
      <c r="G6" s="22" t="s">
        <v>30</v>
      </c>
      <c r="H6" s="14">
        <v>370763013495477</v>
      </c>
      <c r="I6" t="s">
        <v>31</v>
      </c>
    </row>
    <row r="7" spans="1:9">
      <c r="A7" t="s">
        <v>24</v>
      </c>
      <c r="B7" t="s">
        <v>42</v>
      </c>
      <c r="C7" t="s">
        <v>26</v>
      </c>
      <c r="D7" s="25">
        <v>36841</v>
      </c>
      <c r="E7" t="s">
        <v>28</v>
      </c>
      <c r="F7" t="b">
        <v>1</v>
      </c>
      <c r="G7" s="22" t="s">
        <v>30</v>
      </c>
      <c r="H7" s="14">
        <v>229920399034783</v>
      </c>
      <c r="I7" t="s">
        <v>31</v>
      </c>
    </row>
    <row r="8" spans="1:9">
      <c r="A8" t="s">
        <v>24</v>
      </c>
      <c r="B8" t="s">
        <v>44</v>
      </c>
      <c r="C8" t="s">
        <v>26</v>
      </c>
      <c r="D8" t="s">
        <v>45</v>
      </c>
      <c r="E8" t="s">
        <v>28</v>
      </c>
      <c r="F8" t="b">
        <v>1</v>
      </c>
      <c r="G8" s="22" t="s">
        <v>30</v>
      </c>
      <c r="H8" s="14">
        <v>182599999986122</v>
      </c>
      <c r="I8" t="s">
        <v>31</v>
      </c>
    </row>
    <row r="9" spans="1:9">
      <c r="A9" t="s">
        <v>24</v>
      </c>
      <c r="B9" t="s">
        <v>44</v>
      </c>
      <c r="C9" t="s">
        <v>26</v>
      </c>
      <c r="D9" t="s">
        <v>46</v>
      </c>
      <c r="E9" t="s">
        <v>28</v>
      </c>
      <c r="F9" t="b">
        <v>1</v>
      </c>
      <c r="G9" s="22" t="s">
        <v>30</v>
      </c>
      <c r="H9" s="14">
        <v>197899983277443</v>
      </c>
      <c r="I9" t="s">
        <v>31</v>
      </c>
    </row>
    <row r="10" spans="1:9">
      <c r="A10" t="s">
        <v>24</v>
      </c>
      <c r="B10" t="s">
        <v>48</v>
      </c>
      <c r="C10" t="s">
        <v>26</v>
      </c>
      <c r="D10" s="25">
        <v>41373</v>
      </c>
      <c r="E10" t="s">
        <v>28</v>
      </c>
      <c r="F10" t="b">
        <v>1</v>
      </c>
      <c r="G10" s="22" t="s">
        <v>30</v>
      </c>
      <c r="H10" s="14">
        <v>170932617688284</v>
      </c>
      <c r="I10" t="s">
        <v>31</v>
      </c>
    </row>
    <row r="11" spans="1:9">
      <c r="A11" t="s">
        <v>24</v>
      </c>
      <c r="B11" t="s">
        <v>50</v>
      </c>
      <c r="C11" t="s">
        <v>26</v>
      </c>
      <c r="D11" t="s">
        <v>51</v>
      </c>
      <c r="E11" t="s">
        <v>28</v>
      </c>
      <c r="F11" t="b">
        <v>1</v>
      </c>
      <c r="G11" s="22" t="s">
        <v>30</v>
      </c>
      <c r="H11" s="14">
        <v>19974</v>
      </c>
      <c r="I11" t="s">
        <v>31</v>
      </c>
    </row>
    <row r="12" spans="1:9">
      <c r="A12" t="s">
        <v>24</v>
      </c>
      <c r="B12" t="s">
        <v>52</v>
      </c>
      <c r="C12" t="s">
        <v>26</v>
      </c>
      <c r="D12" t="s">
        <v>53</v>
      </c>
      <c r="E12" t="s">
        <v>28</v>
      </c>
      <c r="F12" t="b">
        <v>1</v>
      </c>
      <c r="G12" s="22" t="s">
        <v>30</v>
      </c>
      <c r="H12" s="14">
        <v>54956456043956</v>
      </c>
      <c r="I12" t="s">
        <v>31</v>
      </c>
    </row>
    <row r="13" spans="1:9">
      <c r="A13" t="s">
        <v>24</v>
      </c>
      <c r="B13" t="s">
        <v>55</v>
      </c>
      <c r="C13" t="s">
        <v>26</v>
      </c>
      <c r="D13" t="s">
        <v>56</v>
      </c>
      <c r="E13" t="s">
        <v>28</v>
      </c>
      <c r="F13" t="b">
        <v>1</v>
      </c>
      <c r="G13" s="22" t="s">
        <v>30</v>
      </c>
      <c r="H13" s="14">
        <v>130299950486019</v>
      </c>
      <c r="I13" t="s">
        <v>31</v>
      </c>
    </row>
    <row r="14" spans="1:9">
      <c r="A14" t="s">
        <v>24</v>
      </c>
      <c r="B14" t="s">
        <v>57</v>
      </c>
      <c r="C14" t="s">
        <v>26</v>
      </c>
      <c r="D14" s="25">
        <v>42071.795451388891</v>
      </c>
      <c r="E14" t="s">
        <v>28</v>
      </c>
      <c r="F14" t="b">
        <v>1</v>
      </c>
      <c r="G14" s="22" t="s">
        <v>30</v>
      </c>
      <c r="H14" s="14">
        <v>890900343887533</v>
      </c>
      <c r="I14" t="s">
        <v>31</v>
      </c>
    </row>
    <row r="15" spans="1:9">
      <c r="A15" t="s">
        <v>24</v>
      </c>
      <c r="B15" t="s">
        <v>58</v>
      </c>
      <c r="C15" t="s">
        <v>26</v>
      </c>
      <c r="D15" t="s">
        <v>59</v>
      </c>
      <c r="E15" t="s">
        <v>28</v>
      </c>
      <c r="F15" t="b">
        <v>1</v>
      </c>
      <c r="G15" s="22" t="s">
        <v>30</v>
      </c>
      <c r="H15" s="14">
        <v>186046511627907</v>
      </c>
      <c r="I15" t="s">
        <v>31</v>
      </c>
    </row>
    <row r="16" spans="1:9">
      <c r="A16" t="s">
        <v>24</v>
      </c>
      <c r="B16" t="s">
        <v>57</v>
      </c>
      <c r="C16" t="s">
        <v>26</v>
      </c>
      <c r="D16" t="s">
        <v>60</v>
      </c>
      <c r="E16" t="s">
        <v>28</v>
      </c>
      <c r="F16" t="b">
        <v>1</v>
      </c>
      <c r="G16" s="22" t="s">
        <v>30</v>
      </c>
      <c r="H16" s="14">
        <v>8952</v>
      </c>
      <c r="I16" t="s">
        <v>31</v>
      </c>
    </row>
    <row r="18" spans="1:7">
      <c r="A18" t="s">
        <v>18</v>
      </c>
      <c r="B18" t="s">
        <v>61</v>
      </c>
      <c r="C18" t="s">
        <v>26</v>
      </c>
      <c r="D18" t="s">
        <v>28</v>
      </c>
      <c r="E18" t="s">
        <v>29</v>
      </c>
      <c r="F18" t="s">
        <v>30</v>
      </c>
      <c r="G18" t="s">
        <v>31</v>
      </c>
    </row>
    <row r="19" spans="1:7">
      <c r="A19">
        <v>1</v>
      </c>
      <c r="B19" t="s">
        <v>25</v>
      </c>
      <c r="C19" s="18">
        <v>41172</v>
      </c>
      <c r="D19" t="b">
        <v>1</v>
      </c>
      <c r="E19">
        <v>325.52199999999999</v>
      </c>
      <c r="F19" s="2">
        <v>30.72</v>
      </c>
      <c r="G19" s="2">
        <v>9999.99</v>
      </c>
    </row>
    <row r="20" spans="1:7">
      <c r="A20">
        <v>2</v>
      </c>
      <c r="B20" t="s">
        <v>25</v>
      </c>
      <c r="C20" s="18">
        <v>41187</v>
      </c>
      <c r="D20" t="b">
        <v>1</v>
      </c>
      <c r="E20" s="5">
        <v>1267.6880000000001</v>
      </c>
      <c r="F20" s="2">
        <v>31.553000000000001</v>
      </c>
      <c r="G20" s="2">
        <v>39999.980000000003</v>
      </c>
    </row>
    <row r="21" spans="1:7">
      <c r="A21">
        <v>3</v>
      </c>
      <c r="B21" t="s">
        <v>25</v>
      </c>
      <c r="C21" s="18">
        <v>41410</v>
      </c>
      <c r="D21" t="b">
        <v>1</v>
      </c>
      <c r="E21">
        <v>522.37400000000002</v>
      </c>
      <c r="F21" s="2">
        <v>38.286999999999999</v>
      </c>
      <c r="G21" s="2">
        <v>20000.02</v>
      </c>
    </row>
    <row r="22" spans="1:7">
      <c r="A22">
        <v>7</v>
      </c>
      <c r="B22" t="s">
        <v>36</v>
      </c>
      <c r="C22" s="18">
        <v>41492</v>
      </c>
      <c r="D22" t="b">
        <v>1</v>
      </c>
      <c r="E22">
        <v>24.091999999999999</v>
      </c>
      <c r="F22" s="2">
        <v>250.441</v>
      </c>
      <c r="G22" s="2">
        <v>6033.63</v>
      </c>
    </row>
    <row r="23" spans="1:7">
      <c r="A23">
        <v>11</v>
      </c>
      <c r="B23" t="s">
        <v>38</v>
      </c>
      <c r="C23" s="18">
        <v>41554</v>
      </c>
      <c r="D23" t="b">
        <v>1</v>
      </c>
      <c r="E23">
        <v>28.28</v>
      </c>
      <c r="F23" s="2">
        <v>35.356999999999999</v>
      </c>
      <c r="G23" s="2">
        <v>999.9</v>
      </c>
    </row>
    <row r="24" spans="1:7">
      <c r="A24">
        <v>12</v>
      </c>
      <c r="B24" t="s">
        <v>38</v>
      </c>
      <c r="C24" s="18">
        <v>41565</v>
      </c>
      <c r="D24" t="b">
        <v>1</v>
      </c>
      <c r="E24">
        <v>134.86000000000001</v>
      </c>
      <c r="F24" s="2">
        <v>37.076000000000001</v>
      </c>
      <c r="G24" s="2">
        <v>5000.1099999999997</v>
      </c>
    </row>
    <row r="25" spans="1:7">
      <c r="A25">
        <v>15</v>
      </c>
      <c r="B25" t="s">
        <v>42</v>
      </c>
      <c r="C25" s="18">
        <v>36841</v>
      </c>
      <c r="D25" t="b">
        <v>1</v>
      </c>
      <c r="E25">
        <v>679.64</v>
      </c>
      <c r="F25" s="2">
        <v>22.992000000000001</v>
      </c>
      <c r="G25" s="2">
        <v>15626.31</v>
      </c>
    </row>
    <row r="26" spans="1:7">
      <c r="A26">
        <v>16</v>
      </c>
      <c r="B26" t="s">
        <v>44</v>
      </c>
      <c r="C26" s="18">
        <v>41166</v>
      </c>
      <c r="D26" t="b">
        <v>1</v>
      </c>
      <c r="E26">
        <v>547.64509999999996</v>
      </c>
      <c r="F26" s="2">
        <v>18.260000000000002</v>
      </c>
      <c r="G26" s="2">
        <v>10000</v>
      </c>
    </row>
    <row r="27" spans="1:7">
      <c r="A27">
        <v>17</v>
      </c>
      <c r="B27" t="s">
        <v>44</v>
      </c>
      <c r="C27" s="18">
        <v>41377</v>
      </c>
      <c r="D27" t="b">
        <v>1</v>
      </c>
      <c r="E27" s="5">
        <v>1010.611</v>
      </c>
      <c r="F27" s="2">
        <v>19.79</v>
      </c>
      <c r="G27" s="2">
        <v>19999.990000000002</v>
      </c>
    </row>
    <row r="28" spans="1:7">
      <c r="A28">
        <v>27</v>
      </c>
      <c r="B28" t="s">
        <v>48</v>
      </c>
      <c r="C28" s="18">
        <v>41521</v>
      </c>
      <c r="D28" t="b">
        <v>1</v>
      </c>
      <c r="E28">
        <v>58.502000000000002</v>
      </c>
      <c r="F28" s="2">
        <v>17.093</v>
      </c>
      <c r="G28" s="2">
        <v>999.99</v>
      </c>
    </row>
    <row r="29" spans="1:7">
      <c r="A29">
        <v>32</v>
      </c>
      <c r="B29" t="s">
        <v>50</v>
      </c>
      <c r="C29" s="18">
        <v>41166</v>
      </c>
      <c r="D29" t="b">
        <v>1</v>
      </c>
      <c r="E29" s="5">
        <v>5006.5078999999996</v>
      </c>
      <c r="F29" s="2">
        <v>1.9970000000000001</v>
      </c>
      <c r="G29" s="2">
        <v>10000</v>
      </c>
    </row>
    <row r="30" spans="1:7">
      <c r="A30">
        <v>35</v>
      </c>
      <c r="B30" t="s">
        <v>52</v>
      </c>
      <c r="C30" s="18">
        <v>41201</v>
      </c>
      <c r="D30" t="b">
        <v>1</v>
      </c>
      <c r="E30">
        <v>21.84</v>
      </c>
      <c r="F30" s="2">
        <v>549.56500000000005</v>
      </c>
      <c r="G30" s="2">
        <v>12002.49</v>
      </c>
    </row>
    <row r="31" spans="1:7">
      <c r="A31">
        <v>37</v>
      </c>
      <c r="B31" t="s">
        <v>55</v>
      </c>
      <c r="C31" s="18">
        <v>41534</v>
      </c>
      <c r="D31" t="b">
        <v>1</v>
      </c>
      <c r="E31">
        <v>76.745999999999995</v>
      </c>
      <c r="F31" s="2">
        <v>13.03</v>
      </c>
      <c r="G31" s="2">
        <v>1000</v>
      </c>
    </row>
    <row r="32" spans="1:7">
      <c r="A32">
        <v>98</v>
      </c>
      <c r="B32" t="s">
        <v>57</v>
      </c>
      <c r="C32" s="18">
        <v>42219</v>
      </c>
      <c r="D32" t="b">
        <v>1</v>
      </c>
      <c r="E32">
        <v>112.246</v>
      </c>
      <c r="F32" s="2">
        <v>8.9090000000000007</v>
      </c>
      <c r="G32" s="2">
        <v>1000</v>
      </c>
    </row>
    <row r="33" spans="1:9">
      <c r="A33">
        <v>108</v>
      </c>
      <c r="B33" t="s">
        <v>58</v>
      </c>
      <c r="C33" s="18">
        <v>42387</v>
      </c>
      <c r="D33" t="b">
        <v>1</v>
      </c>
      <c r="E33">
        <v>0.53749999999999998</v>
      </c>
      <c r="F33" s="2">
        <v>1860.4649999999999</v>
      </c>
      <c r="G33" s="2">
        <v>1000</v>
      </c>
    </row>
    <row r="34" spans="1:9">
      <c r="A34">
        <v>122</v>
      </c>
      <c r="B34" t="s">
        <v>57</v>
      </c>
      <c r="C34" s="18">
        <v>42635</v>
      </c>
      <c r="D34" t="b">
        <v>1</v>
      </c>
      <c r="E34" s="5">
        <v>5585.1589999999997</v>
      </c>
      <c r="F34" s="2">
        <v>8.952</v>
      </c>
      <c r="G34" s="2">
        <v>49998.34</v>
      </c>
    </row>
    <row r="35" spans="1:9">
      <c r="G35" s="2"/>
    </row>
    <row r="37" spans="1:9">
      <c r="B37" t="s">
        <v>71</v>
      </c>
    </row>
    <row r="38" spans="1:9">
      <c r="A38" t="s">
        <v>69</v>
      </c>
      <c r="B38" s="24">
        <f xml:space="preserve"> 1588.63+103773.08</f>
        <v>105361.71</v>
      </c>
    </row>
    <row r="39" spans="1:9">
      <c r="A39" t="s">
        <v>70</v>
      </c>
      <c r="B39" s="24">
        <v>105946.75924746</v>
      </c>
    </row>
    <row r="40" spans="1:9">
      <c r="A40" t="s">
        <v>72</v>
      </c>
      <c r="B40" s="17">
        <f>+B38-B39</f>
        <v>-585.04924745998869</v>
      </c>
    </row>
    <row r="42" spans="1:9">
      <c r="B42" s="8" t="s">
        <v>62</v>
      </c>
      <c r="C42" s="8" t="s">
        <v>63</v>
      </c>
      <c r="D42" s="8" t="s">
        <v>64</v>
      </c>
      <c r="E42" s="8" t="s">
        <v>74</v>
      </c>
      <c r="F42" s="8" t="s">
        <v>68</v>
      </c>
      <c r="G42" s="8" t="s">
        <v>63</v>
      </c>
      <c r="H42" s="8" t="s">
        <v>64</v>
      </c>
      <c r="I42" s="8" t="s">
        <v>74</v>
      </c>
    </row>
    <row r="43" spans="1:9">
      <c r="B43" t="s">
        <v>25</v>
      </c>
      <c r="C43" s="17">
        <v>522.41999999999996</v>
      </c>
      <c r="D43" s="17">
        <v>3756.62</v>
      </c>
      <c r="E43" s="17">
        <v>522.41</v>
      </c>
      <c r="F43" s="26">
        <v>486.3</v>
      </c>
      <c r="G43" s="17">
        <f t="shared" ref="G43:G51" si="0">$F43-C43</f>
        <v>-36.119999999999948</v>
      </c>
      <c r="H43" s="17">
        <f t="shared" ref="H43:H51" si="1">$F43-D43</f>
        <v>-3270.3199999999997</v>
      </c>
      <c r="I43" s="17">
        <f t="shared" ref="I43:I51" si="2">$F43-E43</f>
        <v>-36.109999999999957</v>
      </c>
    </row>
    <row r="44" spans="1:9">
      <c r="B44" t="s">
        <v>38</v>
      </c>
      <c r="C44" s="17">
        <v>116.42</v>
      </c>
      <c r="D44" s="17">
        <v>5000.1099999999997</v>
      </c>
      <c r="E44" s="17">
        <v>116.42</v>
      </c>
      <c r="F44" s="26">
        <v>116.41</v>
      </c>
      <c r="G44" s="17">
        <f t="shared" si="0"/>
        <v>-1.0000000000005116E-2</v>
      </c>
      <c r="H44" s="17">
        <f t="shared" si="1"/>
        <v>-4883.7</v>
      </c>
      <c r="I44" s="17">
        <f t="shared" si="2"/>
        <v>-1.0000000000005116E-2</v>
      </c>
    </row>
    <row r="45" spans="1:9">
      <c r="B45" t="s">
        <v>65</v>
      </c>
      <c r="C45" s="17">
        <v>777.36</v>
      </c>
      <c r="D45" s="17">
        <v>46544.39</v>
      </c>
      <c r="E45" s="17">
        <v>880.17</v>
      </c>
      <c r="F45" s="26">
        <v>777.35</v>
      </c>
      <c r="G45" s="17">
        <f t="shared" si="0"/>
        <v>-9.9999999999909051E-3</v>
      </c>
      <c r="H45" s="17">
        <f t="shared" si="1"/>
        <v>-45767.040000000001</v>
      </c>
      <c r="I45" s="17">
        <f t="shared" si="2"/>
        <v>-102.81999999999994</v>
      </c>
    </row>
    <row r="46" spans="1:9">
      <c r="B46" t="s">
        <v>36</v>
      </c>
      <c r="C46" s="17">
        <v>6511.21</v>
      </c>
      <c r="D46" s="17">
        <v>10267.83</v>
      </c>
      <c r="E46" s="17">
        <v>6511.22</v>
      </c>
      <c r="F46" s="26">
        <v>6132.72</v>
      </c>
      <c r="G46" s="17">
        <f t="shared" si="0"/>
        <v>-378.48999999999978</v>
      </c>
      <c r="H46" s="17">
        <f t="shared" si="1"/>
        <v>-4135.1099999999997</v>
      </c>
      <c r="I46" s="17">
        <f t="shared" si="2"/>
        <v>-378.5</v>
      </c>
    </row>
    <row r="47" spans="1:9">
      <c r="B47" t="s">
        <v>57</v>
      </c>
      <c r="C47" s="17">
        <v>50998.34</v>
      </c>
      <c r="D47" s="17">
        <v>50998.34</v>
      </c>
      <c r="E47" s="17">
        <v>50998.34</v>
      </c>
      <c r="F47" s="26">
        <v>51000</v>
      </c>
      <c r="G47" s="17">
        <f t="shared" si="0"/>
        <v>1.6600000000034925</v>
      </c>
      <c r="H47" s="17">
        <f t="shared" si="1"/>
        <v>1.6600000000034925</v>
      </c>
      <c r="I47" s="17">
        <f t="shared" si="2"/>
        <v>1.6600000000034925</v>
      </c>
    </row>
    <row r="48" spans="1:9">
      <c r="B48" t="s">
        <v>66</v>
      </c>
      <c r="C48" s="17">
        <v>17179.77</v>
      </c>
      <c r="D48" s="17">
        <v>45265.67</v>
      </c>
      <c r="E48" s="17">
        <v>22416.11</v>
      </c>
      <c r="F48" s="26">
        <v>17922.04</v>
      </c>
      <c r="G48" s="17">
        <f t="shared" si="0"/>
        <v>742.27000000000044</v>
      </c>
      <c r="H48" s="17">
        <f t="shared" si="1"/>
        <v>-27343.629999999997</v>
      </c>
      <c r="I48" s="17">
        <f t="shared" si="2"/>
        <v>-4494.07</v>
      </c>
    </row>
    <row r="49" spans="1:9">
      <c r="B49" t="s">
        <v>58</v>
      </c>
      <c r="C49" s="17">
        <v>1613.6</v>
      </c>
      <c r="D49" s="17">
        <v>1580.29</v>
      </c>
      <c r="E49" s="17">
        <v>1703.02</v>
      </c>
      <c r="F49" s="26">
        <v>1588.63</v>
      </c>
      <c r="G49" s="17">
        <f t="shared" si="0"/>
        <v>-24.9699999999998</v>
      </c>
      <c r="H49" s="17">
        <f t="shared" si="1"/>
        <v>8.3400000000001455</v>
      </c>
      <c r="I49" s="17">
        <f t="shared" si="2"/>
        <v>-114.38999999999987</v>
      </c>
    </row>
    <row r="50" spans="1:9">
      <c r="B50" t="s">
        <v>67</v>
      </c>
      <c r="C50" s="17">
        <v>17348.419999999998</v>
      </c>
      <c r="D50" s="17">
        <v>27337.119999999999</v>
      </c>
      <c r="E50" s="17">
        <v>22627.07</v>
      </c>
      <c r="F50" s="26">
        <v>27338.26</v>
      </c>
      <c r="G50" s="17">
        <f t="shared" si="0"/>
        <v>9989.84</v>
      </c>
      <c r="H50" s="17">
        <f t="shared" si="1"/>
        <v>1.1399999999994179</v>
      </c>
      <c r="I50" s="17">
        <f t="shared" si="2"/>
        <v>4711.1899999999987</v>
      </c>
    </row>
    <row r="51" spans="1:9">
      <c r="B51" s="4" t="s">
        <v>73</v>
      </c>
      <c r="C51" s="21">
        <f>SUM(C43:C50)</f>
        <v>95067.540000000008</v>
      </c>
      <c r="D51" s="21">
        <f>SUM(D43:D50)</f>
        <v>190750.37</v>
      </c>
      <c r="E51" s="21">
        <f>SUM(E43:E50)</f>
        <v>105774.76000000001</v>
      </c>
      <c r="F51" s="27">
        <f>SUM(F43:F50)</f>
        <v>105361.71</v>
      </c>
      <c r="G51" s="17">
        <f t="shared" si="0"/>
        <v>10294.169999999998</v>
      </c>
      <c r="H51" s="17">
        <f t="shared" si="1"/>
        <v>-85388.659999999989</v>
      </c>
      <c r="I51" s="17">
        <f t="shared" si="2"/>
        <v>-413.05000000000291</v>
      </c>
    </row>
    <row r="52" spans="1:9">
      <c r="B52" s="4" t="s">
        <v>75</v>
      </c>
      <c r="C52" s="21">
        <f>$F51-C51</f>
        <v>10294.169999999998</v>
      </c>
      <c r="D52" s="21">
        <f>$F51-D51</f>
        <v>-85388.659999999989</v>
      </c>
      <c r="E52" s="21">
        <f>$F51-E51</f>
        <v>-413.05000000000291</v>
      </c>
      <c r="G52" s="14"/>
    </row>
    <row r="53" spans="1:9">
      <c r="E53" s="14"/>
      <c r="G53" s="14"/>
    </row>
    <row r="54" spans="1:9">
      <c r="A54">
        <v>101</v>
      </c>
      <c r="B54">
        <v>1</v>
      </c>
      <c r="C54">
        <v>16</v>
      </c>
      <c r="D54">
        <v>0</v>
      </c>
      <c r="E54">
        <v>100</v>
      </c>
      <c r="F54">
        <v>160.75280000000001</v>
      </c>
      <c r="G54">
        <v>280.20139999999998</v>
      </c>
      <c r="H54" s="17">
        <f>G54+I48</f>
        <v>-4213.8685999999998</v>
      </c>
    </row>
    <row r="55" spans="1:9">
      <c r="A55">
        <v>172</v>
      </c>
      <c r="B55">
        <v>1</v>
      </c>
      <c r="C55">
        <v>16</v>
      </c>
      <c r="D55">
        <v>1</v>
      </c>
      <c r="E55">
        <v>173</v>
      </c>
      <c r="F55">
        <v>80.752799999999993</v>
      </c>
      <c r="G55">
        <v>280.20139999999998</v>
      </c>
    </row>
    <row r="56" spans="1:9">
      <c r="A56">
        <v>173</v>
      </c>
      <c r="B56">
        <v>1</v>
      </c>
      <c r="C56">
        <v>27</v>
      </c>
      <c r="D56">
        <v>0</v>
      </c>
      <c r="E56" s="14">
        <v>172</v>
      </c>
      <c r="F56" s="14">
        <v>1778.69</v>
      </c>
      <c r="G56">
        <v>12.7212</v>
      </c>
      <c r="H56" s="17">
        <f>G56+I50</f>
        <v>4723.9111999999986</v>
      </c>
    </row>
    <row r="57" spans="1:9">
      <c r="E57" s="14"/>
      <c r="F57" s="14"/>
      <c r="H57" s="17"/>
    </row>
    <row r="58" spans="1:9">
      <c r="E58" s="14"/>
      <c r="F58" s="8" t="s">
        <v>132</v>
      </c>
      <c r="G58" s="8" t="s">
        <v>132</v>
      </c>
    </row>
    <row r="59" spans="1:9">
      <c r="B59" s="4" t="s">
        <v>62</v>
      </c>
      <c r="C59" s="8" t="s">
        <v>63</v>
      </c>
      <c r="D59" s="8" t="s">
        <v>76</v>
      </c>
      <c r="E59" s="8" t="s">
        <v>68</v>
      </c>
      <c r="F59" s="8" t="s">
        <v>63</v>
      </c>
      <c r="G59" s="8" t="s">
        <v>76</v>
      </c>
    </row>
    <row r="60" spans="1:9">
      <c r="B60" t="s">
        <v>25</v>
      </c>
      <c r="C60" s="2">
        <v>522.41999999999996</v>
      </c>
      <c r="D60" s="2">
        <v>522.41</v>
      </c>
      <c r="E60" s="26">
        <v>486.3</v>
      </c>
      <c r="F60" s="17">
        <f t="shared" ref="F60:F67" si="3">$E60-C60</f>
        <v>-36.119999999999948</v>
      </c>
      <c r="G60" s="17">
        <f t="shared" ref="G60:G67" si="4">$E60-D60</f>
        <v>-36.109999999999957</v>
      </c>
      <c r="H60" s="17"/>
    </row>
    <row r="61" spans="1:9">
      <c r="B61" t="s">
        <v>38</v>
      </c>
      <c r="C61" s="2">
        <v>116.42</v>
      </c>
      <c r="D61" s="2">
        <v>116.42</v>
      </c>
      <c r="E61" s="26">
        <v>116.41</v>
      </c>
      <c r="F61" s="17">
        <f t="shared" si="3"/>
        <v>-1.0000000000005116E-2</v>
      </c>
      <c r="G61" s="17">
        <f t="shared" si="4"/>
        <v>-1.0000000000005116E-2</v>
      </c>
      <c r="H61" s="17"/>
    </row>
    <row r="62" spans="1:9">
      <c r="B62" t="s">
        <v>65</v>
      </c>
      <c r="C62" s="2">
        <v>777.36</v>
      </c>
      <c r="D62" s="2">
        <v>777.36</v>
      </c>
      <c r="E62" s="26">
        <v>777.35</v>
      </c>
      <c r="F62" s="17">
        <f t="shared" si="3"/>
        <v>-9.9999999999909051E-3</v>
      </c>
      <c r="G62" s="17">
        <f t="shared" si="4"/>
        <v>-9.9999999999909051E-3</v>
      </c>
      <c r="H62" s="17"/>
    </row>
    <row r="63" spans="1:9">
      <c r="B63" t="s">
        <v>36</v>
      </c>
      <c r="C63" s="2">
        <v>6511.21</v>
      </c>
      <c r="D63" s="2">
        <v>6511.21</v>
      </c>
      <c r="E63" s="26">
        <v>6132.72</v>
      </c>
      <c r="F63" s="17">
        <f t="shared" si="3"/>
        <v>-378.48999999999978</v>
      </c>
      <c r="G63" s="17">
        <f t="shared" si="4"/>
        <v>-378.48999999999978</v>
      </c>
      <c r="H63" s="17"/>
    </row>
    <row r="64" spans="1:9">
      <c r="B64" t="s">
        <v>57</v>
      </c>
      <c r="C64" s="2">
        <v>50998.34</v>
      </c>
      <c r="D64" s="2">
        <v>50998.34</v>
      </c>
      <c r="E64" s="26">
        <v>51000</v>
      </c>
      <c r="F64" s="17">
        <f t="shared" si="3"/>
        <v>1.6600000000034925</v>
      </c>
      <c r="G64" s="17">
        <f t="shared" si="4"/>
        <v>1.6600000000034925</v>
      </c>
      <c r="H64" s="17"/>
    </row>
    <row r="65" spans="2:10">
      <c r="B65" t="s">
        <v>66</v>
      </c>
      <c r="C65" s="2">
        <v>17179.77</v>
      </c>
      <c r="D65" s="2">
        <v>17928.55</v>
      </c>
      <c r="E65" s="26">
        <v>17922.04</v>
      </c>
      <c r="F65" s="17">
        <f t="shared" si="3"/>
        <v>742.27000000000044</v>
      </c>
      <c r="G65" s="17">
        <f t="shared" si="4"/>
        <v>-6.5099999999983993</v>
      </c>
      <c r="H65" s="17"/>
    </row>
    <row r="66" spans="2:10">
      <c r="B66" t="s">
        <v>58</v>
      </c>
      <c r="C66" s="2">
        <v>1613.6</v>
      </c>
      <c r="D66" s="2">
        <v>1580.29</v>
      </c>
      <c r="E66" s="26">
        <v>1588.63</v>
      </c>
      <c r="F66" s="17">
        <f t="shared" si="3"/>
        <v>-24.9699999999998</v>
      </c>
      <c r="G66" s="17">
        <f t="shared" si="4"/>
        <v>8.3400000000001455</v>
      </c>
      <c r="H66" s="17"/>
    </row>
    <row r="67" spans="2:10">
      <c r="B67" t="s">
        <v>67</v>
      </c>
      <c r="C67" s="2">
        <v>17348.419999999998</v>
      </c>
      <c r="D67" s="2">
        <v>27337.119999999999</v>
      </c>
      <c r="E67" s="26">
        <v>27338.26</v>
      </c>
      <c r="F67" s="17">
        <f t="shared" si="3"/>
        <v>9989.84</v>
      </c>
      <c r="G67" s="17">
        <f t="shared" si="4"/>
        <v>1.1399999999994179</v>
      </c>
      <c r="H67" s="17"/>
    </row>
    <row r="68" spans="2:10">
      <c r="B68" s="4" t="s">
        <v>73</v>
      </c>
      <c r="C68" s="10">
        <f>SUM(C60:C67)</f>
        <v>95067.540000000008</v>
      </c>
      <c r="D68" s="10">
        <f>SUM(D60:D67)</f>
        <v>105771.69999999998</v>
      </c>
      <c r="E68" s="27">
        <f>SUM(E60:E67)</f>
        <v>105361.71</v>
      </c>
      <c r="F68" s="17"/>
      <c r="G68" s="17">
        <f>SUM(G60:G67)</f>
        <v>-409.98999999999506</v>
      </c>
      <c r="I68" s="17"/>
      <c r="J68" s="17"/>
    </row>
    <row r="69" spans="2:10">
      <c r="B69" s="4" t="s">
        <v>75</v>
      </c>
      <c r="C69" s="10">
        <f>$E68-C68</f>
        <v>10294.169999999998</v>
      </c>
      <c r="D69" s="10">
        <f>$E68-D68</f>
        <v>-409.98999999997613</v>
      </c>
      <c r="E69" s="14"/>
    </row>
    <row r="70" spans="2:10">
      <c r="E70" s="14"/>
      <c r="G70" s="14"/>
    </row>
    <row r="71" spans="2:10">
      <c r="B71" s="4" t="s">
        <v>62</v>
      </c>
      <c r="C71" s="29" t="s">
        <v>63</v>
      </c>
      <c r="D71" s="29" t="s">
        <v>76</v>
      </c>
      <c r="E71" s="14"/>
      <c r="F71" s="2"/>
      <c r="G71" s="14"/>
    </row>
    <row r="72" spans="2:10">
      <c r="B72" t="s">
        <v>67</v>
      </c>
      <c r="C72" s="2">
        <v>17348.419999999998</v>
      </c>
      <c r="D72" s="2">
        <v>27337.119999999999</v>
      </c>
      <c r="E72" s="14"/>
      <c r="F72" s="2"/>
      <c r="G72" s="14"/>
    </row>
    <row r="73" spans="2:10">
      <c r="C73" s="2"/>
      <c r="D73" s="2"/>
      <c r="E73" s="14"/>
      <c r="F73" s="2"/>
      <c r="G73" s="14"/>
    </row>
    <row r="74" spans="2:10">
      <c r="C74" s="2"/>
      <c r="D74" s="2"/>
      <c r="E74" s="2"/>
      <c r="F74" s="2"/>
      <c r="G74" s="14"/>
    </row>
    <row r="75" spans="2:10">
      <c r="B75" t="s">
        <v>62</v>
      </c>
      <c r="C75" s="2" t="s">
        <v>63</v>
      </c>
      <c r="D75" s="2" t="s">
        <v>76</v>
      </c>
      <c r="E75" s="8" t="s">
        <v>68</v>
      </c>
      <c r="F75" s="8" t="s">
        <v>63</v>
      </c>
      <c r="G75" s="8" t="s">
        <v>76</v>
      </c>
    </row>
    <row r="76" spans="2:10">
      <c r="B76" t="s">
        <v>25</v>
      </c>
      <c r="C76" s="2">
        <v>6033.63</v>
      </c>
      <c r="D76" s="2">
        <v>522.41</v>
      </c>
      <c r="E76" s="26">
        <v>486.3</v>
      </c>
      <c r="F76" s="17">
        <f t="shared" ref="F76:F83" si="5">$E76-C76</f>
        <v>-5547.33</v>
      </c>
      <c r="G76" s="17">
        <f t="shared" ref="G76:G83" si="6">$E76-D76</f>
        <v>-36.109999999999957</v>
      </c>
      <c r="H76" s="2">
        <v>436.4</v>
      </c>
    </row>
    <row r="77" spans="2:10">
      <c r="B77" t="s">
        <v>38</v>
      </c>
      <c r="C77" s="2">
        <v>116.42</v>
      </c>
      <c r="D77" s="2">
        <v>116.42</v>
      </c>
      <c r="E77" s="26">
        <v>116.41</v>
      </c>
      <c r="F77" s="17">
        <f t="shared" si="5"/>
        <v>-1.0000000000005116E-2</v>
      </c>
      <c r="G77" s="17">
        <f t="shared" si="6"/>
        <v>-1.0000000000005116E-2</v>
      </c>
      <c r="H77" s="2">
        <v>13.26</v>
      </c>
    </row>
    <row r="78" spans="2:10">
      <c r="B78" t="s">
        <v>65</v>
      </c>
      <c r="C78" s="2">
        <v>85.43</v>
      </c>
      <c r="D78" s="2">
        <v>777.36</v>
      </c>
      <c r="E78" s="26">
        <v>777.35</v>
      </c>
      <c r="F78" s="17">
        <f t="shared" si="5"/>
        <v>691.92000000000007</v>
      </c>
      <c r="G78" s="17">
        <f t="shared" si="6"/>
        <v>-9.9999999999909051E-3</v>
      </c>
      <c r="H78" s="2">
        <v>289.83</v>
      </c>
    </row>
    <row r="79" spans="2:10">
      <c r="B79" t="s">
        <v>36</v>
      </c>
      <c r="C79" s="2">
        <v>854.79</v>
      </c>
      <c r="D79" s="2">
        <v>6511.21</v>
      </c>
      <c r="E79" s="26">
        <v>6132.72</v>
      </c>
      <c r="F79" s="17">
        <f t="shared" si="5"/>
        <v>5277.93</v>
      </c>
      <c r="G79" s="17">
        <f t="shared" si="6"/>
        <v>-378.48999999999978</v>
      </c>
      <c r="H79" s="2">
        <v>8573.89</v>
      </c>
    </row>
    <row r="80" spans="2:10">
      <c r="B80" t="s">
        <v>57</v>
      </c>
      <c r="C80" s="2">
        <v>50998.34</v>
      </c>
      <c r="D80" s="2">
        <v>50998.34</v>
      </c>
      <c r="E80" s="26">
        <v>51000</v>
      </c>
      <c r="F80" s="17">
        <f t="shared" si="5"/>
        <v>1.6600000000034925</v>
      </c>
      <c r="G80" s="17">
        <f t="shared" si="6"/>
        <v>1.6600000000034925</v>
      </c>
      <c r="H80" s="2">
        <v>-673.73</v>
      </c>
    </row>
    <row r="81" spans="2:7">
      <c r="B81" t="s">
        <v>66</v>
      </c>
      <c r="C81" s="2">
        <v>1583.2</v>
      </c>
      <c r="D81" s="2">
        <v>17928.55</v>
      </c>
      <c r="E81" s="26">
        <v>17922.04</v>
      </c>
      <c r="F81" s="17">
        <f t="shared" si="5"/>
        <v>16338.84</v>
      </c>
      <c r="G81" s="17">
        <f t="shared" si="6"/>
        <v>-6.5099999999983993</v>
      </c>
    </row>
    <row r="82" spans="2:7">
      <c r="B82" t="s">
        <v>58</v>
      </c>
      <c r="C82" s="2">
        <v>17.18</v>
      </c>
      <c r="D82" s="2">
        <v>1580.29</v>
      </c>
      <c r="E82" s="26">
        <v>1588.63</v>
      </c>
      <c r="F82" s="17">
        <f t="shared" si="5"/>
        <v>1571.45</v>
      </c>
      <c r="G82" s="17">
        <f t="shared" si="6"/>
        <v>8.3400000000001455</v>
      </c>
    </row>
    <row r="83" spans="2:7">
      <c r="B83" t="s">
        <v>67</v>
      </c>
      <c r="C83" s="2">
        <v>30999.98</v>
      </c>
      <c r="D83" s="2">
        <v>27337.119999999999</v>
      </c>
      <c r="E83" s="26">
        <v>27338.26</v>
      </c>
      <c r="F83" s="17">
        <f t="shared" si="5"/>
        <v>-3661.7200000000012</v>
      </c>
      <c r="G83" s="17">
        <f t="shared" si="6"/>
        <v>1.1399999999994179</v>
      </c>
    </row>
    <row r="84" spans="2:7">
      <c r="C84" s="2"/>
      <c r="D84" s="2"/>
      <c r="E84" s="27">
        <f>SUM(E76:E83)</f>
        <v>105361.71</v>
      </c>
      <c r="F84" s="17"/>
      <c r="G84" s="17">
        <f>SUM(G76:G83)</f>
        <v>-409.98999999999506</v>
      </c>
    </row>
    <row r="87" spans="2:7">
      <c r="B87" t="s">
        <v>62</v>
      </c>
      <c r="C87" s="2" t="s">
        <v>133</v>
      </c>
      <c r="D87" s="2" t="s">
        <v>134</v>
      </c>
      <c r="E87" s="2" t="s">
        <v>135</v>
      </c>
      <c r="F87" s="2"/>
      <c r="G87" s="2"/>
    </row>
    <row r="88" spans="2:7">
      <c r="B88" t="s">
        <v>25</v>
      </c>
      <c r="C88" s="2">
        <v>522.41</v>
      </c>
      <c r="D88" s="2">
        <v>958.81</v>
      </c>
      <c r="E88" s="2">
        <v>436.4</v>
      </c>
      <c r="F88" s="2"/>
      <c r="G88" s="2"/>
    </row>
    <row r="89" spans="2:7">
      <c r="B89" t="s">
        <v>38</v>
      </c>
      <c r="C89" s="2">
        <v>116.42</v>
      </c>
      <c r="D89" s="2">
        <v>129.68</v>
      </c>
      <c r="E89" s="2">
        <v>13.26</v>
      </c>
      <c r="F89" s="2"/>
      <c r="G89" s="2"/>
    </row>
    <row r="90" spans="2:7">
      <c r="B90" t="s">
        <v>65</v>
      </c>
      <c r="C90" s="2">
        <v>777.36</v>
      </c>
      <c r="D90" s="2">
        <v>1067.19</v>
      </c>
      <c r="E90" s="2">
        <v>289.83</v>
      </c>
      <c r="F90" s="2"/>
      <c r="G90" s="2"/>
    </row>
    <row r="91" spans="2:7">
      <c r="B91" t="s">
        <v>36</v>
      </c>
      <c r="C91" s="2">
        <v>6511.21</v>
      </c>
      <c r="D91" s="2">
        <v>15085.1</v>
      </c>
      <c r="E91" s="2">
        <v>8573.89</v>
      </c>
      <c r="F91" s="2"/>
      <c r="G91" s="2"/>
    </row>
    <row r="92" spans="2:7">
      <c r="B92" t="s">
        <v>57</v>
      </c>
      <c r="C92" s="2">
        <v>50998.34</v>
      </c>
      <c r="D92" s="2">
        <v>50324.61</v>
      </c>
      <c r="E92" s="2">
        <v>-673.73</v>
      </c>
      <c r="F92" s="2"/>
      <c r="G92" s="2"/>
    </row>
    <row r="93" spans="2:7">
      <c r="B93" t="s">
        <v>66</v>
      </c>
      <c r="C93" s="2">
        <v>17928.55</v>
      </c>
      <c r="D93" s="2">
        <v>32543.200000000001</v>
      </c>
      <c r="E93" s="2">
        <v>14614.65</v>
      </c>
      <c r="F93" s="2"/>
      <c r="G93" s="2"/>
    </row>
    <row r="94" spans="2:7">
      <c r="B94" t="s">
        <v>58</v>
      </c>
      <c r="C94" s="2">
        <v>1580.29</v>
      </c>
      <c r="D94" s="2">
        <v>1901.68</v>
      </c>
      <c r="E94" s="2">
        <v>321.39</v>
      </c>
      <c r="F94" s="2"/>
      <c r="G94" s="2"/>
    </row>
    <row r="95" spans="2:7">
      <c r="B95" t="s">
        <v>67</v>
      </c>
      <c r="C95" s="2">
        <v>27337.119999999999</v>
      </c>
      <c r="D95" s="2">
        <v>42955.360000000001</v>
      </c>
      <c r="E95" s="2">
        <v>15618.24</v>
      </c>
    </row>
    <row r="96" spans="2:7">
      <c r="E96" s="2">
        <f>SUM(E88:E95)</f>
        <v>39193.93</v>
      </c>
    </row>
    <row r="98" spans="2:9">
      <c r="B98" t="s">
        <v>136</v>
      </c>
      <c r="C98" s="2">
        <v>1115.17</v>
      </c>
      <c r="E98" s="17"/>
    </row>
    <row r="99" spans="2:9">
      <c r="B99" t="s">
        <v>137</v>
      </c>
      <c r="C99" s="2">
        <v>-917.12</v>
      </c>
      <c r="E99" s="17"/>
    </row>
    <row r="100" spans="2:9">
      <c r="B100" t="s">
        <v>138</v>
      </c>
      <c r="C100" s="2">
        <v>18287.22</v>
      </c>
      <c r="E100" s="17"/>
    </row>
    <row r="101" spans="2:9">
      <c r="B101" t="s">
        <v>139</v>
      </c>
      <c r="C101" s="2">
        <v>9002.19</v>
      </c>
      <c r="E101" s="17">
        <v>6511.2096040179304</v>
      </c>
      <c r="F101" s="17">
        <f>+E101-E79</f>
        <v>378.48960401793011</v>
      </c>
    </row>
    <row r="102" spans="2:9">
      <c r="B102" t="s">
        <v>140</v>
      </c>
      <c r="C102" s="2">
        <v>-673.73</v>
      </c>
      <c r="E102" s="17">
        <v>50998.34</v>
      </c>
      <c r="F102" s="17">
        <f t="shared" ref="F102:F105" si="7">+E102-E80</f>
        <v>-1.6600000000034925</v>
      </c>
    </row>
    <row r="103" spans="2:9">
      <c r="B103" t="s">
        <v>141</v>
      </c>
      <c r="C103" s="2">
        <v>10861.56</v>
      </c>
      <c r="E103" s="17">
        <v>17928.553034816901</v>
      </c>
      <c r="F103" s="17">
        <f t="shared" si="7"/>
        <v>6.5130348169004719</v>
      </c>
    </row>
    <row r="104" spans="2:9">
      <c r="B104" t="s">
        <v>142</v>
      </c>
      <c r="C104" s="2">
        <v>15.09</v>
      </c>
      <c r="E104" s="17"/>
      <c r="F104" s="17"/>
    </row>
    <row r="105" spans="2:9">
      <c r="B105" t="s">
        <v>143</v>
      </c>
      <c r="C105" s="2">
        <v>12628.7</v>
      </c>
      <c r="E105" s="17">
        <v>27337.119258676499</v>
      </c>
      <c r="F105" s="17">
        <f t="shared" si="7"/>
        <v>-1.1407413234992418</v>
      </c>
    </row>
    <row r="106" spans="2:9">
      <c r="B106" t="s">
        <v>144</v>
      </c>
      <c r="C106" s="2"/>
    </row>
    <row r="107" spans="2:9">
      <c r="C107" s="2"/>
    </row>
    <row r="108" spans="2:9">
      <c r="D108" s="8" t="s">
        <v>68</v>
      </c>
    </row>
    <row r="109" spans="2:9">
      <c r="B109" t="s">
        <v>149</v>
      </c>
      <c r="C109" s="2">
        <v>522.41</v>
      </c>
      <c r="D109" s="26">
        <v>486.3</v>
      </c>
      <c r="E109" s="17">
        <f>+C109-D109</f>
        <v>36.109999999999957</v>
      </c>
    </row>
    <row r="110" spans="2:9">
      <c r="B110" t="s">
        <v>150</v>
      </c>
      <c r="C110" s="2">
        <v>116.42</v>
      </c>
      <c r="D110" s="26">
        <v>116.41</v>
      </c>
      <c r="E110" s="17">
        <f t="shared" ref="E110:E117" si="8">+C110-D110</f>
        <v>1.0000000000005116E-2</v>
      </c>
    </row>
    <row r="111" spans="2:9">
      <c r="B111" t="s">
        <v>8</v>
      </c>
      <c r="C111" s="2">
        <v>777.36</v>
      </c>
      <c r="D111" s="26">
        <v>777.35</v>
      </c>
      <c r="E111" s="17">
        <f t="shared" si="8"/>
        <v>9.9999999999909051E-3</v>
      </c>
      <c r="H111" s="5"/>
      <c r="I111" s="5"/>
    </row>
    <row r="112" spans="2:9">
      <c r="B112" t="s">
        <v>151</v>
      </c>
      <c r="C112" s="2">
        <v>6511.21</v>
      </c>
      <c r="D112" s="26">
        <v>6132.72</v>
      </c>
      <c r="E112" s="17">
        <f t="shared" si="8"/>
        <v>378.48999999999978</v>
      </c>
      <c r="H112" s="5"/>
    </row>
    <row r="113" spans="2:8">
      <c r="B113" t="s">
        <v>152</v>
      </c>
      <c r="C113" s="2">
        <v>50998.34</v>
      </c>
      <c r="D113" s="26">
        <v>51000</v>
      </c>
      <c r="E113" s="17">
        <f t="shared" si="8"/>
        <v>-1.6600000000034925</v>
      </c>
      <c r="H113" s="5"/>
    </row>
    <row r="114" spans="2:8">
      <c r="B114" t="s">
        <v>21</v>
      </c>
      <c r="C114" s="2">
        <v>17928.55</v>
      </c>
      <c r="D114" s="26">
        <v>17922.04</v>
      </c>
      <c r="E114" s="17">
        <f t="shared" si="8"/>
        <v>6.5099999999983993</v>
      </c>
      <c r="H114" s="5"/>
    </row>
    <row r="115" spans="2:8">
      <c r="B115" t="s">
        <v>0</v>
      </c>
      <c r="C115" s="2">
        <v>1580.29</v>
      </c>
      <c r="D115" s="26">
        <v>1588.63</v>
      </c>
      <c r="E115" s="17">
        <f t="shared" si="8"/>
        <v>-8.3400000000001455</v>
      </c>
    </row>
    <row r="116" spans="2:8">
      <c r="B116" t="s">
        <v>20</v>
      </c>
      <c r="C116" s="2">
        <v>27337.119999999999</v>
      </c>
      <c r="D116" s="26">
        <v>27338.26</v>
      </c>
      <c r="E116" s="17">
        <f t="shared" si="8"/>
        <v>-1.1399999999994179</v>
      </c>
    </row>
    <row r="117" spans="2:8">
      <c r="C117" s="10">
        <f>SUM(C109:C116)</f>
        <v>105771.69999999998</v>
      </c>
      <c r="D117" s="27">
        <f>SUM(D109:D116)</f>
        <v>105361.71</v>
      </c>
      <c r="E117" s="17">
        <f t="shared" si="8"/>
        <v>409.98999999997613</v>
      </c>
      <c r="H117" s="3"/>
    </row>
    <row r="120" spans="2:8">
      <c r="B120" t="s">
        <v>154</v>
      </c>
      <c r="C120" t="s">
        <v>155</v>
      </c>
    </row>
    <row r="121" spans="2:8">
      <c r="B121" t="s">
        <v>149</v>
      </c>
      <c r="C121" s="2">
        <v>2615.21</v>
      </c>
    </row>
    <row r="122" spans="2:8">
      <c r="B122" t="s">
        <v>150</v>
      </c>
      <c r="C122" s="2">
        <v>-1847.5</v>
      </c>
    </row>
    <row r="123" spans="2:8">
      <c r="B123" t="s">
        <v>8</v>
      </c>
      <c r="C123" s="2">
        <v>289.83</v>
      </c>
    </row>
    <row r="124" spans="2:8">
      <c r="B124" t="s">
        <v>151</v>
      </c>
      <c r="C124" s="2">
        <v>8573.89</v>
      </c>
    </row>
    <row r="125" spans="2:8">
      <c r="B125" t="s">
        <v>165</v>
      </c>
      <c r="C125" s="2">
        <v>-566.27</v>
      </c>
    </row>
    <row r="126" spans="2:8">
      <c r="B126" t="s">
        <v>166</v>
      </c>
      <c r="C126" s="2">
        <v>-92.8</v>
      </c>
    </row>
    <row r="127" spans="2:8">
      <c r="B127" t="s">
        <v>152</v>
      </c>
      <c r="C127" s="2">
        <v>-673.73</v>
      </c>
    </row>
    <row r="128" spans="2:8">
      <c r="B128" t="s">
        <v>21</v>
      </c>
      <c r="C128" s="2">
        <v>14614.65</v>
      </c>
    </row>
    <row r="129" spans="2:4">
      <c r="B129" t="s">
        <v>0</v>
      </c>
      <c r="C129" s="2">
        <v>321.39</v>
      </c>
    </row>
    <row r="130" spans="2:4">
      <c r="B130" t="s">
        <v>20</v>
      </c>
      <c r="C130" s="2">
        <v>15618.24</v>
      </c>
    </row>
    <row r="131" spans="2:4">
      <c r="B131" t="s">
        <v>157</v>
      </c>
      <c r="C131" s="2">
        <v>-19760.689999999999</v>
      </c>
    </row>
    <row r="132" spans="2:4">
      <c r="B132" t="s">
        <v>158</v>
      </c>
      <c r="C132" s="2">
        <v>4942.2700000000004</v>
      </c>
    </row>
    <row r="133" spans="2:4">
      <c r="B133" t="s">
        <v>159</v>
      </c>
      <c r="C133" s="2">
        <v>59701.26</v>
      </c>
      <c r="D133">
        <f>+C133/2</f>
        <v>29850.63</v>
      </c>
    </row>
    <row r="134" spans="2:4">
      <c r="B134" t="s">
        <v>160</v>
      </c>
      <c r="C134" s="2">
        <v>1249.75</v>
      </c>
    </row>
    <row r="135" spans="2:4">
      <c r="B135" t="s">
        <v>161</v>
      </c>
      <c r="C135" s="2">
        <v>-702.99</v>
      </c>
    </row>
    <row r="136" spans="2:4">
      <c r="B136" t="s">
        <v>162</v>
      </c>
      <c r="C136" s="2">
        <v>1.62</v>
      </c>
    </row>
    <row r="137" spans="2:4">
      <c r="B137" t="s">
        <v>163</v>
      </c>
      <c r="C137" s="2">
        <v>-64.400000000000006</v>
      </c>
    </row>
    <row r="138" spans="2:4">
      <c r="B138" t="s">
        <v>164</v>
      </c>
      <c r="C138" s="2">
        <v>6673.3</v>
      </c>
    </row>
    <row r="140" spans="2:4">
      <c r="B140" t="s">
        <v>156</v>
      </c>
      <c r="C140" s="2">
        <v>61567.02</v>
      </c>
    </row>
    <row r="142" spans="2:4">
      <c r="B142" t="s">
        <v>154</v>
      </c>
      <c r="C142" t="s">
        <v>155</v>
      </c>
    </row>
    <row r="143" spans="2:4">
      <c r="B143" t="s">
        <v>149</v>
      </c>
      <c r="C143" s="2">
        <v>1525.81</v>
      </c>
    </row>
    <row r="144" spans="2:4">
      <c r="B144" t="s">
        <v>150</v>
      </c>
      <c r="C144" s="2">
        <v>-917.12</v>
      </c>
    </row>
    <row r="145" spans="2:3">
      <c r="B145" t="s">
        <v>8</v>
      </c>
      <c r="C145" s="2">
        <v>289.83</v>
      </c>
    </row>
    <row r="146" spans="2:3">
      <c r="B146" t="s">
        <v>151</v>
      </c>
      <c r="C146" s="2">
        <v>8573.89</v>
      </c>
    </row>
    <row r="147" spans="2:3">
      <c r="B147" t="s">
        <v>165</v>
      </c>
      <c r="C147" s="2">
        <v>-283.13</v>
      </c>
    </row>
    <row r="148" spans="2:3">
      <c r="B148" t="s">
        <v>166</v>
      </c>
      <c r="C148" s="2">
        <v>-46.4</v>
      </c>
    </row>
    <row r="149" spans="2:3">
      <c r="B149" t="s">
        <v>152</v>
      </c>
      <c r="C149" s="2">
        <v>-673.73</v>
      </c>
    </row>
    <row r="150" spans="2:3">
      <c r="B150" t="s">
        <v>21</v>
      </c>
      <c r="C150" s="2">
        <v>14614.65</v>
      </c>
    </row>
    <row r="151" spans="2:3">
      <c r="B151" t="s">
        <v>0</v>
      </c>
      <c r="C151" s="2">
        <v>321.39</v>
      </c>
    </row>
    <row r="152" spans="2:3">
      <c r="B152" t="s">
        <v>20</v>
      </c>
      <c r="C152" s="2">
        <v>15618.24</v>
      </c>
    </row>
    <row r="153" spans="2:3">
      <c r="B153" t="s">
        <v>157</v>
      </c>
      <c r="C153" s="2">
        <v>-13356.81</v>
      </c>
    </row>
    <row r="154" spans="2:3">
      <c r="B154" t="s">
        <v>158</v>
      </c>
      <c r="C154" s="2">
        <v>2471.14</v>
      </c>
    </row>
    <row r="155" spans="2:3">
      <c r="B155" t="s">
        <v>159</v>
      </c>
      <c r="C155" s="2">
        <v>29850.63</v>
      </c>
    </row>
    <row r="156" spans="2:3">
      <c r="B156" t="s">
        <v>160</v>
      </c>
      <c r="C156" s="2">
        <v>624.87</v>
      </c>
    </row>
    <row r="157" spans="2:3">
      <c r="B157" t="s">
        <v>161</v>
      </c>
      <c r="C157" s="2">
        <v>-351.5</v>
      </c>
    </row>
    <row r="158" spans="2:3">
      <c r="B158" t="s">
        <v>162</v>
      </c>
      <c r="C158" s="2">
        <v>0.81</v>
      </c>
    </row>
    <row r="159" spans="2:3">
      <c r="B159" t="s">
        <v>163</v>
      </c>
      <c r="C159" s="2">
        <v>-32.200000000000003</v>
      </c>
    </row>
    <row r="160" spans="2:3">
      <c r="B160" t="s">
        <v>164</v>
      </c>
      <c r="C160" s="2">
        <v>3336.65</v>
      </c>
    </row>
    <row r="162" spans="2:12">
      <c r="B162" t="s">
        <v>156</v>
      </c>
      <c r="C162" s="2">
        <f>SUM(C143:C161)</f>
        <v>61567.020000000004</v>
      </c>
    </row>
    <row r="165" spans="2:12">
      <c r="B165" s="4" t="s">
        <v>154</v>
      </c>
      <c r="C165" s="8" t="s">
        <v>201</v>
      </c>
      <c r="D165" s="8" t="s">
        <v>204</v>
      </c>
      <c r="E165" s="8" t="s">
        <v>205</v>
      </c>
    </row>
    <row r="166" spans="2:12">
      <c r="B166" t="s">
        <v>3</v>
      </c>
      <c r="C166" s="2">
        <v>0</v>
      </c>
      <c r="D166" s="2">
        <v>-161.36000000000001</v>
      </c>
      <c r="E166" s="2">
        <v>0</v>
      </c>
      <c r="F166" s="2"/>
      <c r="G166" s="2"/>
      <c r="H166" s="2"/>
      <c r="I166" s="2"/>
      <c r="J166" s="2"/>
      <c r="K166" s="2"/>
      <c r="L166" s="2"/>
    </row>
    <row r="167" spans="2:12">
      <c r="B167" t="s">
        <v>202</v>
      </c>
      <c r="C167" s="2">
        <v>0</v>
      </c>
      <c r="D167" s="2">
        <v>-17.670000000000002</v>
      </c>
      <c r="E167" s="2">
        <v>0</v>
      </c>
      <c r="F167" s="2"/>
      <c r="G167" s="2"/>
      <c r="H167" s="2"/>
      <c r="I167" s="2"/>
      <c r="J167" s="2"/>
      <c r="K167" s="2"/>
      <c r="L167" s="2"/>
    </row>
    <row r="168" spans="2:12">
      <c r="B168" t="s">
        <v>149</v>
      </c>
      <c r="C168" s="2">
        <v>1525.81</v>
      </c>
      <c r="D168" s="2">
        <v>1115.17</v>
      </c>
      <c r="E168" s="2">
        <v>436.4</v>
      </c>
      <c r="F168" s="2"/>
      <c r="G168" s="2"/>
      <c r="H168" s="2"/>
      <c r="I168" s="2"/>
      <c r="J168" s="2"/>
      <c r="K168" s="2"/>
      <c r="L168" s="2"/>
    </row>
    <row r="169" spans="2:12">
      <c r="B169" t="s">
        <v>150</v>
      </c>
      <c r="C169" s="2">
        <v>-917.12</v>
      </c>
      <c r="D169" s="2">
        <v>-917.12</v>
      </c>
      <c r="E169" s="2">
        <v>13.26</v>
      </c>
      <c r="F169" s="2"/>
      <c r="G169" s="2"/>
      <c r="H169" s="2"/>
      <c r="I169" s="2"/>
      <c r="J169" s="2"/>
      <c r="K169" s="2"/>
      <c r="L169" s="2"/>
    </row>
    <row r="170" spans="2:12">
      <c r="B170" t="s">
        <v>8</v>
      </c>
      <c r="C170" s="2">
        <v>289.83</v>
      </c>
      <c r="D170" s="2">
        <v>18287.22</v>
      </c>
      <c r="E170" s="2">
        <v>289.83</v>
      </c>
      <c r="F170" s="2"/>
      <c r="G170" s="2"/>
      <c r="H170" s="2"/>
      <c r="I170" s="2"/>
      <c r="J170" s="2"/>
      <c r="K170" s="2"/>
      <c r="L170" s="2"/>
    </row>
    <row r="171" spans="2:12">
      <c r="B171" t="s">
        <v>151</v>
      </c>
      <c r="C171" s="2">
        <v>8573.89</v>
      </c>
      <c r="D171" s="2">
        <v>9002.19</v>
      </c>
      <c r="E171" s="2">
        <v>8573.89</v>
      </c>
      <c r="F171" s="2"/>
      <c r="G171" s="2"/>
      <c r="H171" s="2"/>
      <c r="I171" s="2"/>
      <c r="J171" s="2"/>
      <c r="K171" s="2"/>
      <c r="L171" s="2"/>
    </row>
    <row r="172" spans="2:12">
      <c r="B172" t="s">
        <v>14</v>
      </c>
      <c r="C172" s="2">
        <v>0</v>
      </c>
      <c r="D172" s="2">
        <v>-10114.540000000001</v>
      </c>
      <c r="E172" s="2">
        <v>0</v>
      </c>
      <c r="F172" s="2"/>
      <c r="G172" s="2"/>
      <c r="H172" s="2"/>
      <c r="I172" s="2"/>
      <c r="J172" s="2"/>
      <c r="K172" s="2"/>
      <c r="L172" s="2"/>
    </row>
    <row r="173" spans="2:12">
      <c r="B173" t="s">
        <v>12</v>
      </c>
      <c r="C173" s="2">
        <v>0</v>
      </c>
      <c r="D173" s="2">
        <v>-675.48</v>
      </c>
      <c r="E173" s="2">
        <v>0</v>
      </c>
      <c r="F173" s="2"/>
      <c r="G173" s="2"/>
      <c r="H173" s="2"/>
      <c r="I173" s="2"/>
      <c r="J173" s="2"/>
      <c r="K173" s="2"/>
      <c r="L173" s="2"/>
    </row>
    <row r="174" spans="2:12">
      <c r="B174" t="s">
        <v>203</v>
      </c>
      <c r="C174" s="2">
        <v>0</v>
      </c>
      <c r="D174" s="2">
        <v>376.3</v>
      </c>
      <c r="E174" s="2">
        <v>0</v>
      </c>
      <c r="F174" s="2"/>
      <c r="G174" s="2"/>
      <c r="H174" s="2"/>
      <c r="I174" s="2"/>
      <c r="J174" s="2"/>
      <c r="K174" s="2"/>
      <c r="L174" s="2"/>
    </row>
    <row r="175" spans="2:12">
      <c r="B175" t="s">
        <v>165</v>
      </c>
      <c r="C175" s="2">
        <v>-283.13</v>
      </c>
      <c r="D175" s="2">
        <v>-659.44</v>
      </c>
      <c r="E175" s="2">
        <v>0</v>
      </c>
      <c r="F175" s="2"/>
      <c r="G175" s="2"/>
      <c r="H175" s="2"/>
      <c r="I175" s="2"/>
      <c r="J175" s="2"/>
      <c r="K175" s="2"/>
      <c r="L175" s="2"/>
    </row>
    <row r="176" spans="2:12">
      <c r="B176" t="s">
        <v>166</v>
      </c>
      <c r="C176" s="2">
        <v>-46.4</v>
      </c>
      <c r="D176" s="2">
        <v>-46.4</v>
      </c>
      <c r="E176" s="2">
        <v>0</v>
      </c>
      <c r="F176" s="2"/>
      <c r="G176" s="2"/>
      <c r="H176" s="2"/>
      <c r="I176" s="2"/>
      <c r="J176" s="2"/>
      <c r="K176" s="2"/>
      <c r="L176" s="2"/>
    </row>
    <row r="177" spans="2:12">
      <c r="B177" t="s">
        <v>152</v>
      </c>
      <c r="C177" s="2">
        <v>-673.73</v>
      </c>
      <c r="D177" s="2">
        <v>-673.73</v>
      </c>
      <c r="E177" s="2">
        <v>-673.73</v>
      </c>
      <c r="F177" s="2"/>
      <c r="G177" s="2"/>
      <c r="H177" s="2"/>
      <c r="I177" s="2"/>
      <c r="J177" s="2"/>
      <c r="K177" s="2"/>
      <c r="L177" s="2"/>
    </row>
    <row r="178" spans="2:12">
      <c r="B178" t="s">
        <v>21</v>
      </c>
      <c r="C178" s="2">
        <v>14614.65</v>
      </c>
      <c r="D178" s="2">
        <v>10861.56</v>
      </c>
      <c r="E178" s="2">
        <v>14614.65</v>
      </c>
      <c r="F178" s="2"/>
      <c r="G178" s="2"/>
      <c r="H178" s="2"/>
      <c r="I178" s="2"/>
      <c r="J178" s="2"/>
      <c r="K178" s="2"/>
      <c r="L178" s="2"/>
    </row>
    <row r="179" spans="2:12">
      <c r="B179" t="s">
        <v>0</v>
      </c>
      <c r="C179" s="2">
        <v>321.39</v>
      </c>
      <c r="D179" s="2">
        <v>15.09</v>
      </c>
      <c r="E179" s="2">
        <v>321.39</v>
      </c>
      <c r="F179" s="2"/>
      <c r="G179" s="2"/>
      <c r="H179" s="2"/>
      <c r="I179" s="2"/>
      <c r="J179" s="2"/>
      <c r="K179" s="2"/>
      <c r="L179" s="2"/>
    </row>
    <row r="180" spans="2:12">
      <c r="B180" t="s">
        <v>20</v>
      </c>
      <c r="C180" s="2">
        <v>15618.24</v>
      </c>
      <c r="D180" s="2">
        <v>12628.7</v>
      </c>
      <c r="E180" s="2">
        <v>15618.24</v>
      </c>
      <c r="F180" s="2"/>
      <c r="G180" s="2"/>
      <c r="H180" s="2"/>
      <c r="I180" s="2"/>
      <c r="J180" s="2"/>
      <c r="K180" s="2"/>
      <c r="L180" s="2"/>
    </row>
    <row r="181" spans="2:12">
      <c r="B181" t="s">
        <v>157</v>
      </c>
      <c r="C181" s="2">
        <v>-13992.97</v>
      </c>
      <c r="D181" s="2">
        <v>-13992.97</v>
      </c>
      <c r="E181" s="2">
        <v>-7302.8</v>
      </c>
      <c r="F181" s="2"/>
      <c r="G181" s="2"/>
      <c r="H181" s="2"/>
      <c r="I181" s="2"/>
      <c r="J181" s="2"/>
      <c r="K181" s="2"/>
      <c r="L181" s="2"/>
    </row>
    <row r="182" spans="2:12">
      <c r="B182" t="s">
        <v>158</v>
      </c>
      <c r="C182" s="2">
        <v>2430.58</v>
      </c>
      <c r="D182" s="2">
        <v>2430.5700000000002</v>
      </c>
      <c r="E182" s="2">
        <v>0</v>
      </c>
      <c r="F182" s="2"/>
      <c r="G182" s="2"/>
      <c r="H182" s="2"/>
      <c r="I182" s="2"/>
      <c r="J182" s="2"/>
      <c r="K182" s="2"/>
      <c r="L182" s="2"/>
    </row>
    <row r="183" spans="2:12">
      <c r="B183" t="s">
        <v>159</v>
      </c>
      <c r="C183" s="2">
        <v>29468.21</v>
      </c>
      <c r="D183" s="2">
        <v>29468.21</v>
      </c>
      <c r="E183" s="2">
        <v>0</v>
      </c>
      <c r="F183" s="2"/>
      <c r="G183" s="2"/>
      <c r="H183" s="2"/>
      <c r="I183" s="2"/>
      <c r="J183" s="2"/>
      <c r="K183" s="2"/>
      <c r="L183" s="2"/>
    </row>
    <row r="184" spans="2:12">
      <c r="B184" t="s">
        <v>160</v>
      </c>
      <c r="C184" s="2">
        <v>582.54999999999995</v>
      </c>
      <c r="D184" s="2">
        <v>582.54999999999995</v>
      </c>
      <c r="E184" s="2">
        <v>0</v>
      </c>
      <c r="F184" s="2"/>
      <c r="G184" s="2"/>
      <c r="H184" s="2"/>
      <c r="I184" s="2"/>
      <c r="J184" s="2"/>
      <c r="K184" s="2"/>
      <c r="L184" s="2"/>
    </row>
    <row r="185" spans="2:12">
      <c r="B185" t="s">
        <v>161</v>
      </c>
      <c r="C185" s="2">
        <v>-381.4</v>
      </c>
      <c r="D185" s="2">
        <v>-381.4</v>
      </c>
      <c r="E185" s="2">
        <v>0</v>
      </c>
      <c r="F185" s="2"/>
      <c r="G185" s="2"/>
      <c r="H185" s="2"/>
      <c r="I185" s="2"/>
      <c r="J185" s="2"/>
      <c r="K185" s="2"/>
      <c r="L185" s="2"/>
    </row>
    <row r="186" spans="2:12">
      <c r="B186" t="s">
        <v>162</v>
      </c>
      <c r="C186" s="2">
        <v>-29.12</v>
      </c>
      <c r="D186" s="2">
        <v>-29.12</v>
      </c>
      <c r="E186" s="2">
        <v>0</v>
      </c>
      <c r="F186" s="2"/>
      <c r="G186" s="2"/>
      <c r="H186" s="2"/>
      <c r="I186" s="2"/>
      <c r="J186" s="2"/>
      <c r="K186" s="2"/>
      <c r="L186" s="2"/>
    </row>
    <row r="187" spans="2:12">
      <c r="B187" t="s">
        <v>163</v>
      </c>
      <c r="C187" s="2">
        <v>-62.13</v>
      </c>
      <c r="D187" s="2">
        <v>-62.13</v>
      </c>
      <c r="E187" s="2">
        <v>0</v>
      </c>
      <c r="F187" s="2"/>
      <c r="G187" s="2"/>
      <c r="H187" s="2"/>
      <c r="I187" s="2"/>
      <c r="J187" s="2"/>
      <c r="K187" s="2"/>
      <c r="L187" s="2"/>
    </row>
    <row r="188" spans="2:12">
      <c r="B188" t="s">
        <v>164</v>
      </c>
      <c r="C188" s="2">
        <v>3136.53</v>
      </c>
      <c r="D188" s="2">
        <v>3136.53</v>
      </c>
      <c r="E188" s="2">
        <v>0</v>
      </c>
      <c r="F188" s="2"/>
      <c r="G188" s="2"/>
      <c r="H188" s="2"/>
      <c r="I188" s="2"/>
      <c r="J188" s="2"/>
      <c r="K188" s="2"/>
      <c r="L188" s="2"/>
    </row>
    <row r="189" spans="2:12">
      <c r="C189" s="2"/>
      <c r="D189" s="2"/>
      <c r="E189" s="2"/>
      <c r="F189" s="2"/>
      <c r="I189" s="2"/>
      <c r="J189" s="2"/>
      <c r="K189" s="2"/>
      <c r="L189" s="2"/>
    </row>
    <row r="190" spans="2:12">
      <c r="B190" s="4" t="s">
        <v>156</v>
      </c>
      <c r="C190" s="10">
        <v>60175.68</v>
      </c>
      <c r="D190" s="10">
        <v>60172.74</v>
      </c>
      <c r="E190" s="10">
        <v>31891.13</v>
      </c>
      <c r="F190" s="2"/>
      <c r="G190" s="2"/>
      <c r="H190" s="2"/>
      <c r="I190" s="2"/>
      <c r="J190" s="2"/>
      <c r="K190" s="2"/>
      <c r="L190" s="2"/>
    </row>
    <row r="191" spans="2:12">
      <c r="F191" s="2"/>
    </row>
    <row r="192" spans="2:12">
      <c r="C192" s="70"/>
      <c r="D192" s="70"/>
      <c r="E192" s="70"/>
    </row>
    <row r="193" spans="3:5">
      <c r="C193" s="70">
        <v>313.5</v>
      </c>
      <c r="D193" s="70">
        <v>15.15</v>
      </c>
    </row>
    <row r="194" spans="3:5">
      <c r="C194" s="2"/>
      <c r="D194">
        <v>33.31</v>
      </c>
    </row>
    <row r="195" spans="3:5">
      <c r="C195" s="2"/>
      <c r="D195">
        <v>15.07</v>
      </c>
    </row>
    <row r="196" spans="3:5">
      <c r="C196" s="2"/>
      <c r="D196">
        <v>15.34</v>
      </c>
    </row>
    <row r="197" spans="3:5">
      <c r="C197" s="2"/>
      <c r="E197" s="2"/>
    </row>
    <row r="198" spans="3:5">
      <c r="C198" s="2"/>
      <c r="E198" s="2"/>
    </row>
    <row r="199" spans="3:5">
      <c r="C199" s="2"/>
    </row>
    <row r="200" spans="3:5">
      <c r="C200" s="2"/>
    </row>
    <row r="201" spans="3:5">
      <c r="C201" s="2"/>
    </row>
    <row r="202" spans="3:5">
      <c r="C202" s="2"/>
    </row>
    <row r="203" spans="3:5">
      <c r="C203" s="2"/>
    </row>
    <row r="204" spans="3:5">
      <c r="C204" s="2"/>
    </row>
    <row r="205" spans="3:5">
      <c r="C205" s="2"/>
    </row>
    <row r="206" spans="3:5">
      <c r="C206" s="2"/>
    </row>
    <row r="207" spans="3:5">
      <c r="C207" s="2"/>
    </row>
    <row r="208" spans="3:5">
      <c r="C208" s="2"/>
    </row>
    <row r="209" spans="3:3">
      <c r="C209" s="2"/>
    </row>
    <row r="210" spans="3:3">
      <c r="C210" s="2"/>
    </row>
    <row r="211" spans="3:3">
      <c r="C211" s="2"/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7"/>
  <sheetViews>
    <sheetView workbookViewId="0">
      <pane ySplit="1" topLeftCell="A17" activePane="bottomLeft" state="frozen"/>
      <selection pane="bottomLeft" activeCell="C3" sqref="C3"/>
    </sheetView>
  </sheetViews>
  <sheetFormatPr defaultRowHeight="14.5"/>
  <cols>
    <col min="1" max="1" width="3.26953125" customWidth="1"/>
    <col min="2" max="2" width="5" customWidth="1"/>
    <col min="3" max="3" width="10.26953125" customWidth="1"/>
    <col min="4" max="4" width="11" hidden="1" customWidth="1"/>
    <col min="7" max="7" width="2" customWidth="1"/>
    <col min="13" max="13" width="9.81640625" bestFit="1" customWidth="1"/>
  </cols>
  <sheetData>
    <row r="1" spans="1:9">
      <c r="A1" s="8"/>
      <c r="B1" s="8" t="s">
        <v>18</v>
      </c>
      <c r="C1" s="8" t="s">
        <v>77</v>
      </c>
      <c r="D1" s="8"/>
      <c r="E1" s="8" t="s">
        <v>5</v>
      </c>
      <c r="F1" s="8" t="s">
        <v>6</v>
      </c>
      <c r="I1" t="s">
        <v>78</v>
      </c>
    </row>
    <row r="2" spans="1:9">
      <c r="A2" s="4" t="s">
        <v>3</v>
      </c>
    </row>
    <row r="3" spans="1:9">
      <c r="B3" s="1">
        <v>27</v>
      </c>
      <c r="C3" s="1" t="s">
        <v>1</v>
      </c>
      <c r="D3" s="19">
        <v>41521</v>
      </c>
      <c r="E3" s="1">
        <v>58.502000000000002</v>
      </c>
      <c r="F3" s="3">
        <v>17.093299999999999</v>
      </c>
      <c r="G3" s="3"/>
      <c r="H3">
        <f>E3</f>
        <v>58.502000000000002</v>
      </c>
      <c r="I3">
        <v>0</v>
      </c>
    </row>
    <row r="4" spans="1:9">
      <c r="B4" s="1">
        <v>29</v>
      </c>
      <c r="C4" s="1" t="s">
        <v>2</v>
      </c>
      <c r="D4" s="19">
        <v>41794</v>
      </c>
      <c r="E4" s="20">
        <v>2347.326</v>
      </c>
      <c r="F4" s="3">
        <v>18.249700000000001</v>
      </c>
      <c r="G4" s="3"/>
      <c r="H4" s="5">
        <f>H3+E4</f>
        <v>2405.828</v>
      </c>
      <c r="I4" s="5">
        <f>E5-H3</f>
        <v>2345.498</v>
      </c>
    </row>
    <row r="5" spans="1:9">
      <c r="B5" s="28">
        <v>30</v>
      </c>
      <c r="C5" s="1" t="s">
        <v>4</v>
      </c>
      <c r="D5" s="19">
        <v>41971</v>
      </c>
      <c r="E5" s="20">
        <v>2404</v>
      </c>
      <c r="F5" s="3">
        <v>18.5245</v>
      </c>
      <c r="G5" s="3"/>
      <c r="H5" s="5">
        <f>H4-E5</f>
        <v>1.8279999999999745</v>
      </c>
    </row>
    <row r="6" spans="1:9">
      <c r="B6" s="1"/>
      <c r="C6" s="1"/>
      <c r="D6" s="19"/>
      <c r="E6" s="20"/>
      <c r="F6" s="3"/>
      <c r="G6" s="3"/>
      <c r="H6" s="5"/>
    </row>
    <row r="7" spans="1:9">
      <c r="A7" s="4" t="s">
        <v>8</v>
      </c>
    </row>
    <row r="8" spans="1:9">
      <c r="B8" s="1">
        <v>26</v>
      </c>
      <c r="C8" s="1" t="s">
        <v>2</v>
      </c>
      <c r="D8" s="19">
        <v>41439</v>
      </c>
      <c r="E8" s="1">
        <v>249.34710000000001</v>
      </c>
      <c r="F8" s="3">
        <v>139.71</v>
      </c>
      <c r="H8">
        <f>E8</f>
        <v>249.34710000000001</v>
      </c>
      <c r="I8" s="5">
        <f>H9</f>
        <v>0.34710000000001173</v>
      </c>
    </row>
    <row r="9" spans="1:9">
      <c r="B9" s="1">
        <v>28</v>
      </c>
      <c r="C9" s="1" t="s">
        <v>4</v>
      </c>
      <c r="D9" s="19">
        <v>41794</v>
      </c>
      <c r="E9" s="1">
        <v>249</v>
      </c>
      <c r="F9" s="3">
        <v>172.04</v>
      </c>
      <c r="H9" s="5">
        <f>H8-E9</f>
        <v>0.34710000000001173</v>
      </c>
    </row>
    <row r="10" spans="1:9">
      <c r="B10" s="1">
        <v>31</v>
      </c>
      <c r="C10" s="1" t="s">
        <v>2</v>
      </c>
      <c r="D10" s="19">
        <v>41976</v>
      </c>
      <c r="E10" s="1">
        <v>264.18049999999999</v>
      </c>
      <c r="F10" s="3">
        <v>168.57</v>
      </c>
      <c r="H10" s="5">
        <f>H9+E10</f>
        <v>264.52760000000001</v>
      </c>
      <c r="I10" s="5">
        <f>E11-I8</f>
        <v>259.18289999999996</v>
      </c>
    </row>
    <row r="11" spans="1:9">
      <c r="B11" s="28">
        <v>91</v>
      </c>
      <c r="C11" s="1" t="s">
        <v>4</v>
      </c>
      <c r="D11" s="19">
        <v>42201</v>
      </c>
      <c r="E11" s="1">
        <v>259.52999999999997</v>
      </c>
      <c r="F11" s="3">
        <v>207.11</v>
      </c>
      <c r="H11" s="5">
        <f>H10-E11</f>
        <v>4.997600000000034</v>
      </c>
    </row>
    <row r="13" spans="1:9">
      <c r="A13" s="4" t="s">
        <v>3</v>
      </c>
    </row>
    <row r="14" spans="1:9">
      <c r="B14" s="1">
        <v>92</v>
      </c>
      <c r="C14" s="1" t="s">
        <v>2</v>
      </c>
      <c r="D14" s="19">
        <v>42202</v>
      </c>
      <c r="E14" s="20">
        <v>2922.36</v>
      </c>
      <c r="F14" s="3">
        <v>18.3931</v>
      </c>
      <c r="G14" s="3"/>
      <c r="H14" s="5">
        <f>H5+E14</f>
        <v>2924.1880000000001</v>
      </c>
      <c r="I14" s="5">
        <f>E15</f>
        <v>2879.2429999999999</v>
      </c>
    </row>
    <row r="15" spans="1:9">
      <c r="B15" s="28">
        <v>100</v>
      </c>
      <c r="C15" s="1" t="s">
        <v>4</v>
      </c>
      <c r="D15" s="19">
        <v>42279</v>
      </c>
      <c r="E15" s="20">
        <v>2879.2429999999999</v>
      </c>
      <c r="F15" s="3">
        <v>18.063199999999998</v>
      </c>
      <c r="G15" s="3"/>
      <c r="H15" s="5">
        <f>H14-E15</f>
        <v>44.945000000000164</v>
      </c>
    </row>
    <row r="17" spans="1:13">
      <c r="A17" s="4" t="s">
        <v>21</v>
      </c>
    </row>
    <row r="18" spans="1:13">
      <c r="B18" s="1">
        <v>101</v>
      </c>
      <c r="C18" s="1" t="s">
        <v>2</v>
      </c>
      <c r="D18" s="19">
        <v>42279</v>
      </c>
      <c r="E18" s="1">
        <v>160.75280000000001</v>
      </c>
      <c r="F18" s="3">
        <v>323.52999999999997</v>
      </c>
      <c r="H18">
        <f>E18</f>
        <v>160.75280000000001</v>
      </c>
      <c r="I18">
        <f>E19</f>
        <v>80.752799999999993</v>
      </c>
    </row>
    <row r="19" spans="1:13">
      <c r="B19" s="28">
        <v>172</v>
      </c>
      <c r="C19" s="1" t="s">
        <v>4</v>
      </c>
      <c r="D19" s="19">
        <v>43525</v>
      </c>
      <c r="E19" s="1">
        <v>80.752799999999993</v>
      </c>
      <c r="F19" s="3">
        <v>375.55</v>
      </c>
      <c r="H19" s="5">
        <f>H18-E19</f>
        <v>80.000000000000014</v>
      </c>
    </row>
    <row r="20" spans="1:13">
      <c r="M20" s="15">
        <v>1.4295</v>
      </c>
    </row>
    <row r="21" spans="1:13">
      <c r="A21" s="4" t="s">
        <v>20</v>
      </c>
      <c r="M21" s="15">
        <v>2.5590000000000002</v>
      </c>
    </row>
    <row r="22" spans="1:13">
      <c r="B22" s="1">
        <v>173</v>
      </c>
      <c r="C22" s="1" t="s">
        <v>2</v>
      </c>
      <c r="D22" s="19">
        <v>43525</v>
      </c>
      <c r="E22" s="20">
        <v>1778.69</v>
      </c>
      <c r="F22" s="3">
        <v>17.05</v>
      </c>
      <c r="M22" s="15">
        <v>547.645126</v>
      </c>
    </row>
    <row r="23" spans="1:13">
      <c r="M23" s="15">
        <f>SUM(M20:M22)</f>
        <v>551.63362600000005</v>
      </c>
    </row>
    <row r="24" spans="1:13">
      <c r="M24" s="15"/>
    </row>
    <row r="27" spans="1:13">
      <c r="B27">
        <v>171</v>
      </c>
      <c r="C27" t="s">
        <v>0</v>
      </c>
    </row>
  </sheetData>
  <pageMargins left="0.7" right="0.7" top="0.75" bottom="0.75" header="0.3" footer="0.3"/>
  <ignoredErrors>
    <ignoredError sqref="H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43"/>
  <sheetViews>
    <sheetView topLeftCell="A22" zoomScale="115" zoomScaleNormal="115" workbookViewId="0">
      <selection activeCell="D57" sqref="D57"/>
    </sheetView>
  </sheetViews>
  <sheetFormatPr defaultRowHeight="14.5"/>
  <cols>
    <col min="8" max="8" width="7.1796875" customWidth="1"/>
    <col min="9" max="9" width="12.90625" customWidth="1"/>
  </cols>
  <sheetData>
    <row r="1" spans="1:10">
      <c r="B1" t="s">
        <v>79</v>
      </c>
    </row>
    <row r="2" spans="1:10">
      <c r="A2" t="s">
        <v>112</v>
      </c>
      <c r="B2" t="s">
        <v>80</v>
      </c>
    </row>
    <row r="4" spans="1:10">
      <c r="A4" t="s">
        <v>98</v>
      </c>
      <c r="B4" t="s">
        <v>81</v>
      </c>
    </row>
    <row r="5" spans="1:10">
      <c r="A5" t="s">
        <v>113</v>
      </c>
      <c r="B5" t="s">
        <v>82</v>
      </c>
    </row>
    <row r="7" spans="1:10">
      <c r="A7" t="s">
        <v>99</v>
      </c>
      <c r="B7" t="s">
        <v>83</v>
      </c>
    </row>
    <row r="8" spans="1:10">
      <c r="A8" t="s">
        <v>114</v>
      </c>
      <c r="B8" t="s">
        <v>84</v>
      </c>
    </row>
    <row r="9" spans="1:10">
      <c r="A9" t="s">
        <v>115</v>
      </c>
      <c r="B9" t="s">
        <v>85</v>
      </c>
      <c r="I9" t="s">
        <v>126</v>
      </c>
    </row>
    <row r="11" spans="1:10">
      <c r="A11" t="s">
        <v>100</v>
      </c>
      <c r="B11" t="s">
        <v>86</v>
      </c>
    </row>
    <row r="12" spans="1:10">
      <c r="A12" t="s">
        <v>116</v>
      </c>
      <c r="B12" t="s">
        <v>87</v>
      </c>
      <c r="J12" s="1">
        <v>259.52999999999997</v>
      </c>
    </row>
    <row r="13" spans="1:10">
      <c r="A13" t="s">
        <v>117</v>
      </c>
      <c r="B13" t="s">
        <v>88</v>
      </c>
      <c r="I13" t="s">
        <v>127</v>
      </c>
      <c r="J13">
        <v>0.34710000000000002</v>
      </c>
    </row>
    <row r="14" spans="1:10">
      <c r="J14">
        <v>259.18290000000002</v>
      </c>
    </row>
    <row r="15" spans="1:10">
      <c r="A15" t="s">
        <v>102</v>
      </c>
      <c r="B15" t="s">
        <v>89</v>
      </c>
      <c r="J15" s="5">
        <f>+J12-J13-J14</f>
        <v>0</v>
      </c>
    </row>
    <row r="16" spans="1:10">
      <c r="A16" t="s">
        <v>118</v>
      </c>
      <c r="B16" t="s">
        <v>90</v>
      </c>
    </row>
    <row r="17" spans="1:10">
      <c r="J17" s="1">
        <v>80.752799999999993</v>
      </c>
    </row>
    <row r="18" spans="1:10">
      <c r="A18" t="s">
        <v>104</v>
      </c>
      <c r="B18" t="s">
        <v>91</v>
      </c>
      <c r="I18" t="s">
        <v>128</v>
      </c>
      <c r="J18">
        <v>80.752799999999993</v>
      </c>
    </row>
    <row r="19" spans="1:10">
      <c r="A19" t="s">
        <v>119</v>
      </c>
      <c r="B19" t="s">
        <v>92</v>
      </c>
    </row>
    <row r="20" spans="1:10">
      <c r="A20" t="s">
        <v>120</v>
      </c>
      <c r="B20" t="s">
        <v>93</v>
      </c>
      <c r="J20" s="1">
        <v>44.945</v>
      </c>
    </row>
    <row r="21" spans="1:10">
      <c r="I21" t="s">
        <v>129</v>
      </c>
    </row>
    <row r="22" spans="1:10">
      <c r="A22" t="s">
        <v>105</v>
      </c>
      <c r="B22" t="s">
        <v>94</v>
      </c>
    </row>
    <row r="23" spans="1:10">
      <c r="A23" t="s">
        <v>121</v>
      </c>
      <c r="B23" t="s">
        <v>95</v>
      </c>
    </row>
    <row r="25" spans="1:10">
      <c r="A25" s="9" t="s">
        <v>107</v>
      </c>
      <c r="B25" s="9" t="s">
        <v>96</v>
      </c>
      <c r="C25" s="9"/>
      <c r="D25" s="9"/>
      <c r="E25" s="9"/>
      <c r="F25" s="9"/>
      <c r="G25" s="9"/>
    </row>
    <row r="27" spans="1:10">
      <c r="A27" s="9" t="s">
        <v>106</v>
      </c>
      <c r="B27" s="9" t="s">
        <v>97</v>
      </c>
      <c r="C27" s="9"/>
      <c r="D27" s="9"/>
      <c r="E27" s="9"/>
      <c r="F27" s="9"/>
      <c r="G27" s="9"/>
    </row>
    <row r="29" spans="1:10">
      <c r="A29" t="s">
        <v>103</v>
      </c>
      <c r="B29" t="s">
        <v>94</v>
      </c>
    </row>
    <row r="30" spans="1:10">
      <c r="A30" t="s">
        <v>122</v>
      </c>
      <c r="B30" t="s">
        <v>95</v>
      </c>
    </row>
    <row r="32" spans="1:10">
      <c r="A32" s="9" t="s">
        <v>108</v>
      </c>
      <c r="B32" s="12" t="s">
        <v>96</v>
      </c>
      <c r="C32" s="9"/>
      <c r="D32" s="9"/>
      <c r="E32" s="9"/>
      <c r="F32" s="9"/>
      <c r="G32" s="9"/>
    </row>
    <row r="34" spans="1:7">
      <c r="A34" t="s">
        <v>101</v>
      </c>
      <c r="B34" t="s">
        <v>91</v>
      </c>
    </row>
    <row r="35" spans="1:7">
      <c r="A35" t="s">
        <v>123</v>
      </c>
      <c r="B35" t="s">
        <v>92</v>
      </c>
    </row>
    <row r="36" spans="1:7">
      <c r="A36" t="s">
        <v>124</v>
      </c>
      <c r="B36" t="s">
        <v>93</v>
      </c>
    </row>
    <row r="38" spans="1:7">
      <c r="A38" t="s">
        <v>109</v>
      </c>
      <c r="B38" s="12" t="s">
        <v>94</v>
      </c>
    </row>
    <row r="39" spans="1:7">
      <c r="A39" t="s">
        <v>125</v>
      </c>
      <c r="B39" t="s">
        <v>95</v>
      </c>
    </row>
    <row r="41" spans="1:7">
      <c r="A41" s="9" t="s">
        <v>111</v>
      </c>
      <c r="B41" s="12" t="s">
        <v>96</v>
      </c>
      <c r="C41" s="9"/>
      <c r="D41" s="9"/>
      <c r="E41" s="9"/>
      <c r="F41" s="9"/>
      <c r="G41" s="9"/>
    </row>
    <row r="43" spans="1:7">
      <c r="A43" s="9" t="s">
        <v>110</v>
      </c>
      <c r="B43" s="12" t="s">
        <v>97</v>
      </c>
      <c r="C43" s="9"/>
      <c r="D43" s="9"/>
      <c r="E43" s="9"/>
      <c r="F43" s="9"/>
      <c r="G43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V46"/>
  <sheetViews>
    <sheetView topLeftCell="E34" zoomScale="110" zoomScaleNormal="110" workbookViewId="0">
      <selection activeCell="V4" sqref="V4"/>
    </sheetView>
  </sheetViews>
  <sheetFormatPr defaultRowHeight="14.5"/>
  <cols>
    <col min="6" max="6" width="11.26953125" bestFit="1" customWidth="1"/>
    <col min="7" max="7" width="2.453125" customWidth="1"/>
    <col min="8" max="8" width="2.81640625" customWidth="1"/>
    <col min="9" max="9" width="5.90625" customWidth="1"/>
    <col min="10" max="10" width="9.6328125" customWidth="1"/>
    <col min="11" max="11" width="10.36328125" customWidth="1"/>
    <col min="12" max="12" width="8.7265625" customWidth="1"/>
    <col min="14" max="14" width="2.54296875" customWidth="1"/>
    <col min="15" max="15" width="11.36328125" customWidth="1"/>
    <col min="16" max="16" width="12.1796875" customWidth="1"/>
    <col min="17" max="18" width="3.90625" customWidth="1"/>
    <col min="19" max="19" width="9.26953125" bestFit="1" customWidth="1"/>
    <col min="20" max="20" width="8.7265625" customWidth="1"/>
  </cols>
  <sheetData>
    <row r="2" spans="1:22">
      <c r="A2" t="s">
        <v>130</v>
      </c>
      <c r="H2" s="4" t="s">
        <v>3</v>
      </c>
      <c r="L2" s="9"/>
    </row>
    <row r="3" spans="1:22">
      <c r="A3" t="s">
        <v>131</v>
      </c>
      <c r="I3" s="1">
        <v>27</v>
      </c>
      <c r="J3" s="1" t="s">
        <v>1</v>
      </c>
      <c r="K3" s="19">
        <v>41521</v>
      </c>
      <c r="L3" s="9">
        <v>58.502000000000002</v>
      </c>
      <c r="M3" s="3">
        <v>17.093299999999999</v>
      </c>
      <c r="O3" s="6">
        <f>L3</f>
        <v>58.502000000000002</v>
      </c>
      <c r="T3" s="3">
        <v>18.52</v>
      </c>
      <c r="U3" s="32">
        <f>P4*T3</f>
        <v>33.85455999999953</v>
      </c>
    </row>
    <row r="4" spans="1:22">
      <c r="I4" s="1">
        <v>29</v>
      </c>
      <c r="J4" s="1" t="s">
        <v>2</v>
      </c>
      <c r="K4" s="19">
        <v>41794</v>
      </c>
      <c r="L4" s="31">
        <v>2347.326</v>
      </c>
      <c r="M4" s="3">
        <v>18.249700000000001</v>
      </c>
      <c r="O4" s="6">
        <f>+O3+L4</f>
        <v>2405.828</v>
      </c>
      <c r="P4" s="6">
        <f>O5</f>
        <v>1.8279999999999745</v>
      </c>
      <c r="S4">
        <f>P4/T5*U5</f>
        <v>1.4296189148871463</v>
      </c>
      <c r="T4">
        <v>19.79</v>
      </c>
      <c r="U4">
        <f>+S4*T4</f>
        <v>28.292158325616626</v>
      </c>
      <c r="V4" s="32">
        <f>+U3-U4</f>
        <v>5.5624016743829046</v>
      </c>
    </row>
    <row r="5" spans="1:22">
      <c r="A5" t="s">
        <v>89</v>
      </c>
      <c r="I5" s="1">
        <v>30</v>
      </c>
      <c r="J5" s="1" t="s">
        <v>4</v>
      </c>
      <c r="K5" s="19">
        <v>41971</v>
      </c>
      <c r="L5" s="31">
        <v>2404</v>
      </c>
      <c r="M5" s="3">
        <v>18.5245</v>
      </c>
      <c r="O5" s="6">
        <f>+O4-L5</f>
        <v>1.8279999999999745</v>
      </c>
      <c r="P5" s="7"/>
      <c r="R5">
        <v>29</v>
      </c>
      <c r="S5">
        <v>17</v>
      </c>
      <c r="T5">
        <v>1288.9572000000001</v>
      </c>
      <c r="U5">
        <v>1008.0512</v>
      </c>
    </row>
    <row r="6" spans="1:22">
      <c r="A6" t="s">
        <v>90</v>
      </c>
      <c r="I6" s="1">
        <v>92</v>
      </c>
      <c r="J6" s="1" t="s">
        <v>2</v>
      </c>
      <c r="K6" s="19">
        <v>42202</v>
      </c>
      <c r="L6" s="31">
        <v>2922.36</v>
      </c>
      <c r="M6" s="3">
        <v>18.3931</v>
      </c>
      <c r="O6" s="6">
        <f t="shared" ref="O6" si="0">+O5+L6</f>
        <v>2924.1880000000001</v>
      </c>
    </row>
    <row r="7" spans="1:22">
      <c r="I7" s="1">
        <v>100</v>
      </c>
      <c r="J7" s="1" t="s">
        <v>4</v>
      </c>
      <c r="K7" s="19">
        <v>42279</v>
      </c>
      <c r="L7" s="31">
        <v>2879.2429999999999</v>
      </c>
      <c r="M7" s="3">
        <v>18.063199999999998</v>
      </c>
      <c r="O7" s="6">
        <f>+O6-L7</f>
        <v>44.945000000000164</v>
      </c>
      <c r="P7" s="15"/>
    </row>
    <row r="8" spans="1:22">
      <c r="A8" t="s">
        <v>91</v>
      </c>
      <c r="I8" s="1">
        <v>170</v>
      </c>
      <c r="J8" s="1" t="s">
        <v>4</v>
      </c>
      <c r="K8" s="19">
        <v>43516</v>
      </c>
      <c r="L8" s="9">
        <v>44.945</v>
      </c>
      <c r="M8" s="3">
        <v>19.726199999999999</v>
      </c>
      <c r="O8" s="6">
        <f>+O7-L8</f>
        <v>1.6342482922482304E-13</v>
      </c>
      <c r="P8" s="15"/>
      <c r="Q8">
        <f>I14</f>
        <v>91</v>
      </c>
      <c r="S8" t="str">
        <f>J14</f>
        <v>Traspàs V</v>
      </c>
      <c r="T8">
        <f>L14</f>
        <v>259.52999999999997</v>
      </c>
      <c r="U8">
        <f>M14</f>
        <v>207.11</v>
      </c>
    </row>
    <row r="9" spans="1:22">
      <c r="A9" s="12" t="s">
        <v>92</v>
      </c>
      <c r="L9" s="9"/>
      <c r="Q9">
        <f>I23</f>
        <v>15</v>
      </c>
      <c r="S9" t="str">
        <f>J23</f>
        <v>Compra</v>
      </c>
      <c r="T9">
        <f>L23</f>
        <v>679.64</v>
      </c>
      <c r="U9">
        <f>M23</f>
        <v>22.992000000000001</v>
      </c>
    </row>
    <row r="10" spans="1:22">
      <c r="A10" t="s">
        <v>93</v>
      </c>
      <c r="H10" s="4" t="s">
        <v>8</v>
      </c>
      <c r="L10" s="9"/>
      <c r="Q10">
        <f>I17</f>
        <v>16</v>
      </c>
      <c r="S10" t="str">
        <f>J17</f>
        <v>Compra</v>
      </c>
      <c r="T10">
        <f t="shared" ref="T10:U11" si="1">L17</f>
        <v>547.64509999999996</v>
      </c>
      <c r="U10">
        <f t="shared" si="1"/>
        <v>18.260000000000002</v>
      </c>
    </row>
    <row r="11" spans="1:22">
      <c r="I11" s="1">
        <v>26</v>
      </c>
      <c r="J11" s="1" t="s">
        <v>2</v>
      </c>
      <c r="K11" s="1"/>
      <c r="L11" s="9">
        <v>249.34710000000001</v>
      </c>
      <c r="M11" s="3">
        <v>139.71</v>
      </c>
      <c r="O11" s="7">
        <f>L11</f>
        <v>249.34710000000001</v>
      </c>
      <c r="Q11">
        <f>I18</f>
        <v>17</v>
      </c>
      <c r="S11" t="str">
        <f>J18</f>
        <v>Compra</v>
      </c>
      <c r="T11">
        <f t="shared" si="1"/>
        <v>1010.611</v>
      </c>
      <c r="U11">
        <f t="shared" si="1"/>
        <v>19.79</v>
      </c>
    </row>
    <row r="12" spans="1:22">
      <c r="A12" s="12" t="s">
        <v>94</v>
      </c>
      <c r="I12" s="1">
        <v>28</v>
      </c>
      <c r="J12" s="1" t="s">
        <v>4</v>
      </c>
      <c r="K12" s="1"/>
      <c r="L12" s="9">
        <v>249</v>
      </c>
      <c r="M12" s="3">
        <v>172.04</v>
      </c>
      <c r="O12" s="7">
        <f>+O11-L12</f>
        <v>0.34710000000001173</v>
      </c>
    </row>
    <row r="13" spans="1:22">
      <c r="A13" s="12" t="s">
        <v>95</v>
      </c>
      <c r="I13" s="1">
        <v>31</v>
      </c>
      <c r="J13" s="1" t="s">
        <v>2</v>
      </c>
      <c r="K13" s="1"/>
      <c r="L13" s="9">
        <v>264.18049999999999</v>
      </c>
      <c r="M13" s="3">
        <v>168.57</v>
      </c>
      <c r="O13" s="7">
        <f t="shared" ref="O13" si="2">+O12+L13</f>
        <v>264.52760000000001</v>
      </c>
      <c r="P13">
        <f>P5/L5*L13</f>
        <v>0</v>
      </c>
      <c r="Q13">
        <v>27</v>
      </c>
    </row>
    <row r="14" spans="1:22">
      <c r="I14" s="1">
        <v>91</v>
      </c>
      <c r="J14" s="1" t="s">
        <v>4</v>
      </c>
      <c r="K14" s="1"/>
      <c r="L14" s="9">
        <v>259.52999999999997</v>
      </c>
      <c r="M14" s="3">
        <v>207.11</v>
      </c>
      <c r="O14" s="7">
        <f>+O13-L14</f>
        <v>4.997600000000034</v>
      </c>
      <c r="P14" s="7"/>
      <c r="Q14" s="4" t="s">
        <v>145</v>
      </c>
    </row>
    <row r="15" spans="1:22">
      <c r="A15" s="12" t="s">
        <v>96</v>
      </c>
      <c r="L15" s="9"/>
      <c r="Q15" s="8" t="s">
        <v>18</v>
      </c>
      <c r="R15" s="8" t="s">
        <v>146</v>
      </c>
      <c r="S15" s="8" t="s">
        <v>147</v>
      </c>
      <c r="T15" s="8" t="s">
        <v>148</v>
      </c>
    </row>
    <row r="16" spans="1:22">
      <c r="H16" s="4" t="s">
        <v>12</v>
      </c>
      <c r="L16" s="9"/>
      <c r="Q16">
        <v>26</v>
      </c>
      <c r="R16">
        <v>15</v>
      </c>
      <c r="S16">
        <v>37.988199999999999</v>
      </c>
      <c r="T16">
        <v>679.64</v>
      </c>
      <c r="U16">
        <v>0</v>
      </c>
    </row>
    <row r="17" spans="1:22">
      <c r="A17" t="s">
        <v>97</v>
      </c>
      <c r="I17" s="1">
        <v>16</v>
      </c>
      <c r="J17" s="1" t="s">
        <v>1</v>
      </c>
      <c r="K17" s="1"/>
      <c r="L17" s="9">
        <v>547.64509999999996</v>
      </c>
      <c r="M17" s="3">
        <v>18.260000000000002</v>
      </c>
      <c r="O17">
        <f>L17</f>
        <v>547.64509999999996</v>
      </c>
      <c r="R17">
        <v>16</v>
      </c>
      <c r="S17">
        <v>74.281599999999997</v>
      </c>
      <c r="T17">
        <v>547.64509999999996</v>
      </c>
      <c r="U17">
        <v>0</v>
      </c>
    </row>
    <row r="18" spans="1:22">
      <c r="I18" s="1">
        <v>17</v>
      </c>
      <c r="J18" s="1" t="s">
        <v>1</v>
      </c>
      <c r="K18" s="1"/>
      <c r="L18" s="9">
        <v>1010.611</v>
      </c>
      <c r="M18" s="3">
        <v>19.79</v>
      </c>
      <c r="O18">
        <f>+O17+L18</f>
        <v>1558.2561000000001</v>
      </c>
      <c r="R18">
        <v>17</v>
      </c>
      <c r="S18">
        <v>137.07740000000001</v>
      </c>
      <c r="T18">
        <v>1010.611</v>
      </c>
      <c r="U18" s="7">
        <f>O12</f>
        <v>0.34710000000001173</v>
      </c>
      <c r="V18" s="7">
        <f>U18</f>
        <v>0.34710000000001173</v>
      </c>
    </row>
    <row r="19" spans="1:22">
      <c r="I19" s="1">
        <v>24</v>
      </c>
      <c r="J19" s="1" t="s">
        <v>2</v>
      </c>
      <c r="K19" s="1"/>
      <c r="L19" s="9">
        <v>280.07</v>
      </c>
      <c r="M19" s="3">
        <v>19.68</v>
      </c>
      <c r="O19">
        <f t="shared" ref="O19" si="3">+O18+L19</f>
        <v>1838.3261</v>
      </c>
      <c r="S19">
        <f>SUM(S16:S18)</f>
        <v>249.34720000000002</v>
      </c>
    </row>
    <row r="20" spans="1:22">
      <c r="I20" s="1">
        <v>25</v>
      </c>
      <c r="J20" s="1" t="s">
        <v>4</v>
      </c>
      <c r="K20" s="1"/>
      <c r="L20" s="9">
        <v>1838.3261</v>
      </c>
      <c r="M20" s="3">
        <v>18.95</v>
      </c>
      <c r="O20" s="5">
        <f>+O19-L20</f>
        <v>0</v>
      </c>
    </row>
    <row r="21" spans="1:22">
      <c r="L21" s="9"/>
      <c r="Q21">
        <v>31</v>
      </c>
      <c r="R21">
        <v>15</v>
      </c>
      <c r="S21">
        <v>39.353999999999999</v>
      </c>
      <c r="T21">
        <v>679.64</v>
      </c>
      <c r="U21">
        <f>S21</f>
        <v>39.353999999999999</v>
      </c>
      <c r="V21" s="7">
        <f>V18+U21</f>
        <v>39.701100000000011</v>
      </c>
    </row>
    <row r="22" spans="1:22">
      <c r="H22" s="4" t="s">
        <v>14</v>
      </c>
      <c r="L22" s="9"/>
      <c r="R22">
        <v>16</v>
      </c>
      <c r="S22">
        <v>76.952299999999994</v>
      </c>
      <c r="T22">
        <v>547.64509999999996</v>
      </c>
      <c r="U22">
        <f t="shared" ref="U22:U24" si="4">S22</f>
        <v>76.952299999999994</v>
      </c>
      <c r="V22" s="7">
        <f>V21+U22</f>
        <v>116.6534</v>
      </c>
    </row>
    <row r="23" spans="1:22">
      <c r="I23" s="1">
        <v>15</v>
      </c>
      <c r="J23" s="1" t="s">
        <v>1</v>
      </c>
      <c r="K23" s="1"/>
      <c r="L23" s="9">
        <v>679.64</v>
      </c>
      <c r="M23" s="3">
        <v>22.992000000000001</v>
      </c>
      <c r="O23" s="7">
        <f>L23</f>
        <v>679.64</v>
      </c>
      <c r="R23">
        <v>17</v>
      </c>
      <c r="S23">
        <v>141.64619999999999</v>
      </c>
      <c r="T23">
        <v>1008.0512</v>
      </c>
      <c r="U23">
        <f t="shared" si="4"/>
        <v>141.64619999999999</v>
      </c>
      <c r="V23" s="7">
        <f t="shared" ref="V23" si="5">V22+U23</f>
        <v>258.2996</v>
      </c>
    </row>
    <row r="24" spans="1:22">
      <c r="I24" s="1">
        <v>23</v>
      </c>
      <c r="J24" s="1" t="s">
        <v>4</v>
      </c>
      <c r="K24" s="1"/>
      <c r="L24" s="9">
        <v>679.64</v>
      </c>
      <c r="M24" s="3">
        <v>8.1097999999999999</v>
      </c>
      <c r="O24" s="7">
        <f>+O23-L24</f>
        <v>0</v>
      </c>
      <c r="R24">
        <v>27</v>
      </c>
      <c r="S24">
        <v>6.2279999999999998</v>
      </c>
      <c r="T24">
        <v>56.674100000000003</v>
      </c>
      <c r="U24">
        <f t="shared" si="4"/>
        <v>6.2279999999999998</v>
      </c>
      <c r="V24" s="7">
        <f>L14-V23</f>
        <v>1.2303999999999746</v>
      </c>
    </row>
    <row r="25" spans="1:22">
      <c r="S25">
        <f>SUM(S21:S24)</f>
        <v>264.18049999999999</v>
      </c>
    </row>
    <row r="26" spans="1:22">
      <c r="H26" s="4" t="s">
        <v>21</v>
      </c>
    </row>
    <row r="27" spans="1:22">
      <c r="I27" s="1">
        <v>101</v>
      </c>
      <c r="J27" s="1" t="s">
        <v>2</v>
      </c>
      <c r="K27" s="1"/>
      <c r="L27" s="1">
        <v>160.75280000000001</v>
      </c>
      <c r="M27" s="3">
        <v>323.52999999999997</v>
      </c>
      <c r="O27" s="7">
        <f>L27</f>
        <v>160.75280000000001</v>
      </c>
      <c r="Q27">
        <v>101</v>
      </c>
      <c r="R27">
        <v>15</v>
      </c>
      <c r="S27">
        <v>24.7409</v>
      </c>
      <c r="T27">
        <v>679.64</v>
      </c>
      <c r="U27">
        <f>S27-L28</f>
        <v>-56.011899999999997</v>
      </c>
    </row>
    <row r="28" spans="1:22">
      <c r="I28" s="1">
        <v>172</v>
      </c>
      <c r="J28" s="1" t="s">
        <v>4</v>
      </c>
      <c r="K28" s="1"/>
      <c r="L28" s="1">
        <v>80.752799999999993</v>
      </c>
      <c r="M28" s="3">
        <v>375.55</v>
      </c>
      <c r="O28" s="7">
        <f>+O27-L28</f>
        <v>80.000000000000014</v>
      </c>
      <c r="Q28" s="8"/>
      <c r="R28">
        <v>16</v>
      </c>
      <c r="S28">
        <v>48.378</v>
      </c>
      <c r="T28">
        <v>547.64509999999996</v>
      </c>
      <c r="U28">
        <f>+U27+S28</f>
        <v>-7.633899999999997</v>
      </c>
    </row>
    <row r="29" spans="1:22">
      <c r="R29">
        <v>17</v>
      </c>
      <c r="S29">
        <v>87.633899999999997</v>
      </c>
      <c r="T29">
        <v>992.38829999999996</v>
      </c>
      <c r="U29">
        <f>+U28+S29</f>
        <v>80</v>
      </c>
    </row>
    <row r="30" spans="1:22">
      <c r="H30" s="4" t="s">
        <v>149</v>
      </c>
    </row>
    <row r="31" spans="1:22">
      <c r="F31" s="2"/>
      <c r="I31" s="1">
        <v>1</v>
      </c>
      <c r="J31" s="1" t="s">
        <v>1</v>
      </c>
      <c r="K31" s="19">
        <v>41172</v>
      </c>
      <c r="L31" s="1">
        <v>325.52199999999999</v>
      </c>
      <c r="M31" s="3">
        <v>30.719899999999999</v>
      </c>
      <c r="O31">
        <f>L31</f>
        <v>325.52199999999999</v>
      </c>
      <c r="P31" s="5">
        <f>L31</f>
        <v>325.52199999999999</v>
      </c>
    </row>
    <row r="32" spans="1:22">
      <c r="F32" s="2"/>
      <c r="I32" s="1">
        <v>2</v>
      </c>
      <c r="J32" s="1" t="s">
        <v>1</v>
      </c>
      <c r="K32" s="19">
        <v>41187</v>
      </c>
      <c r="L32" s="20">
        <v>1267.6880000000001</v>
      </c>
      <c r="M32" s="3">
        <v>31.5535</v>
      </c>
      <c r="O32" s="5">
        <f>O31+L32</f>
        <v>1593.21</v>
      </c>
      <c r="P32" s="5">
        <f>L34-P31</f>
        <v>1090.0600000000002</v>
      </c>
      <c r="S32" s="5">
        <f>(L32-P32)</f>
        <v>177.62799999999993</v>
      </c>
    </row>
    <row r="33" spans="8:20">
      <c r="I33" s="1">
        <v>3</v>
      </c>
      <c r="J33" s="1" t="s">
        <v>1</v>
      </c>
      <c r="K33" s="19">
        <v>41410</v>
      </c>
      <c r="L33" s="1">
        <v>522.37400000000002</v>
      </c>
      <c r="M33" s="3">
        <v>38.286799999999999</v>
      </c>
      <c r="O33" s="5">
        <f t="shared" ref="O33:O37" si="6">O32+L33</f>
        <v>2115.5839999999998</v>
      </c>
      <c r="S33" s="5">
        <f>L35-S32</f>
        <v>0.37200000000007094</v>
      </c>
      <c r="T33" s="30">
        <f>L33-S33</f>
        <v>522.00199999999995</v>
      </c>
    </row>
    <row r="34" spans="8:20">
      <c r="I34" s="1">
        <v>4</v>
      </c>
      <c r="J34" s="1" t="s">
        <v>153</v>
      </c>
      <c r="K34" s="19">
        <v>41438</v>
      </c>
      <c r="L34" s="20">
        <v>1415.5820000000001</v>
      </c>
      <c r="M34" s="3">
        <v>33.983400000000003</v>
      </c>
      <c r="O34" s="5">
        <f>O33-L34</f>
        <v>700.00199999999973</v>
      </c>
    </row>
    <row r="35" spans="8:20">
      <c r="I35" s="1">
        <v>5</v>
      </c>
      <c r="J35" s="1" t="s">
        <v>153</v>
      </c>
      <c r="K35" s="19">
        <v>41492</v>
      </c>
      <c r="L35" s="1">
        <v>178</v>
      </c>
      <c r="M35" s="3">
        <v>33.8964</v>
      </c>
      <c r="O35" s="5">
        <f>O34-L35</f>
        <v>522.00199999999973</v>
      </c>
      <c r="P35" s="5">
        <f>+L34+L35</f>
        <v>1593.5820000000001</v>
      </c>
    </row>
    <row r="36" spans="8:20">
      <c r="I36" s="1">
        <v>6</v>
      </c>
      <c r="J36" s="1" t="s">
        <v>153</v>
      </c>
      <c r="K36" s="19">
        <v>41506</v>
      </c>
      <c r="L36" s="1">
        <v>522.00199999999995</v>
      </c>
      <c r="M36" s="3">
        <v>32.470300000000002</v>
      </c>
      <c r="O36" s="5">
        <f>O35-L36</f>
        <v>0</v>
      </c>
    </row>
    <row r="37" spans="8:20">
      <c r="I37" s="1">
        <v>41</v>
      </c>
      <c r="J37" s="1" t="s">
        <v>2</v>
      </c>
      <c r="K37" s="19">
        <v>42047</v>
      </c>
      <c r="L37" s="1">
        <v>174.22900000000001</v>
      </c>
      <c r="M37" s="3">
        <v>39.429099999999998</v>
      </c>
      <c r="O37" s="5">
        <f t="shared" si="6"/>
        <v>174.22900000000001</v>
      </c>
    </row>
    <row r="38" spans="8:20">
      <c r="I38" s="1">
        <v>95</v>
      </c>
      <c r="J38" s="1" t="s">
        <v>4</v>
      </c>
      <c r="K38" s="19">
        <v>42207</v>
      </c>
      <c r="L38" s="1">
        <v>150</v>
      </c>
      <c r="M38" s="3">
        <v>39.5777</v>
      </c>
      <c r="O38" s="5">
        <f>O37-L38</f>
        <v>24.229000000000013</v>
      </c>
    </row>
    <row r="40" spans="8:20">
      <c r="H40" s="4" t="s">
        <v>151</v>
      </c>
    </row>
    <row r="41" spans="8:20">
      <c r="I41" s="1">
        <v>7</v>
      </c>
      <c r="J41" s="1" t="s">
        <v>1</v>
      </c>
      <c r="K41" s="19">
        <v>41492</v>
      </c>
      <c r="L41" s="1">
        <v>24.091999999999999</v>
      </c>
      <c r="M41" s="3">
        <v>250.44120000000001</v>
      </c>
      <c r="O41">
        <f>L41</f>
        <v>24.091999999999999</v>
      </c>
      <c r="P41">
        <f>L41-L43</f>
        <v>9.0919999999999987</v>
      </c>
      <c r="S41" s="2">
        <f>P41*M41</f>
        <v>2277.0113904</v>
      </c>
    </row>
    <row r="42" spans="8:20">
      <c r="I42" s="1">
        <v>39</v>
      </c>
      <c r="J42" s="1" t="s">
        <v>2</v>
      </c>
      <c r="K42" s="19">
        <v>41673</v>
      </c>
      <c r="L42" s="1">
        <v>3.1440000000000001</v>
      </c>
      <c r="M42" s="3">
        <v>304.8664</v>
      </c>
      <c r="O42">
        <f>O41+L42</f>
        <v>27.235999999999997</v>
      </c>
      <c r="P42">
        <f>L42</f>
        <v>3.1440000000000001</v>
      </c>
      <c r="S42" s="2">
        <f>P42*M42</f>
        <v>958.49996160000001</v>
      </c>
      <c r="T42">
        <v>75</v>
      </c>
    </row>
    <row r="43" spans="8:20">
      <c r="I43" s="1">
        <v>40</v>
      </c>
      <c r="J43" s="1" t="s">
        <v>4</v>
      </c>
      <c r="K43" s="19">
        <v>42047</v>
      </c>
      <c r="L43" s="1">
        <v>15</v>
      </c>
      <c r="M43" s="3">
        <v>457.97989999999999</v>
      </c>
      <c r="O43">
        <f>O42-L43</f>
        <v>12.235999999999997</v>
      </c>
    </row>
    <row r="44" spans="8:20">
      <c r="I44" s="1">
        <v>96</v>
      </c>
      <c r="J44" s="1" t="s">
        <v>2</v>
      </c>
      <c r="K44" s="19">
        <v>42208</v>
      </c>
      <c r="L44" s="1">
        <v>10.042999999999999</v>
      </c>
      <c r="M44" s="3">
        <v>591.1232</v>
      </c>
      <c r="O44">
        <f t="shared" ref="O44:O45" si="7">O43+L44</f>
        <v>22.278999999999996</v>
      </c>
      <c r="P44">
        <f>15-P41-P42</f>
        <v>2.7640000000000011</v>
      </c>
      <c r="S44" s="2">
        <f>P44*M44</f>
        <v>1633.8645248000007</v>
      </c>
    </row>
    <row r="45" spans="8:20">
      <c r="I45" s="1">
        <v>104</v>
      </c>
      <c r="J45" s="1" t="s">
        <v>2</v>
      </c>
      <c r="K45" s="19">
        <v>42311</v>
      </c>
      <c r="L45" s="1">
        <v>4.7E-2</v>
      </c>
      <c r="M45" s="3">
        <v>507.0213</v>
      </c>
      <c r="O45">
        <f t="shared" si="7"/>
        <v>22.325999999999997</v>
      </c>
      <c r="S45" s="2"/>
    </row>
    <row r="46" spans="8:20">
      <c r="P46">
        <f>SUM(P41:P45)</f>
        <v>15</v>
      </c>
      <c r="S46">
        <f>SUM(S41:S45)</f>
        <v>4869.3758768000007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B2:R53"/>
  <sheetViews>
    <sheetView topLeftCell="A20" workbookViewId="0">
      <selection activeCell="Q23" sqref="Q23"/>
    </sheetView>
  </sheetViews>
  <sheetFormatPr defaultRowHeight="14.5"/>
  <cols>
    <col min="2" max="3" width="11.1796875" customWidth="1"/>
    <col min="4" max="5" width="10.7265625" customWidth="1"/>
    <col min="6" max="6" width="8.7265625" customWidth="1"/>
    <col min="7" max="7" width="5.54296875" customWidth="1"/>
    <col min="8" max="8" width="10.81640625" customWidth="1"/>
    <col min="9" max="9" width="11.36328125" customWidth="1"/>
    <col min="10" max="10" width="10.81640625" customWidth="1"/>
    <col min="11" max="11" width="10.1796875" customWidth="1"/>
    <col min="12" max="12" width="10.90625" customWidth="1"/>
    <col min="13" max="13" width="11.453125" customWidth="1"/>
    <col min="14" max="15" width="0" hidden="1" customWidth="1"/>
    <col min="16" max="16" width="2" customWidth="1"/>
    <col min="17" max="17" width="9.1796875" customWidth="1"/>
    <col min="18" max="18" width="7.453125" customWidth="1"/>
  </cols>
  <sheetData>
    <row r="2" spans="2:18">
      <c r="B2" s="8" t="s">
        <v>26</v>
      </c>
      <c r="C2" s="8" t="s">
        <v>167</v>
      </c>
      <c r="D2" s="8" t="s">
        <v>168</v>
      </c>
      <c r="E2" s="8"/>
      <c r="G2" s="50" t="s">
        <v>169</v>
      </c>
      <c r="H2" s="51"/>
      <c r="I2" s="51"/>
      <c r="J2" s="51"/>
      <c r="K2" s="51"/>
      <c r="L2" s="51"/>
      <c r="M2" s="51"/>
      <c r="N2" s="51"/>
      <c r="O2" s="51"/>
      <c r="P2" s="51"/>
      <c r="Q2" s="51"/>
      <c r="R2" s="52"/>
    </row>
    <row r="3" spans="2:18">
      <c r="C3" s="18"/>
      <c r="D3" s="2"/>
      <c r="E3" s="2"/>
      <c r="G3" s="53"/>
      <c r="H3" s="34"/>
      <c r="I3" s="34"/>
      <c r="J3" s="35" t="s">
        <v>147</v>
      </c>
      <c r="K3" s="35" t="s">
        <v>6</v>
      </c>
      <c r="L3" s="35" t="s">
        <v>172</v>
      </c>
      <c r="M3" s="35" t="s">
        <v>173</v>
      </c>
      <c r="N3" s="35"/>
      <c r="O3" s="35" t="s">
        <v>171</v>
      </c>
      <c r="P3" s="34"/>
      <c r="Q3" s="60" t="s">
        <v>147</v>
      </c>
      <c r="R3" s="61" t="s">
        <v>174</v>
      </c>
    </row>
    <row r="4" spans="2:18">
      <c r="B4" t="s">
        <v>177</v>
      </c>
      <c r="C4" s="18"/>
      <c r="D4" s="2"/>
      <c r="E4" s="2"/>
      <c r="G4" s="55">
        <v>166</v>
      </c>
      <c r="H4" s="36" t="s">
        <v>1</v>
      </c>
      <c r="I4" s="37">
        <v>43389</v>
      </c>
      <c r="J4" s="38">
        <v>1600</v>
      </c>
      <c r="K4" s="39">
        <v>24.388000000000002</v>
      </c>
      <c r="L4" s="39">
        <v>39020.800000000003</v>
      </c>
      <c r="M4" s="39">
        <v>39049.31</v>
      </c>
      <c r="N4" s="36">
        <v>1</v>
      </c>
      <c r="O4" s="39">
        <v>28.51</v>
      </c>
      <c r="P4" s="34"/>
      <c r="Q4" s="40">
        <f>J4</f>
        <v>1600</v>
      </c>
      <c r="R4" s="54"/>
    </row>
    <row r="5" spans="2:18">
      <c r="B5" s="18">
        <v>42005</v>
      </c>
      <c r="C5" s="2">
        <v>0.5</v>
      </c>
      <c r="D5" s="2">
        <v>5.57</v>
      </c>
      <c r="E5" s="2"/>
      <c r="G5" s="56">
        <v>169</v>
      </c>
      <c r="H5" s="41" t="s">
        <v>153</v>
      </c>
      <c r="I5" s="42">
        <v>43458</v>
      </c>
      <c r="J5" s="43">
        <v>648</v>
      </c>
      <c r="K5" s="44">
        <v>18.260000000000002</v>
      </c>
      <c r="L5" s="44">
        <v>11832.48</v>
      </c>
      <c r="M5" s="44">
        <v>11822.42</v>
      </c>
      <c r="N5" s="41">
        <v>1</v>
      </c>
      <c r="O5" s="44">
        <v>10.06</v>
      </c>
      <c r="P5" s="34"/>
      <c r="Q5" s="40">
        <f>Q4-J5</f>
        <v>952</v>
      </c>
      <c r="R5" s="57"/>
    </row>
    <row r="6" spans="2:18">
      <c r="B6" s="18">
        <v>42370</v>
      </c>
      <c r="C6" s="2">
        <v>-9</v>
      </c>
      <c r="D6" s="2">
        <v>237.39</v>
      </c>
      <c r="E6" s="2"/>
      <c r="G6" s="53"/>
      <c r="H6" s="34" t="s">
        <v>175</v>
      </c>
      <c r="I6" s="34"/>
      <c r="J6" s="34"/>
      <c r="K6" s="34"/>
      <c r="L6" s="45">
        <f>J7*K4</f>
        <v>23217.376</v>
      </c>
      <c r="M6" s="45">
        <f>L6+R6</f>
        <v>23234.339449999999</v>
      </c>
      <c r="N6" s="34"/>
      <c r="O6" s="34"/>
      <c r="P6" s="34"/>
      <c r="Q6" s="34"/>
      <c r="R6" s="57">
        <f>O4/J4*Q5</f>
        <v>16.963450000000002</v>
      </c>
    </row>
    <row r="7" spans="2:18">
      <c r="B7" s="18">
        <v>42736</v>
      </c>
      <c r="C7" s="2">
        <v>47.93</v>
      </c>
      <c r="D7" s="2">
        <v>294.32</v>
      </c>
      <c r="E7" s="2"/>
      <c r="G7" s="53"/>
      <c r="H7" s="34" t="s">
        <v>176</v>
      </c>
      <c r="I7" s="34"/>
      <c r="J7" s="40">
        <f>Q5</f>
        <v>952</v>
      </c>
      <c r="K7" s="39">
        <v>18.18</v>
      </c>
      <c r="L7" s="39">
        <f>J7*K7</f>
        <v>17307.36</v>
      </c>
      <c r="M7" s="34"/>
      <c r="N7" s="34"/>
      <c r="O7" s="34"/>
      <c r="P7" s="34"/>
      <c r="Q7" s="34"/>
      <c r="R7" s="54"/>
    </row>
    <row r="8" spans="2:18">
      <c r="B8" s="18">
        <v>43101</v>
      </c>
      <c r="C8" s="2">
        <v>85.37</v>
      </c>
      <c r="D8" s="2">
        <v>331.76</v>
      </c>
      <c r="E8" s="2"/>
      <c r="G8" s="53"/>
      <c r="H8" s="34" t="s">
        <v>135</v>
      </c>
      <c r="I8" s="34"/>
      <c r="J8" s="34"/>
      <c r="K8" s="34"/>
      <c r="L8" s="34"/>
      <c r="M8" s="45">
        <f>L7-M6</f>
        <v>-5926.9794499999989</v>
      </c>
      <c r="N8" s="34"/>
      <c r="O8" s="34"/>
      <c r="P8" s="34"/>
      <c r="Q8" s="34"/>
      <c r="R8" s="54"/>
    </row>
    <row r="9" spans="2:18">
      <c r="B9" s="18">
        <v>43466</v>
      </c>
      <c r="C9" s="2">
        <v>40.31</v>
      </c>
      <c r="D9" s="2">
        <v>286.7</v>
      </c>
      <c r="E9" s="2"/>
      <c r="G9" s="55">
        <v>174</v>
      </c>
      <c r="H9" s="36" t="s">
        <v>1</v>
      </c>
      <c r="I9" s="37">
        <v>43550</v>
      </c>
      <c r="J9" s="38">
        <v>700</v>
      </c>
      <c r="K9" s="39">
        <v>18.027999999999999</v>
      </c>
      <c r="L9" s="39">
        <v>12619.6</v>
      </c>
      <c r="M9" s="39">
        <v>12629.66</v>
      </c>
      <c r="N9" s="36">
        <v>1</v>
      </c>
      <c r="O9" s="39">
        <v>10.06</v>
      </c>
      <c r="P9" s="34"/>
      <c r="Q9" s="40">
        <f>Q5+J9</f>
        <v>1652</v>
      </c>
      <c r="R9" s="54"/>
    </row>
    <row r="10" spans="2:18">
      <c r="C10" s="18"/>
      <c r="D10" s="2"/>
      <c r="E10" s="2"/>
      <c r="G10" s="55">
        <v>176</v>
      </c>
      <c r="H10" s="36" t="s">
        <v>170</v>
      </c>
      <c r="I10" s="37">
        <v>43629</v>
      </c>
      <c r="J10" s="38">
        <v>0</v>
      </c>
      <c r="K10" s="39">
        <v>294.32</v>
      </c>
      <c r="L10" s="39">
        <v>294.32</v>
      </c>
      <c r="M10" s="39">
        <v>294.32</v>
      </c>
      <c r="N10" s="36">
        <v>1</v>
      </c>
      <c r="O10" s="39">
        <v>0</v>
      </c>
      <c r="P10" s="34"/>
      <c r="Q10" s="40">
        <f>Q9+J10</f>
        <v>1652</v>
      </c>
      <c r="R10" s="54"/>
    </row>
    <row r="11" spans="2:18">
      <c r="B11" t="s">
        <v>178</v>
      </c>
      <c r="C11" s="18"/>
      <c r="D11" s="2"/>
      <c r="E11" s="2"/>
      <c r="G11" s="55">
        <v>177</v>
      </c>
      <c r="H11" s="36" t="s">
        <v>153</v>
      </c>
      <c r="I11" s="37">
        <v>43797</v>
      </c>
      <c r="J11" s="38">
        <v>1252</v>
      </c>
      <c r="K11" s="39">
        <v>15.624000000000001</v>
      </c>
      <c r="L11" s="39">
        <v>19561.25</v>
      </c>
      <c r="M11" s="39">
        <v>19551.189999999999</v>
      </c>
      <c r="N11" s="36">
        <v>1</v>
      </c>
      <c r="O11" s="39">
        <v>10.06</v>
      </c>
      <c r="P11" s="34"/>
      <c r="Q11" s="40">
        <f>Q10-J11</f>
        <v>400</v>
      </c>
      <c r="R11" s="54"/>
    </row>
    <row r="12" spans="2:18">
      <c r="C12" s="18"/>
      <c r="D12" s="2"/>
      <c r="E12" s="2"/>
      <c r="G12" s="56">
        <v>178</v>
      </c>
      <c r="H12" s="41" t="s">
        <v>1</v>
      </c>
      <c r="I12" s="42">
        <v>43802</v>
      </c>
      <c r="J12" s="43">
        <v>1252</v>
      </c>
      <c r="K12" s="44">
        <v>15.3162</v>
      </c>
      <c r="L12" s="44">
        <v>19175.86</v>
      </c>
      <c r="M12" s="44">
        <v>19201.150000000001</v>
      </c>
      <c r="N12" s="41">
        <v>1</v>
      </c>
      <c r="O12" s="44">
        <v>25.29</v>
      </c>
      <c r="P12" s="34"/>
      <c r="Q12" s="40">
        <f>Q11+J12</f>
        <v>1652</v>
      </c>
      <c r="R12" s="54"/>
    </row>
    <row r="13" spans="2:18">
      <c r="B13" t="s">
        <v>179</v>
      </c>
      <c r="C13" s="18"/>
      <c r="D13" s="2"/>
      <c r="E13" s="2"/>
      <c r="G13" s="55"/>
      <c r="H13" s="34" t="s">
        <v>175</v>
      </c>
      <c r="I13" s="34"/>
      <c r="J13" s="40">
        <f>Q11</f>
        <v>400</v>
      </c>
      <c r="K13" s="45">
        <f>K9</f>
        <v>18.027999999999999</v>
      </c>
      <c r="L13" s="45">
        <f>J13*K13</f>
        <v>7211.2</v>
      </c>
      <c r="M13" s="45">
        <f>L13+R13</f>
        <v>7216.9485714285711</v>
      </c>
      <c r="N13" s="34"/>
      <c r="O13" s="34"/>
      <c r="P13" s="34"/>
      <c r="Q13" s="40"/>
      <c r="R13" s="57">
        <f>O9/J9*Q11</f>
        <v>5.7485714285714282</v>
      </c>
    </row>
    <row r="14" spans="2:18">
      <c r="B14" s="18">
        <v>42370</v>
      </c>
      <c r="C14" s="2">
        <v>-116.33</v>
      </c>
      <c r="D14" s="2">
        <v>316.58999999999997</v>
      </c>
      <c r="E14" s="2"/>
      <c r="G14" s="55"/>
      <c r="H14" s="34" t="s">
        <v>175</v>
      </c>
      <c r="I14" s="34"/>
      <c r="J14" s="40">
        <f>J12</f>
        <v>1252</v>
      </c>
      <c r="K14" s="45">
        <f>K12</f>
        <v>15.3162</v>
      </c>
      <c r="L14" s="45">
        <f>J14*K14</f>
        <v>19175.882399999999</v>
      </c>
      <c r="M14" s="45">
        <f>L14+R14</f>
        <v>19201.172399999999</v>
      </c>
      <c r="N14" s="34"/>
      <c r="O14" s="34"/>
      <c r="P14" s="34"/>
      <c r="Q14" s="40"/>
      <c r="R14" s="57">
        <f>+O12</f>
        <v>25.29</v>
      </c>
    </row>
    <row r="15" spans="2:18">
      <c r="B15" s="18">
        <v>42736</v>
      </c>
      <c r="C15" s="2">
        <v>-74.680000000000007</v>
      </c>
      <c r="D15" s="2">
        <v>358.24</v>
      </c>
      <c r="E15" s="2"/>
      <c r="G15" s="53"/>
      <c r="H15" s="34" t="s">
        <v>176</v>
      </c>
      <c r="I15" s="37"/>
      <c r="J15" s="38">
        <f>Q12</f>
        <v>1652</v>
      </c>
      <c r="K15" s="39">
        <v>15.62</v>
      </c>
      <c r="L15" s="39">
        <f>J15*K15</f>
        <v>25804.239999999998</v>
      </c>
      <c r="M15" s="39"/>
      <c r="N15" s="36"/>
      <c r="O15" s="39"/>
      <c r="P15" s="34"/>
      <c r="Q15" s="34"/>
      <c r="R15" s="54"/>
    </row>
    <row r="16" spans="2:18">
      <c r="B16" s="18">
        <v>43101</v>
      </c>
      <c r="C16" s="2">
        <v>0.57999999999999996</v>
      </c>
      <c r="D16" s="2">
        <v>433.5</v>
      </c>
      <c r="E16" s="2"/>
      <c r="G16" s="53"/>
      <c r="H16" s="34" t="s">
        <v>135</v>
      </c>
      <c r="I16" s="34"/>
      <c r="J16" s="34"/>
      <c r="K16" s="39"/>
      <c r="L16" s="39"/>
      <c r="M16" s="39">
        <f>L15-M13-M14</f>
        <v>-613.88097142857077</v>
      </c>
      <c r="N16" s="36"/>
      <c r="O16" s="39"/>
      <c r="P16" s="34"/>
      <c r="Q16" s="34"/>
      <c r="R16" s="54"/>
    </row>
    <row r="17" spans="2:18">
      <c r="B17" s="18">
        <v>43466</v>
      </c>
      <c r="C17" s="2">
        <v>-86.78</v>
      </c>
      <c r="D17" s="2">
        <v>346.14</v>
      </c>
      <c r="E17" s="2"/>
      <c r="G17" s="53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54"/>
    </row>
    <row r="18" spans="2:18">
      <c r="B18" s="18">
        <v>43831</v>
      </c>
      <c r="C18" s="2">
        <v>72.91</v>
      </c>
      <c r="D18" s="2">
        <v>505.83</v>
      </c>
      <c r="E18" s="2"/>
      <c r="G18" s="53"/>
      <c r="H18" s="33" t="s">
        <v>186</v>
      </c>
      <c r="I18" s="34"/>
      <c r="J18" s="34"/>
      <c r="K18" s="34"/>
      <c r="L18" s="34"/>
      <c r="M18" s="34"/>
      <c r="N18" s="34"/>
      <c r="O18" s="34"/>
      <c r="P18" s="34"/>
      <c r="Q18" s="34"/>
      <c r="R18" s="54"/>
    </row>
    <row r="19" spans="2:18">
      <c r="C19" s="18"/>
      <c r="D19" s="2"/>
      <c r="E19" s="2"/>
      <c r="G19" s="53"/>
      <c r="H19" s="46">
        <v>43466</v>
      </c>
      <c r="I19" s="45">
        <v>-5938.53</v>
      </c>
      <c r="J19" s="45">
        <v>-5926.98</v>
      </c>
      <c r="K19" s="34"/>
      <c r="L19" s="34"/>
      <c r="M19" s="45"/>
      <c r="N19" s="34"/>
      <c r="O19" s="34"/>
      <c r="P19" s="34"/>
      <c r="Q19" s="34"/>
      <c r="R19" s="54"/>
    </row>
    <row r="20" spans="2:18">
      <c r="B20" t="s">
        <v>180</v>
      </c>
      <c r="C20" s="18"/>
      <c r="D20" s="2"/>
      <c r="E20" s="2"/>
      <c r="G20" s="58"/>
      <c r="H20" s="48">
        <v>43831</v>
      </c>
      <c r="I20" s="49">
        <v>-618.16999999999996</v>
      </c>
      <c r="J20" s="49">
        <v>-613.86</v>
      </c>
      <c r="K20" s="47"/>
      <c r="L20" s="47"/>
      <c r="M20" s="49"/>
      <c r="N20" s="47"/>
      <c r="O20" s="47"/>
      <c r="P20" s="47"/>
      <c r="Q20" s="47"/>
      <c r="R20" s="59"/>
    </row>
    <row r="21" spans="2:18">
      <c r="C21" s="18"/>
      <c r="D21" s="2"/>
      <c r="E21" s="2"/>
    </row>
    <row r="22" spans="2:18">
      <c r="B22" t="s">
        <v>181</v>
      </c>
      <c r="C22" s="18"/>
      <c r="D22" s="2"/>
      <c r="E22" s="2"/>
    </row>
    <row r="23" spans="2:18">
      <c r="B23" s="63">
        <v>41640</v>
      </c>
      <c r="C23" s="64">
        <v>0</v>
      </c>
      <c r="D23" s="64">
        <v>-10790</v>
      </c>
      <c r="E23" s="2"/>
      <c r="F23" s="4" t="s">
        <v>8</v>
      </c>
      <c r="J23" s="8" t="s">
        <v>147</v>
      </c>
      <c r="K23" s="8" t="s">
        <v>6</v>
      </c>
      <c r="L23" s="35" t="s">
        <v>172</v>
      </c>
      <c r="Q23" s="4" t="s">
        <v>191</v>
      </c>
    </row>
    <row r="24" spans="2:18">
      <c r="B24" s="65">
        <v>42005</v>
      </c>
      <c r="C24" s="66">
        <v>10.02</v>
      </c>
      <c r="D24" s="66">
        <v>-2003.61</v>
      </c>
      <c r="E24" s="2"/>
      <c r="G24" s="1">
        <v>26</v>
      </c>
      <c r="H24" s="1" t="s">
        <v>2</v>
      </c>
      <c r="I24" s="19">
        <v>41439</v>
      </c>
      <c r="J24" s="62">
        <v>249.34710000000001</v>
      </c>
      <c r="K24" s="3">
        <v>139.71</v>
      </c>
      <c r="L24" s="2">
        <f>J24*K24</f>
        <v>34836.283341000002</v>
      </c>
      <c r="Q24">
        <f>J24</f>
        <v>249.34710000000001</v>
      </c>
    </row>
    <row r="25" spans="2:18">
      <c r="B25" s="18">
        <v>42370</v>
      </c>
      <c r="C25" s="2">
        <v>131.99</v>
      </c>
      <c r="D25" s="2">
        <v>197.07</v>
      </c>
      <c r="E25" s="2"/>
      <c r="G25">
        <v>26</v>
      </c>
      <c r="H25" s="34" t="s">
        <v>175</v>
      </c>
      <c r="J25" s="6">
        <f>J24</f>
        <v>249.34710000000001</v>
      </c>
      <c r="L25" s="2">
        <f>L44</f>
        <v>45626.274095999994</v>
      </c>
    </row>
    <row r="26" spans="2:18">
      <c r="B26" s="18">
        <v>42736</v>
      </c>
      <c r="C26" s="2">
        <v>212.8</v>
      </c>
      <c r="D26" s="2">
        <v>277.88</v>
      </c>
      <c r="H26" s="34" t="s">
        <v>176</v>
      </c>
      <c r="J26">
        <f>Q24</f>
        <v>249.34710000000001</v>
      </c>
      <c r="K26" s="3">
        <v>139.71</v>
      </c>
      <c r="L26" s="2">
        <f>J26*K26</f>
        <v>34836.283341000002</v>
      </c>
    </row>
    <row r="27" spans="2:18">
      <c r="B27" s="18">
        <v>43101</v>
      </c>
      <c r="C27" s="2">
        <v>394.46</v>
      </c>
      <c r="D27" s="2">
        <v>459.55</v>
      </c>
      <c r="L27" s="64">
        <f>+L26-L25</f>
        <v>-10789.990754999992</v>
      </c>
    </row>
    <row r="28" spans="2:18">
      <c r="B28" s="18">
        <v>43466</v>
      </c>
      <c r="C28" s="2">
        <v>94.6</v>
      </c>
      <c r="D28" s="2">
        <v>159.69</v>
      </c>
    </row>
    <row r="29" spans="2:18">
      <c r="B29" s="18">
        <v>43831</v>
      </c>
      <c r="C29" s="2">
        <v>328.69</v>
      </c>
      <c r="D29" s="2">
        <v>393.78</v>
      </c>
      <c r="G29" s="1">
        <v>28</v>
      </c>
      <c r="H29" s="1" t="s">
        <v>4</v>
      </c>
      <c r="I29" s="19">
        <v>41794</v>
      </c>
      <c r="J29" s="62">
        <v>249</v>
      </c>
      <c r="K29" s="3">
        <v>172.04</v>
      </c>
      <c r="Q29">
        <f>Q24-J29</f>
        <v>0.34710000000001173</v>
      </c>
    </row>
    <row r="30" spans="2:18">
      <c r="G30">
        <v>31</v>
      </c>
      <c r="H30" t="s">
        <v>2</v>
      </c>
      <c r="I30">
        <v>41976</v>
      </c>
      <c r="J30">
        <v>264.18049999999999</v>
      </c>
      <c r="K30">
        <v>168.57</v>
      </c>
      <c r="Q30">
        <f>Q29+J30</f>
        <v>264.52760000000001</v>
      </c>
    </row>
    <row r="31" spans="2:18">
      <c r="B31" t="s">
        <v>182</v>
      </c>
      <c r="G31">
        <v>26</v>
      </c>
      <c r="H31" s="34" t="s">
        <v>175</v>
      </c>
      <c r="J31">
        <f>Q29</f>
        <v>0.34710000000001173</v>
      </c>
      <c r="K31" s="2">
        <f>L38</f>
        <v>2.684278862984868</v>
      </c>
      <c r="L31" s="2">
        <f>L46</f>
        <v>50.642900402248898</v>
      </c>
    </row>
    <row r="32" spans="2:18">
      <c r="B32" s="18">
        <v>42005</v>
      </c>
      <c r="C32" s="2">
        <v>1311.21</v>
      </c>
      <c r="D32" s="2">
        <v>1292.46</v>
      </c>
      <c r="G32">
        <v>31</v>
      </c>
      <c r="H32" s="34" t="s">
        <v>175</v>
      </c>
      <c r="J32" s="6">
        <f>J30</f>
        <v>264.18049999999999</v>
      </c>
      <c r="K32" s="2">
        <f>K30</f>
        <v>168.57</v>
      </c>
      <c r="L32" s="2">
        <f>L53</f>
        <v>46544.363047529994</v>
      </c>
      <c r="Q32" s="3"/>
    </row>
    <row r="33" spans="2:18">
      <c r="B33" s="18">
        <v>42370</v>
      </c>
      <c r="C33" s="2">
        <v>2215.35</v>
      </c>
      <c r="D33" s="2">
        <v>4900.13</v>
      </c>
      <c r="H33" s="34" t="s">
        <v>176</v>
      </c>
      <c r="J33">
        <f>SUM(J31:J32)</f>
        <v>264.52760000000001</v>
      </c>
      <c r="K33" s="3">
        <v>168.57</v>
      </c>
      <c r="L33" s="2">
        <f>J33*K33</f>
        <v>44591.417531999999</v>
      </c>
      <c r="Q33" s="3"/>
    </row>
    <row r="34" spans="2:18">
      <c r="B34" s="18">
        <v>42736</v>
      </c>
      <c r="C34" s="2">
        <v>305.11</v>
      </c>
      <c r="D34" s="2">
        <v>2989.89</v>
      </c>
      <c r="H34" s="34" t="s">
        <v>135</v>
      </c>
      <c r="L34" s="66">
        <f>+L33-L32-L31</f>
        <v>-2003.5884159322436</v>
      </c>
      <c r="M34" s="2"/>
    </row>
    <row r="35" spans="2:18">
      <c r="B35" s="18">
        <v>43101</v>
      </c>
      <c r="C35" s="2">
        <v>1397.74</v>
      </c>
      <c r="D35" s="2">
        <v>4082.52</v>
      </c>
    </row>
    <row r="36" spans="2:18">
      <c r="B36" s="18">
        <v>43831</v>
      </c>
      <c r="C36" s="2">
        <v>4300.57</v>
      </c>
      <c r="D36" s="2">
        <v>6985.35</v>
      </c>
      <c r="G36" s="1">
        <v>91</v>
      </c>
      <c r="H36" s="1" t="s">
        <v>4</v>
      </c>
      <c r="I36" s="19">
        <v>42201</v>
      </c>
      <c r="J36" s="62">
        <v>259.52999999999997</v>
      </c>
      <c r="K36" s="3">
        <v>207.11</v>
      </c>
      <c r="L36" s="6">
        <f>Q30-J36</f>
        <v>4.997600000000034</v>
      </c>
      <c r="R36" s="3"/>
    </row>
    <row r="38" spans="2:18">
      <c r="B38" t="s">
        <v>183</v>
      </c>
      <c r="I38">
        <v>137.07740000000001</v>
      </c>
      <c r="J38">
        <v>1010.611</v>
      </c>
      <c r="K38">
        <v>19.79</v>
      </c>
      <c r="L38">
        <f>K38/J38*I38</f>
        <v>2.684278862984868</v>
      </c>
    </row>
    <row r="39" spans="2:18">
      <c r="B39" s="18">
        <v>42370</v>
      </c>
      <c r="C39" s="2">
        <v>4547.7</v>
      </c>
      <c r="D39" s="2">
        <v>11290.38</v>
      </c>
    </row>
    <row r="40" spans="2:18">
      <c r="B40" s="18">
        <v>42736</v>
      </c>
      <c r="C40" s="2">
        <v>5272.7</v>
      </c>
      <c r="D40" s="2">
        <v>12015.37</v>
      </c>
      <c r="G40" s="8" t="s">
        <v>18</v>
      </c>
      <c r="H40" s="8" t="s">
        <v>187</v>
      </c>
      <c r="I40" s="8" t="s">
        <v>147</v>
      </c>
      <c r="J40" s="8" t="s">
        <v>148</v>
      </c>
      <c r="K40" s="8" t="s">
        <v>188</v>
      </c>
    </row>
    <row r="41" spans="2:18">
      <c r="B41" s="18">
        <v>43101</v>
      </c>
      <c r="C41" s="2">
        <v>16433.759999999998</v>
      </c>
      <c r="D41" s="2">
        <v>23176.44</v>
      </c>
      <c r="G41">
        <v>26</v>
      </c>
      <c r="H41">
        <v>15</v>
      </c>
      <c r="I41">
        <v>37.988199999999999</v>
      </c>
      <c r="J41">
        <v>679.64</v>
      </c>
      <c r="K41">
        <v>22.992000000000001</v>
      </c>
      <c r="L41" s="2">
        <f>J41*K41</f>
        <v>15626.282880000001</v>
      </c>
    </row>
    <row r="42" spans="2:18">
      <c r="B42" s="18">
        <v>43466</v>
      </c>
      <c r="C42" s="2">
        <v>1350.33</v>
      </c>
      <c r="D42" s="2">
        <v>8093</v>
      </c>
      <c r="G42">
        <v>26</v>
      </c>
      <c r="H42">
        <v>16</v>
      </c>
      <c r="I42">
        <v>74.281599999999997</v>
      </c>
      <c r="J42">
        <v>547.64509999999996</v>
      </c>
      <c r="K42">
        <v>18.260000000000002</v>
      </c>
      <c r="L42" s="2">
        <f t="shared" ref="L42:L43" si="0">J42*K42</f>
        <v>9999.9995259999996</v>
      </c>
    </row>
    <row r="43" spans="2:18">
      <c r="B43" s="18">
        <v>43831</v>
      </c>
      <c r="C43" s="2">
        <v>9453.6</v>
      </c>
      <c r="D43" s="2">
        <v>17407.45</v>
      </c>
      <c r="G43">
        <v>26</v>
      </c>
      <c r="H43">
        <v>17</v>
      </c>
      <c r="I43">
        <v>137.07740000000001</v>
      </c>
      <c r="J43">
        <v>1010.611</v>
      </c>
      <c r="K43">
        <v>19.79</v>
      </c>
      <c r="L43" s="2">
        <f t="shared" si="0"/>
        <v>19999.991689999999</v>
      </c>
    </row>
    <row r="44" spans="2:18">
      <c r="K44" s="4" t="s">
        <v>190</v>
      </c>
      <c r="L44" s="10">
        <f>SUM(L41:L43)</f>
        <v>45626.274095999994</v>
      </c>
    </row>
    <row r="45" spans="2:18">
      <c r="B45" t="s">
        <v>184</v>
      </c>
    </row>
    <row r="46" spans="2:18">
      <c r="B46" s="18">
        <v>43831</v>
      </c>
      <c r="C46" s="2">
        <v>37.36</v>
      </c>
      <c r="D46" s="2">
        <v>343.67</v>
      </c>
      <c r="G46">
        <v>26</v>
      </c>
      <c r="H46">
        <v>17</v>
      </c>
      <c r="I46">
        <f>Q29</f>
        <v>0.34710000000001173</v>
      </c>
      <c r="J46">
        <f>I46/I43*J43</f>
        <v>2.5590146741914555</v>
      </c>
      <c r="K46">
        <v>19.79</v>
      </c>
      <c r="L46" s="2">
        <f>J46*K46</f>
        <v>50.642900402248898</v>
      </c>
    </row>
    <row r="47" spans="2:18">
      <c r="K47" s="4" t="s">
        <v>190</v>
      </c>
      <c r="L47" s="10">
        <f>SUM(L46)</f>
        <v>50.642900402248898</v>
      </c>
    </row>
    <row r="48" spans="2:18">
      <c r="B48" t="s">
        <v>185</v>
      </c>
    </row>
    <row r="49" spans="2:12">
      <c r="B49" s="18">
        <v>43831</v>
      </c>
      <c r="C49" s="2">
        <v>8395.42</v>
      </c>
      <c r="D49" s="2">
        <v>11384.96</v>
      </c>
      <c r="G49">
        <v>31</v>
      </c>
      <c r="H49">
        <v>15</v>
      </c>
      <c r="I49" s="14">
        <v>39.353999999999999</v>
      </c>
      <c r="J49" s="14">
        <v>679.64</v>
      </c>
      <c r="K49">
        <v>22.992000000000001</v>
      </c>
      <c r="L49" s="2">
        <f>J49*K49</f>
        <v>15626.282880000001</v>
      </c>
    </row>
    <row r="50" spans="2:12">
      <c r="G50">
        <v>31</v>
      </c>
      <c r="H50">
        <v>16</v>
      </c>
      <c r="I50" s="14">
        <v>76.952299999999994</v>
      </c>
      <c r="J50" s="14">
        <v>547.64509999999996</v>
      </c>
      <c r="K50">
        <v>18.260000000000002</v>
      </c>
      <c r="L50" s="2">
        <f t="shared" ref="L50:L52" si="1">J50*K50</f>
        <v>9999.9995259999996</v>
      </c>
    </row>
    <row r="51" spans="2:12">
      <c r="G51">
        <v>31</v>
      </c>
      <c r="H51">
        <v>17</v>
      </c>
      <c r="I51" s="14">
        <v>141.64619999999999</v>
      </c>
      <c r="J51" s="14">
        <v>1008.0512</v>
      </c>
      <c r="K51">
        <v>19.79</v>
      </c>
      <c r="L51" s="2">
        <f t="shared" si="1"/>
        <v>19949.333247999999</v>
      </c>
    </row>
    <row r="52" spans="2:12">
      <c r="G52">
        <v>31</v>
      </c>
      <c r="H52">
        <v>27</v>
      </c>
      <c r="I52">
        <v>6.2279999999999998</v>
      </c>
      <c r="J52">
        <v>56.674100000000003</v>
      </c>
      <c r="K52">
        <v>17.093299999999999</v>
      </c>
      <c r="L52" s="2">
        <f t="shared" si="1"/>
        <v>968.74739352999995</v>
      </c>
    </row>
    <row r="53" spans="2:12">
      <c r="I53" s="5"/>
      <c r="K53" s="4" t="s">
        <v>189</v>
      </c>
      <c r="L53" s="10">
        <f>SUM(L49:L52)</f>
        <v>46544.363047529994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Q85"/>
  <sheetViews>
    <sheetView tabSelected="1" workbookViewId="0">
      <pane ySplit="1" topLeftCell="A64" activePane="bottomLeft" state="frozen"/>
      <selection pane="bottomLeft" activeCell="O61" sqref="O61"/>
    </sheetView>
  </sheetViews>
  <sheetFormatPr defaultRowHeight="14.5"/>
  <cols>
    <col min="2" max="2" width="4.90625" customWidth="1"/>
    <col min="3" max="3" width="11" customWidth="1"/>
    <col min="4" max="4" width="12.08984375" customWidth="1"/>
    <col min="5" max="5" width="8.7265625" style="14"/>
    <col min="6" max="6" width="10.1796875" customWidth="1"/>
    <col min="7" max="8" width="11.7265625" customWidth="1"/>
    <col min="9" max="10" width="0" hidden="1" customWidth="1"/>
    <col min="11" max="11" width="8.7265625" customWidth="1"/>
    <col min="12" max="12" width="1.81640625" customWidth="1"/>
    <col min="13" max="13" width="7.54296875" style="14" customWidth="1"/>
    <col min="14" max="16" width="11.6328125" customWidth="1"/>
    <col min="17" max="17" width="9.26953125" bestFit="1" customWidth="1"/>
  </cols>
  <sheetData>
    <row r="1" spans="1:16">
      <c r="B1" s="8" t="s">
        <v>18</v>
      </c>
      <c r="C1" s="8" t="s">
        <v>77</v>
      </c>
      <c r="D1" s="8" t="s">
        <v>26</v>
      </c>
      <c r="E1" s="68" t="s">
        <v>147</v>
      </c>
      <c r="F1" s="8" t="s">
        <v>6</v>
      </c>
      <c r="G1" s="8" t="s">
        <v>173</v>
      </c>
      <c r="H1" s="8" t="s">
        <v>172</v>
      </c>
      <c r="I1" s="8"/>
      <c r="J1" s="8"/>
      <c r="K1" s="8" t="s">
        <v>192</v>
      </c>
      <c r="M1" s="67" t="s">
        <v>193</v>
      </c>
      <c r="N1" s="8" t="s">
        <v>194</v>
      </c>
      <c r="O1" s="8" t="s">
        <v>195</v>
      </c>
      <c r="P1" s="8" t="s">
        <v>196</v>
      </c>
    </row>
    <row r="2" spans="1:16">
      <c r="A2" s="4" t="s">
        <v>197</v>
      </c>
      <c r="B2" s="8"/>
      <c r="C2" s="8"/>
      <c r="D2" s="8"/>
      <c r="E2" s="68"/>
      <c r="F2" s="8"/>
      <c r="G2" s="8"/>
      <c r="H2" s="8"/>
      <c r="I2" s="8"/>
      <c r="J2" s="8"/>
      <c r="K2" s="8"/>
      <c r="M2" s="67"/>
      <c r="N2" s="8"/>
      <c r="O2" s="8"/>
      <c r="P2" s="8"/>
    </row>
    <row r="3" spans="1:16">
      <c r="B3" s="1">
        <v>43</v>
      </c>
      <c r="C3" s="1" t="s">
        <v>1</v>
      </c>
      <c r="D3" s="19">
        <v>36850</v>
      </c>
      <c r="E3" s="69">
        <v>60</v>
      </c>
      <c r="F3" s="3">
        <v>20.100000000000001</v>
      </c>
      <c r="G3" s="3">
        <v>1206</v>
      </c>
      <c r="H3" s="3">
        <v>1208.53</v>
      </c>
      <c r="I3" s="1"/>
      <c r="J3" s="1">
        <v>1</v>
      </c>
      <c r="K3" s="3">
        <v>2.5299999999999998</v>
      </c>
      <c r="M3" s="14">
        <f>E3</f>
        <v>60</v>
      </c>
      <c r="N3" s="2">
        <f>H3</f>
        <v>1208.53</v>
      </c>
    </row>
    <row r="4" spans="1:16">
      <c r="B4" s="1">
        <v>45</v>
      </c>
      <c r="C4" s="1" t="s">
        <v>170</v>
      </c>
      <c r="D4" s="19">
        <v>36909</v>
      </c>
      <c r="E4" s="69">
        <v>0</v>
      </c>
      <c r="F4" s="3">
        <v>3.54</v>
      </c>
      <c r="G4" s="3">
        <v>3.54</v>
      </c>
      <c r="H4" s="3">
        <v>3.54</v>
      </c>
      <c r="I4" s="1"/>
      <c r="J4" s="1">
        <v>1</v>
      </c>
      <c r="K4" s="1"/>
      <c r="M4" s="14">
        <f t="shared" ref="M4:M23" si="0">M3+E4</f>
        <v>60</v>
      </c>
      <c r="N4" s="2"/>
      <c r="P4" s="2">
        <f>H4</f>
        <v>3.54</v>
      </c>
    </row>
    <row r="5" spans="1:16">
      <c r="B5" s="1">
        <v>46</v>
      </c>
      <c r="C5" s="1" t="s">
        <v>1</v>
      </c>
      <c r="D5" s="19">
        <v>36910</v>
      </c>
      <c r="E5" s="69">
        <v>1</v>
      </c>
      <c r="F5" s="3">
        <v>3.25</v>
      </c>
      <c r="G5" s="3">
        <v>3.25</v>
      </c>
      <c r="H5" s="3">
        <v>3.25</v>
      </c>
      <c r="I5" s="1"/>
      <c r="J5" s="1">
        <v>1</v>
      </c>
      <c r="K5" s="1"/>
      <c r="M5" s="14">
        <f t="shared" si="0"/>
        <v>61</v>
      </c>
      <c r="N5" s="2">
        <f>H5</f>
        <v>3.25</v>
      </c>
    </row>
    <row r="6" spans="1:16">
      <c r="B6" s="1">
        <v>47</v>
      </c>
      <c r="C6" s="1" t="s">
        <v>170</v>
      </c>
      <c r="D6" s="19">
        <v>36969</v>
      </c>
      <c r="E6" s="69">
        <v>0</v>
      </c>
      <c r="F6" s="3">
        <v>3.61</v>
      </c>
      <c r="G6" s="3">
        <v>3.61</v>
      </c>
      <c r="H6" s="3">
        <v>3.61</v>
      </c>
      <c r="I6" s="1"/>
      <c r="J6" s="1">
        <v>1</v>
      </c>
      <c r="K6" s="1"/>
      <c r="M6" s="14">
        <f t="shared" si="0"/>
        <v>61</v>
      </c>
      <c r="N6" s="2"/>
      <c r="P6" s="2">
        <f>H6</f>
        <v>3.61</v>
      </c>
    </row>
    <row r="7" spans="1:16">
      <c r="B7" s="1">
        <v>48</v>
      </c>
      <c r="C7" s="1" t="s">
        <v>170</v>
      </c>
      <c r="D7" s="19">
        <v>36970</v>
      </c>
      <c r="E7" s="69">
        <v>0</v>
      </c>
      <c r="F7" s="3">
        <v>17.91</v>
      </c>
      <c r="G7" s="3">
        <v>17.91</v>
      </c>
      <c r="H7" s="3">
        <v>17.91</v>
      </c>
      <c r="I7" s="1"/>
      <c r="J7" s="1">
        <v>1</v>
      </c>
      <c r="K7" s="1"/>
      <c r="M7" s="14">
        <f t="shared" si="0"/>
        <v>61</v>
      </c>
      <c r="N7" s="2"/>
      <c r="P7" s="2">
        <f>H7</f>
        <v>17.91</v>
      </c>
    </row>
    <row r="8" spans="1:16">
      <c r="B8" s="1">
        <v>49</v>
      </c>
      <c r="C8" s="1" t="s">
        <v>1</v>
      </c>
      <c r="D8" s="19">
        <v>36970</v>
      </c>
      <c r="E8" s="69">
        <v>1</v>
      </c>
      <c r="F8" s="3">
        <v>3.25</v>
      </c>
      <c r="G8" s="3">
        <v>3.25</v>
      </c>
      <c r="H8" s="3">
        <v>3.25</v>
      </c>
      <c r="I8" s="1"/>
      <c r="J8" s="1">
        <v>1</v>
      </c>
      <c r="K8" s="1"/>
      <c r="M8" s="14">
        <f t="shared" si="0"/>
        <v>62</v>
      </c>
      <c r="N8" s="2">
        <f>H8</f>
        <v>3.25</v>
      </c>
    </row>
    <row r="9" spans="1:16">
      <c r="B9" s="1">
        <v>50</v>
      </c>
      <c r="C9" s="1" t="s">
        <v>170</v>
      </c>
      <c r="D9" s="19">
        <v>37294</v>
      </c>
      <c r="E9" s="69">
        <v>0</v>
      </c>
      <c r="F9" s="3">
        <v>2.31</v>
      </c>
      <c r="G9" s="3">
        <v>2.31</v>
      </c>
      <c r="H9" s="3">
        <v>2.31</v>
      </c>
      <c r="I9" s="1"/>
      <c r="J9" s="1">
        <v>1</v>
      </c>
      <c r="K9" s="1"/>
      <c r="M9" s="14">
        <f t="shared" si="0"/>
        <v>62</v>
      </c>
      <c r="N9" s="2"/>
      <c r="P9" s="2">
        <f>H9</f>
        <v>2.31</v>
      </c>
    </row>
    <row r="10" spans="1:16">
      <c r="B10" s="1">
        <v>51</v>
      </c>
      <c r="C10" s="1" t="s">
        <v>1</v>
      </c>
      <c r="D10" s="19">
        <v>37295</v>
      </c>
      <c r="E10" s="69">
        <v>1</v>
      </c>
      <c r="F10" s="3">
        <v>3.25</v>
      </c>
      <c r="G10" s="3">
        <v>3.25</v>
      </c>
      <c r="H10" s="3">
        <v>12.32</v>
      </c>
      <c r="I10" s="1"/>
      <c r="J10" s="1">
        <v>1</v>
      </c>
      <c r="K10" s="3">
        <v>9.07</v>
      </c>
      <c r="M10" s="14">
        <f t="shared" si="0"/>
        <v>63</v>
      </c>
      <c r="N10" s="2">
        <f>H10</f>
        <v>12.32</v>
      </c>
    </row>
    <row r="11" spans="1:16">
      <c r="B11" s="1">
        <v>52</v>
      </c>
      <c r="C11" s="1" t="s">
        <v>170</v>
      </c>
      <c r="D11" s="19">
        <v>37302</v>
      </c>
      <c r="E11" s="69">
        <v>0</v>
      </c>
      <c r="F11" s="3">
        <v>16.02</v>
      </c>
      <c r="G11" s="3">
        <v>16.02</v>
      </c>
      <c r="H11" s="3">
        <v>16.02</v>
      </c>
      <c r="I11" s="1"/>
      <c r="J11" s="1">
        <v>1</v>
      </c>
      <c r="K11" s="1"/>
      <c r="M11" s="14">
        <f t="shared" si="0"/>
        <v>63</v>
      </c>
      <c r="N11" s="2"/>
      <c r="P11" s="2">
        <f>H11</f>
        <v>16.02</v>
      </c>
    </row>
    <row r="12" spans="1:16">
      <c r="B12" s="1">
        <v>53</v>
      </c>
      <c r="C12" s="1" t="s">
        <v>1</v>
      </c>
      <c r="D12" s="19">
        <v>37351</v>
      </c>
      <c r="E12" s="69">
        <v>1</v>
      </c>
      <c r="F12" s="3">
        <v>3.25</v>
      </c>
      <c r="G12" s="3">
        <v>3.25</v>
      </c>
      <c r="H12" s="3">
        <v>3.25</v>
      </c>
      <c r="I12" s="1"/>
      <c r="J12" s="1">
        <v>1</v>
      </c>
      <c r="K12" s="1"/>
      <c r="M12" s="14">
        <f t="shared" si="0"/>
        <v>64</v>
      </c>
      <c r="N12" s="2">
        <f>H12</f>
        <v>3.25</v>
      </c>
    </row>
    <row r="13" spans="1:16">
      <c r="B13" s="1">
        <v>54</v>
      </c>
      <c r="C13" s="1" t="s">
        <v>170</v>
      </c>
      <c r="D13" s="19">
        <v>37662</v>
      </c>
      <c r="E13" s="69">
        <v>0</v>
      </c>
      <c r="F13" s="3">
        <v>0.94</v>
      </c>
      <c r="G13" s="3">
        <v>0.94</v>
      </c>
      <c r="H13" s="3">
        <v>0.94</v>
      </c>
      <c r="I13" s="1"/>
      <c r="J13" s="1">
        <v>1</v>
      </c>
      <c r="K13" s="1"/>
      <c r="M13" s="14">
        <f t="shared" si="0"/>
        <v>64</v>
      </c>
      <c r="N13" s="2"/>
      <c r="P13" s="2">
        <f>H13</f>
        <v>0.94</v>
      </c>
    </row>
    <row r="14" spans="1:16">
      <c r="B14" s="1">
        <v>55</v>
      </c>
      <c r="C14" s="1" t="s">
        <v>1</v>
      </c>
      <c r="D14" s="19">
        <v>37667</v>
      </c>
      <c r="E14" s="69">
        <v>1</v>
      </c>
      <c r="F14" s="3">
        <v>3.25</v>
      </c>
      <c r="G14" s="3">
        <v>3.25</v>
      </c>
      <c r="H14" s="3">
        <v>12.53</v>
      </c>
      <c r="I14" s="1"/>
      <c r="J14" s="1">
        <v>1</v>
      </c>
      <c r="K14" s="3">
        <v>9.2799999999999994</v>
      </c>
      <c r="M14" s="14">
        <f t="shared" si="0"/>
        <v>65</v>
      </c>
      <c r="N14" s="2">
        <f>H14</f>
        <v>12.53</v>
      </c>
    </row>
    <row r="15" spans="1:16">
      <c r="B15" s="1">
        <v>56</v>
      </c>
      <c r="C15" s="1" t="s">
        <v>170</v>
      </c>
      <c r="D15" s="19">
        <v>37705</v>
      </c>
      <c r="E15" s="69">
        <v>0</v>
      </c>
      <c r="F15" s="3">
        <v>1.1100000000000001</v>
      </c>
      <c r="G15" s="3">
        <v>1.1100000000000001</v>
      </c>
      <c r="H15" s="3">
        <v>1.1100000000000001</v>
      </c>
      <c r="I15" s="1"/>
      <c r="J15" s="1">
        <v>1</v>
      </c>
      <c r="K15" s="1"/>
      <c r="M15" s="14">
        <f t="shared" si="0"/>
        <v>65</v>
      </c>
      <c r="N15" s="2"/>
      <c r="P15" s="2">
        <f>H15</f>
        <v>1.1100000000000001</v>
      </c>
    </row>
    <row r="16" spans="1:16">
      <c r="B16" s="1">
        <v>57</v>
      </c>
      <c r="C16" s="1" t="s">
        <v>170</v>
      </c>
      <c r="D16" s="19">
        <v>37805</v>
      </c>
      <c r="E16" s="69">
        <v>0</v>
      </c>
      <c r="F16" s="3">
        <v>7.68</v>
      </c>
      <c r="G16" s="3">
        <v>7.68</v>
      </c>
      <c r="H16" s="3">
        <v>7.68</v>
      </c>
      <c r="I16" s="1"/>
      <c r="J16" s="1">
        <v>1</v>
      </c>
      <c r="K16" s="1"/>
      <c r="M16" s="14">
        <f t="shared" si="0"/>
        <v>65</v>
      </c>
      <c r="N16" s="2"/>
      <c r="P16" s="2">
        <f>H16</f>
        <v>7.68</v>
      </c>
    </row>
    <row r="17" spans="2:16">
      <c r="B17" s="1">
        <v>58</v>
      </c>
      <c r="C17" s="1" t="s">
        <v>1</v>
      </c>
      <c r="D17" s="19">
        <v>37712</v>
      </c>
      <c r="E17" s="69">
        <v>1</v>
      </c>
      <c r="F17" s="3">
        <v>3</v>
      </c>
      <c r="G17" s="3">
        <v>3</v>
      </c>
      <c r="H17" s="3">
        <v>7.64</v>
      </c>
      <c r="I17" s="1"/>
      <c r="J17" s="1">
        <v>1</v>
      </c>
      <c r="K17" s="3">
        <v>4.6399999999999997</v>
      </c>
      <c r="M17" s="14">
        <f t="shared" si="0"/>
        <v>66</v>
      </c>
      <c r="N17" s="2">
        <f>H17</f>
        <v>7.64</v>
      </c>
    </row>
    <row r="18" spans="2:16">
      <c r="B18" s="1">
        <v>59</v>
      </c>
      <c r="C18" s="1" t="s">
        <v>170</v>
      </c>
      <c r="D18" s="19">
        <v>37909</v>
      </c>
      <c r="E18" s="69">
        <v>0</v>
      </c>
      <c r="F18" s="3">
        <v>7.02</v>
      </c>
      <c r="G18" s="3">
        <v>7.02</v>
      </c>
      <c r="H18" s="3">
        <v>7.02</v>
      </c>
      <c r="I18" s="1"/>
      <c r="J18" s="1">
        <v>1</v>
      </c>
      <c r="K18" s="1"/>
      <c r="M18" s="14">
        <f t="shared" si="0"/>
        <v>66</v>
      </c>
      <c r="N18" s="2"/>
      <c r="P18" s="2">
        <f>H18</f>
        <v>7.02</v>
      </c>
    </row>
    <row r="19" spans="2:16">
      <c r="B19" s="1">
        <v>60</v>
      </c>
      <c r="C19" s="1" t="s">
        <v>170</v>
      </c>
      <c r="D19" s="19">
        <v>38303</v>
      </c>
      <c r="E19" s="69">
        <v>0</v>
      </c>
      <c r="F19" s="3">
        <v>12.04</v>
      </c>
      <c r="G19" s="3">
        <v>12.04</v>
      </c>
      <c r="H19" s="3">
        <v>12.04</v>
      </c>
      <c r="I19" s="1"/>
      <c r="J19" s="1">
        <v>1</v>
      </c>
      <c r="K19" s="1"/>
      <c r="M19" s="14">
        <f t="shared" si="0"/>
        <v>66</v>
      </c>
      <c r="N19" s="2"/>
      <c r="P19" s="2">
        <f>H19</f>
        <v>12.04</v>
      </c>
    </row>
    <row r="20" spans="2:16">
      <c r="B20" s="1">
        <v>61</v>
      </c>
      <c r="C20" s="1" t="s">
        <v>170</v>
      </c>
      <c r="D20" s="19">
        <v>38485</v>
      </c>
      <c r="E20" s="69">
        <v>0</v>
      </c>
      <c r="F20" s="3">
        <v>11.74</v>
      </c>
      <c r="G20" s="3">
        <v>11.74</v>
      </c>
      <c r="H20" s="3">
        <v>11.74</v>
      </c>
      <c r="I20" s="1"/>
      <c r="J20" s="1">
        <v>1</v>
      </c>
      <c r="K20" s="1"/>
      <c r="M20" s="14">
        <f t="shared" si="0"/>
        <v>66</v>
      </c>
      <c r="N20" s="2"/>
      <c r="P20" s="2">
        <f>H20</f>
        <v>11.74</v>
      </c>
    </row>
    <row r="21" spans="2:16">
      <c r="B21" s="1">
        <v>62</v>
      </c>
      <c r="C21" s="1" t="s">
        <v>170</v>
      </c>
      <c r="D21" s="19">
        <v>38531</v>
      </c>
      <c r="E21" s="69">
        <v>0</v>
      </c>
      <c r="F21" s="3">
        <v>8.6300000000000008</v>
      </c>
      <c r="G21" s="3">
        <v>8.6300000000000008</v>
      </c>
      <c r="H21" s="3">
        <v>8.6300000000000008</v>
      </c>
      <c r="I21" s="1"/>
      <c r="J21" s="1">
        <v>1</v>
      </c>
      <c r="K21" s="1"/>
      <c r="M21" s="14">
        <f t="shared" si="0"/>
        <v>66</v>
      </c>
      <c r="N21" s="2"/>
      <c r="P21" s="2">
        <f>H21</f>
        <v>8.6300000000000008</v>
      </c>
    </row>
    <row r="22" spans="2:16">
      <c r="B22" s="1">
        <v>63</v>
      </c>
      <c r="C22" s="1" t="s">
        <v>1</v>
      </c>
      <c r="D22" s="19">
        <v>38531</v>
      </c>
      <c r="E22" s="69">
        <v>3</v>
      </c>
      <c r="F22" s="3">
        <v>3.3E-3</v>
      </c>
      <c r="G22" s="3">
        <v>0.01</v>
      </c>
      <c r="H22" s="3">
        <v>19.059999999999999</v>
      </c>
      <c r="I22" s="1"/>
      <c r="J22" s="1">
        <v>1</v>
      </c>
      <c r="K22" s="3">
        <v>19.05</v>
      </c>
      <c r="M22" s="14">
        <f t="shared" si="0"/>
        <v>69</v>
      </c>
      <c r="N22" s="2">
        <f>H22</f>
        <v>19.059999999999999</v>
      </c>
    </row>
    <row r="23" spans="2:16">
      <c r="B23" s="1">
        <v>64</v>
      </c>
      <c r="C23" s="1" t="s">
        <v>1</v>
      </c>
      <c r="D23" s="19">
        <v>41222</v>
      </c>
      <c r="E23" s="69">
        <v>1006</v>
      </c>
      <c r="F23" s="3">
        <v>9.92</v>
      </c>
      <c r="G23" s="3">
        <v>9979.52</v>
      </c>
      <c r="H23" s="3">
        <v>9993.58</v>
      </c>
      <c r="I23" s="1"/>
      <c r="J23" s="1">
        <v>1</v>
      </c>
      <c r="K23" s="3">
        <v>14.06</v>
      </c>
      <c r="M23" s="14">
        <f t="shared" si="0"/>
        <v>1075</v>
      </c>
      <c r="N23" s="2">
        <f>H23</f>
        <v>9993.58</v>
      </c>
    </row>
    <row r="24" spans="2:16">
      <c r="B24" s="1">
        <v>65</v>
      </c>
      <c r="C24" s="1" t="s">
        <v>153</v>
      </c>
      <c r="D24" s="19">
        <v>41289</v>
      </c>
      <c r="E24" s="69">
        <v>69</v>
      </c>
      <c r="F24" s="3">
        <v>10.96</v>
      </c>
      <c r="G24" s="3">
        <v>756.24</v>
      </c>
      <c r="H24" s="3">
        <v>742.66</v>
      </c>
      <c r="I24" s="1"/>
      <c r="J24" s="1">
        <v>1</v>
      </c>
      <c r="K24" s="3">
        <v>13.58</v>
      </c>
      <c r="M24" s="14">
        <f>M23-E24</f>
        <v>1006</v>
      </c>
      <c r="N24" s="2"/>
      <c r="O24" s="2">
        <f>H24</f>
        <v>742.66</v>
      </c>
    </row>
    <row r="25" spans="2:16">
      <c r="B25" s="1">
        <v>66</v>
      </c>
      <c r="C25" s="1" t="s">
        <v>153</v>
      </c>
      <c r="D25" s="19">
        <v>41289</v>
      </c>
      <c r="E25" s="69">
        <v>1006</v>
      </c>
      <c r="F25" s="3">
        <v>10.96</v>
      </c>
      <c r="G25" s="3">
        <v>11025.76</v>
      </c>
      <c r="H25" s="3">
        <v>11009.55</v>
      </c>
      <c r="I25" s="1"/>
      <c r="J25" s="1">
        <v>1</v>
      </c>
      <c r="K25" s="3">
        <v>16.21</v>
      </c>
      <c r="M25" s="14">
        <f>M24-E25</f>
        <v>0</v>
      </c>
      <c r="N25" s="2"/>
      <c r="O25" s="2">
        <f>H25</f>
        <v>11009.55</v>
      </c>
    </row>
    <row r="26" spans="2:16">
      <c r="B26" s="1">
        <v>67</v>
      </c>
      <c r="C26" s="1" t="s">
        <v>1</v>
      </c>
      <c r="D26" s="19">
        <v>41317</v>
      </c>
      <c r="E26" s="69">
        <v>920</v>
      </c>
      <c r="F26" s="3">
        <v>9.8949999999999996</v>
      </c>
      <c r="G26" s="3">
        <v>9103.4</v>
      </c>
      <c r="H26" s="3">
        <v>9117.33</v>
      </c>
      <c r="I26" s="1"/>
      <c r="J26" s="1">
        <v>1</v>
      </c>
      <c r="K26" s="3">
        <v>13.93</v>
      </c>
      <c r="M26" s="14">
        <f>M25+E26</f>
        <v>920</v>
      </c>
      <c r="N26" s="2">
        <f>H26</f>
        <v>9117.33</v>
      </c>
    </row>
    <row r="27" spans="2:16">
      <c r="B27" s="1">
        <v>68</v>
      </c>
      <c r="C27" s="1" t="s">
        <v>1</v>
      </c>
      <c r="D27" s="19">
        <v>41317</v>
      </c>
      <c r="E27" s="69">
        <v>90</v>
      </c>
      <c r="F27" s="3">
        <v>9.8960000000000008</v>
      </c>
      <c r="G27" s="3">
        <v>890.64</v>
      </c>
      <c r="H27" s="3">
        <v>896.35</v>
      </c>
      <c r="I27" s="1"/>
      <c r="J27" s="1">
        <v>1</v>
      </c>
      <c r="K27" s="3">
        <v>5.71</v>
      </c>
      <c r="M27" s="14">
        <f>M26+E27</f>
        <v>1010</v>
      </c>
      <c r="N27" s="2">
        <f>H27</f>
        <v>896.35</v>
      </c>
    </row>
    <row r="28" spans="2:16">
      <c r="B28" s="1">
        <v>69</v>
      </c>
      <c r="C28" s="1" t="s">
        <v>153</v>
      </c>
      <c r="D28" s="19">
        <v>41351</v>
      </c>
      <c r="E28" s="69">
        <v>1010</v>
      </c>
      <c r="F28" s="3">
        <v>11.2</v>
      </c>
      <c r="G28" s="3">
        <v>11312</v>
      </c>
      <c r="H28" s="3">
        <v>11295.75</v>
      </c>
      <c r="I28" s="1"/>
      <c r="J28" s="1">
        <v>1</v>
      </c>
      <c r="K28" s="3">
        <v>16.25</v>
      </c>
      <c r="M28" s="14">
        <f>M27-E28</f>
        <v>0</v>
      </c>
      <c r="N28" s="2"/>
      <c r="O28" s="2">
        <f>H28</f>
        <v>11295.75</v>
      </c>
    </row>
    <row r="29" spans="2:16">
      <c r="B29" s="1">
        <v>70</v>
      </c>
      <c r="C29" s="1" t="s">
        <v>1</v>
      </c>
      <c r="D29" s="19">
        <v>41445</v>
      </c>
      <c r="E29" s="69">
        <v>2008</v>
      </c>
      <c r="F29" s="3">
        <v>9.9209999999999994</v>
      </c>
      <c r="G29" s="3">
        <v>19921.37</v>
      </c>
      <c r="H29" s="3">
        <v>19936.88</v>
      </c>
      <c r="I29" s="1"/>
      <c r="J29" s="1">
        <v>1</v>
      </c>
      <c r="K29" s="3">
        <v>15.51</v>
      </c>
      <c r="M29" s="14">
        <f t="shared" ref="M29:M34" si="1">M28+E29</f>
        <v>2008</v>
      </c>
      <c r="N29" s="2">
        <f>H29</f>
        <v>19936.88</v>
      </c>
    </row>
    <row r="30" spans="2:16">
      <c r="B30" s="1">
        <v>71</v>
      </c>
      <c r="C30" s="1" t="s">
        <v>1</v>
      </c>
      <c r="D30" s="19">
        <v>41458</v>
      </c>
      <c r="E30" s="69">
        <v>806</v>
      </c>
      <c r="F30" s="3">
        <v>9.5739999999999998</v>
      </c>
      <c r="G30" s="3">
        <v>7716.64</v>
      </c>
      <c r="H30" s="3">
        <v>7730.37</v>
      </c>
      <c r="I30" s="1"/>
      <c r="J30" s="1">
        <v>1</v>
      </c>
      <c r="K30" s="3">
        <v>13.73</v>
      </c>
      <c r="M30" s="14">
        <f t="shared" si="1"/>
        <v>2814</v>
      </c>
      <c r="N30" s="2">
        <f>H30</f>
        <v>7730.37</v>
      </c>
    </row>
    <row r="31" spans="2:16">
      <c r="B31" s="1">
        <v>72</v>
      </c>
      <c r="C31" s="1" t="s">
        <v>1</v>
      </c>
      <c r="D31" s="19">
        <v>41458</v>
      </c>
      <c r="E31" s="69">
        <v>1276</v>
      </c>
      <c r="F31" s="3">
        <v>9.5730000000000004</v>
      </c>
      <c r="G31" s="3">
        <v>12215.15</v>
      </c>
      <c r="H31" s="3">
        <v>12229.54</v>
      </c>
      <c r="I31" s="1"/>
      <c r="J31" s="1">
        <v>1</v>
      </c>
      <c r="K31" s="3">
        <v>14.39</v>
      </c>
      <c r="M31" s="14">
        <f t="shared" si="1"/>
        <v>4090</v>
      </c>
      <c r="N31" s="2">
        <f>H31</f>
        <v>12229.54</v>
      </c>
    </row>
    <row r="32" spans="2:16">
      <c r="B32" s="1">
        <v>73</v>
      </c>
      <c r="C32" s="1" t="s">
        <v>170</v>
      </c>
      <c r="D32" s="19">
        <v>41584</v>
      </c>
      <c r="E32" s="69">
        <v>0</v>
      </c>
      <c r="F32" s="3">
        <v>1431.5</v>
      </c>
      <c r="G32" s="3">
        <v>1431.5</v>
      </c>
      <c r="H32" s="3">
        <v>1431.5</v>
      </c>
      <c r="I32" s="1"/>
      <c r="J32" s="1">
        <v>1</v>
      </c>
      <c r="K32" s="1"/>
      <c r="M32" s="14">
        <f t="shared" si="1"/>
        <v>4090</v>
      </c>
      <c r="N32" s="2"/>
      <c r="P32" s="2">
        <f>H32</f>
        <v>1431.5</v>
      </c>
    </row>
    <row r="33" spans="1:17">
      <c r="B33" s="1">
        <v>74</v>
      </c>
      <c r="C33" s="1" t="s">
        <v>1</v>
      </c>
      <c r="D33" s="19">
        <v>41667</v>
      </c>
      <c r="E33" s="69">
        <v>1755</v>
      </c>
      <c r="F33" s="3">
        <v>11.35</v>
      </c>
      <c r="G33" s="3">
        <v>19919.25</v>
      </c>
      <c r="H33" s="3">
        <v>19935.759999999998</v>
      </c>
      <c r="I33" s="1"/>
      <c r="J33" s="1">
        <v>1</v>
      </c>
      <c r="K33" s="3">
        <v>16.510000000000002</v>
      </c>
      <c r="M33" s="14">
        <f t="shared" si="1"/>
        <v>5845</v>
      </c>
      <c r="N33" s="2">
        <f>H33</f>
        <v>19935.759999999998</v>
      </c>
    </row>
    <row r="34" spans="1:17">
      <c r="B34" s="1">
        <v>75</v>
      </c>
      <c r="C34" s="1" t="s">
        <v>170</v>
      </c>
      <c r="D34" s="19">
        <v>41766</v>
      </c>
      <c r="E34" s="69">
        <v>0</v>
      </c>
      <c r="F34" s="3">
        <v>2338</v>
      </c>
      <c r="G34" s="3">
        <v>2338</v>
      </c>
      <c r="H34" s="3">
        <v>2338</v>
      </c>
      <c r="I34" s="1"/>
      <c r="J34" s="1">
        <v>1</v>
      </c>
      <c r="K34" s="1"/>
      <c r="M34" s="14">
        <f t="shared" si="1"/>
        <v>5845</v>
      </c>
      <c r="N34" s="2"/>
      <c r="P34" s="2">
        <f>H34</f>
        <v>2338</v>
      </c>
    </row>
    <row r="35" spans="1:17">
      <c r="B35" s="1">
        <v>76</v>
      </c>
      <c r="C35" s="1" t="s">
        <v>153</v>
      </c>
      <c r="D35" s="19">
        <v>41792</v>
      </c>
      <c r="E35" s="69">
        <v>5845</v>
      </c>
      <c r="F35" s="3">
        <v>12.395</v>
      </c>
      <c r="G35" s="3">
        <v>72448.78</v>
      </c>
      <c r="H35" s="3">
        <v>72384.820000000007</v>
      </c>
      <c r="I35" s="1"/>
      <c r="J35" s="1">
        <v>1</v>
      </c>
      <c r="K35" s="3">
        <v>63.96</v>
      </c>
      <c r="M35" s="14">
        <f>M34-E35</f>
        <v>0</v>
      </c>
      <c r="N35" s="2"/>
      <c r="O35" s="2">
        <f>H35</f>
        <v>72384.820000000007</v>
      </c>
    </row>
    <row r="36" spans="1:17">
      <c r="B36" s="1">
        <v>77</v>
      </c>
      <c r="C36" s="1" t="s">
        <v>1</v>
      </c>
      <c r="D36" s="19">
        <v>42010</v>
      </c>
      <c r="E36" s="69">
        <v>4388</v>
      </c>
      <c r="F36" s="3">
        <v>11.45</v>
      </c>
      <c r="G36" s="3">
        <v>50242.6</v>
      </c>
      <c r="H36" s="3">
        <v>50262.78</v>
      </c>
      <c r="I36" s="1"/>
      <c r="J36" s="1">
        <v>1</v>
      </c>
      <c r="K36" s="3">
        <v>20.18</v>
      </c>
      <c r="M36" s="14">
        <f>M35+E36</f>
        <v>4388</v>
      </c>
      <c r="N36" s="2">
        <f>H36</f>
        <v>50262.78</v>
      </c>
    </row>
    <row r="37" spans="1:17">
      <c r="B37" s="1">
        <v>85</v>
      </c>
      <c r="C37" s="1" t="s">
        <v>1</v>
      </c>
      <c r="D37" s="19">
        <v>42115</v>
      </c>
      <c r="E37" s="69">
        <v>274</v>
      </c>
      <c r="F37" s="3">
        <v>10.84</v>
      </c>
      <c r="G37" s="3">
        <v>2970.16</v>
      </c>
      <c r="H37" s="3">
        <v>2970.16</v>
      </c>
      <c r="I37" s="1"/>
      <c r="J37" s="1">
        <v>1</v>
      </c>
      <c r="K37" s="1"/>
      <c r="M37" s="14">
        <f>M36+E37</f>
        <v>4662</v>
      </c>
      <c r="N37" s="2">
        <f>H37</f>
        <v>2970.16</v>
      </c>
    </row>
    <row r="38" spans="1:17">
      <c r="B38" s="1">
        <v>87</v>
      </c>
      <c r="C38" s="1" t="s">
        <v>170</v>
      </c>
      <c r="D38" s="19">
        <v>42136</v>
      </c>
      <c r="E38" s="69">
        <v>0</v>
      </c>
      <c r="F38" s="3">
        <v>1864.8</v>
      </c>
      <c r="G38" s="3">
        <v>1864.8</v>
      </c>
      <c r="H38" s="3">
        <v>1864.8</v>
      </c>
      <c r="I38" s="1"/>
      <c r="J38" s="1">
        <v>1</v>
      </c>
      <c r="K38" s="1"/>
      <c r="M38" s="14">
        <f>M37+E38</f>
        <v>4662</v>
      </c>
      <c r="N38" s="2"/>
      <c r="P38" s="2">
        <f>H38</f>
        <v>1864.8</v>
      </c>
    </row>
    <row r="39" spans="1:17">
      <c r="B39" s="1">
        <v>90</v>
      </c>
      <c r="C39" s="1" t="s">
        <v>153</v>
      </c>
      <c r="D39" s="19">
        <v>42200</v>
      </c>
      <c r="E39" s="69">
        <v>4262</v>
      </c>
      <c r="F39" s="3">
        <v>13.6</v>
      </c>
      <c r="G39" s="3">
        <v>57963.199999999997</v>
      </c>
      <c r="H39" s="3">
        <v>57942.28</v>
      </c>
      <c r="I39" s="1"/>
      <c r="J39" s="1">
        <v>1</v>
      </c>
      <c r="K39" s="3">
        <v>20.92</v>
      </c>
      <c r="M39" s="14">
        <f>M38-E39</f>
        <v>400</v>
      </c>
      <c r="N39" s="2"/>
      <c r="O39" s="2">
        <f>H39</f>
        <v>57942.28</v>
      </c>
    </row>
    <row r="40" spans="1:17">
      <c r="B40" s="1">
        <v>93</v>
      </c>
      <c r="C40" s="1" t="s">
        <v>153</v>
      </c>
      <c r="D40" s="19">
        <v>42201</v>
      </c>
      <c r="E40" s="69">
        <v>400</v>
      </c>
      <c r="F40" s="3">
        <v>13.78</v>
      </c>
      <c r="G40" s="3">
        <v>5512</v>
      </c>
      <c r="H40" s="3">
        <v>5499.6</v>
      </c>
      <c r="I40" s="1"/>
      <c r="J40" s="1">
        <v>1</v>
      </c>
      <c r="K40" s="3">
        <v>12.4</v>
      </c>
      <c r="M40" s="14">
        <f>M39-E40</f>
        <v>0</v>
      </c>
      <c r="N40" s="2"/>
      <c r="O40" s="2">
        <f>H40</f>
        <v>5499.6</v>
      </c>
    </row>
    <row r="41" spans="1:17">
      <c r="B41" s="1">
        <v>99</v>
      </c>
      <c r="C41" s="1" t="s">
        <v>1</v>
      </c>
      <c r="D41" s="19">
        <v>42278</v>
      </c>
      <c r="E41" s="69">
        <v>4570</v>
      </c>
      <c r="F41" s="3">
        <v>10.91</v>
      </c>
      <c r="G41" s="3">
        <v>49858.7</v>
      </c>
      <c r="H41" s="3">
        <v>49878.84</v>
      </c>
      <c r="I41" s="1"/>
      <c r="J41" s="1">
        <v>1</v>
      </c>
      <c r="K41" s="3">
        <v>20.14</v>
      </c>
      <c r="M41" s="14">
        <f>M40+E41</f>
        <v>4570</v>
      </c>
      <c r="N41" s="2">
        <f>H41</f>
        <v>49878.84</v>
      </c>
    </row>
    <row r="42" spans="1:17">
      <c r="B42" s="1">
        <v>102</v>
      </c>
      <c r="C42" s="1" t="s">
        <v>153</v>
      </c>
      <c r="D42" s="19">
        <v>42289</v>
      </c>
      <c r="E42" s="69">
        <v>4570</v>
      </c>
      <c r="F42" s="3">
        <v>11.595000000000001</v>
      </c>
      <c r="G42" s="3">
        <v>52989.15</v>
      </c>
      <c r="H42" s="3">
        <v>52968.71</v>
      </c>
      <c r="I42" s="1"/>
      <c r="J42" s="1">
        <v>1</v>
      </c>
      <c r="K42" s="3">
        <v>20.440000000000001</v>
      </c>
      <c r="M42" s="14">
        <f>M41-E42</f>
        <v>0</v>
      </c>
      <c r="N42" s="2"/>
      <c r="O42" s="2">
        <f>H42</f>
        <v>52968.71</v>
      </c>
    </row>
    <row r="43" spans="1:17">
      <c r="B43" s="1">
        <v>106</v>
      </c>
      <c r="C43" s="1" t="s">
        <v>1</v>
      </c>
      <c r="D43" s="19">
        <v>42342</v>
      </c>
      <c r="E43" s="69">
        <v>4492</v>
      </c>
      <c r="F43" s="3">
        <v>11.13</v>
      </c>
      <c r="G43" s="3">
        <v>49995.96</v>
      </c>
      <c r="H43" s="3">
        <v>50016.11</v>
      </c>
      <c r="I43" s="1"/>
      <c r="J43" s="1">
        <v>1</v>
      </c>
      <c r="K43" s="3">
        <v>20.149999999999999</v>
      </c>
      <c r="M43" s="14">
        <f>M42+E43</f>
        <v>4492</v>
      </c>
      <c r="N43" s="2">
        <f>H43</f>
        <v>50016.11</v>
      </c>
    </row>
    <row r="44" spans="1:17">
      <c r="B44" s="1">
        <v>107</v>
      </c>
      <c r="C44" s="1" t="s">
        <v>153</v>
      </c>
      <c r="D44" s="19">
        <v>42369</v>
      </c>
      <c r="E44" s="69">
        <v>4492</v>
      </c>
      <c r="F44" s="3">
        <v>10.275</v>
      </c>
      <c r="G44" s="3">
        <v>46155.3</v>
      </c>
      <c r="H44" s="3">
        <v>46135.519999999997</v>
      </c>
      <c r="I44" s="1"/>
      <c r="J44" s="1">
        <v>1</v>
      </c>
      <c r="K44" s="3">
        <v>19.78</v>
      </c>
      <c r="M44" s="14">
        <f>M43-E44</f>
        <v>0</v>
      </c>
      <c r="N44" s="2"/>
      <c r="O44" s="2">
        <f>H44</f>
        <v>46135.519999999997</v>
      </c>
    </row>
    <row r="45" spans="1:17">
      <c r="K45" s="10">
        <f>SUM(K3:K44)</f>
        <v>382.41999999999996</v>
      </c>
      <c r="N45" s="10">
        <f>SUM(N3:N44)</f>
        <v>234237.52999999997</v>
      </c>
      <c r="O45" s="10">
        <f>SUM(O3:O44)</f>
        <v>257978.88999999998</v>
      </c>
      <c r="P45" s="10">
        <f>SUM(P3:P44)</f>
        <v>5726.85</v>
      </c>
    </row>
    <row r="46" spans="1:17">
      <c r="H46" s="2"/>
      <c r="N46" s="10">
        <f>+O45+P45-N45</f>
        <v>29468.210000000021</v>
      </c>
    </row>
    <row r="47" spans="1:17">
      <c r="N47" s="2"/>
      <c r="O47" s="2">
        <f>+O45-N45</f>
        <v>23741.360000000015</v>
      </c>
    </row>
    <row r="48" spans="1:17">
      <c r="A48" s="4" t="s">
        <v>198</v>
      </c>
      <c r="N48" s="2"/>
      <c r="Q48" s="8" t="s">
        <v>135</v>
      </c>
    </row>
    <row r="49" spans="2:17">
      <c r="B49">
        <v>79</v>
      </c>
      <c r="C49" t="s">
        <v>1</v>
      </c>
      <c r="D49" s="18">
        <v>41711</v>
      </c>
      <c r="E49" s="14">
        <v>925</v>
      </c>
      <c r="F49" s="2">
        <v>10.824999999999999</v>
      </c>
      <c r="G49" s="2">
        <v>10013.129999999999</v>
      </c>
      <c r="H49" s="2">
        <v>10028.19</v>
      </c>
      <c r="J49">
        <v>1</v>
      </c>
      <c r="K49" s="2">
        <v>15.06</v>
      </c>
      <c r="M49" s="14">
        <f>E49</f>
        <v>925</v>
      </c>
      <c r="N49" s="70">
        <f>H49</f>
        <v>10028.19</v>
      </c>
      <c r="O49" s="10"/>
      <c r="P49" s="10"/>
    </row>
    <row r="50" spans="2:17">
      <c r="B50">
        <v>80</v>
      </c>
      <c r="C50" t="s">
        <v>153</v>
      </c>
      <c r="D50" s="18">
        <v>41717</v>
      </c>
      <c r="E50" s="14">
        <v>925</v>
      </c>
      <c r="F50" s="2">
        <v>11.05</v>
      </c>
      <c r="G50" s="2">
        <v>10221.25</v>
      </c>
      <c r="H50" s="2">
        <v>10195.93</v>
      </c>
      <c r="J50">
        <v>1</v>
      </c>
      <c r="K50" s="2">
        <v>25.32</v>
      </c>
      <c r="M50" s="14">
        <f>M49-E50</f>
        <v>0</v>
      </c>
      <c r="N50" s="71"/>
      <c r="O50" s="2">
        <f>H50</f>
        <v>10195.93</v>
      </c>
    </row>
    <row r="51" spans="2:17">
      <c r="B51">
        <v>81</v>
      </c>
      <c r="C51" t="s">
        <v>1</v>
      </c>
      <c r="D51" s="18">
        <v>41830</v>
      </c>
      <c r="E51" s="14">
        <v>929</v>
      </c>
      <c r="F51" s="2">
        <v>10.74</v>
      </c>
      <c r="G51" s="2">
        <v>9977.4599999999991</v>
      </c>
      <c r="H51" s="2">
        <v>9992.52</v>
      </c>
      <c r="J51">
        <v>1</v>
      </c>
      <c r="K51" s="2">
        <v>15.06</v>
      </c>
      <c r="M51" s="14">
        <f>M50+E51</f>
        <v>929</v>
      </c>
      <c r="N51" s="70">
        <f>H51</f>
        <v>9992.52</v>
      </c>
      <c r="O51" s="2"/>
      <c r="P51" s="2"/>
    </row>
    <row r="52" spans="2:17">
      <c r="B52">
        <v>82</v>
      </c>
      <c r="C52" t="s">
        <v>153</v>
      </c>
      <c r="D52" s="18">
        <v>41877</v>
      </c>
      <c r="E52" s="14">
        <v>929</v>
      </c>
      <c r="F52" s="2">
        <v>10.98</v>
      </c>
      <c r="G52" s="2">
        <v>10200.42</v>
      </c>
      <c r="H52" s="2">
        <v>10185.33</v>
      </c>
      <c r="J52">
        <v>1</v>
      </c>
      <c r="K52" s="2">
        <v>15.09</v>
      </c>
      <c r="M52" s="14">
        <f>M51-E52</f>
        <v>0</v>
      </c>
      <c r="N52" s="71"/>
      <c r="O52" s="2">
        <f>H52</f>
        <v>10185.33</v>
      </c>
    </row>
    <row r="53" spans="2:17">
      <c r="B53" s="72">
        <v>83</v>
      </c>
      <c r="C53" s="72" t="s">
        <v>1</v>
      </c>
      <c r="D53" s="63">
        <v>41984</v>
      </c>
      <c r="E53" s="73">
        <v>5386</v>
      </c>
      <c r="F53" s="64">
        <v>9.2676999999999996</v>
      </c>
      <c r="G53" s="64">
        <v>49916.04</v>
      </c>
      <c r="H53" s="64">
        <v>49936.18</v>
      </c>
      <c r="I53" s="72"/>
      <c r="J53" s="72">
        <v>1</v>
      </c>
      <c r="K53" s="64">
        <v>20.14</v>
      </c>
      <c r="L53" s="72"/>
      <c r="M53" s="73">
        <f>M52+E53</f>
        <v>5386</v>
      </c>
      <c r="N53" s="64">
        <f>H53</f>
        <v>49936.18</v>
      </c>
      <c r="O53" s="72"/>
      <c r="Q53" s="2">
        <f>(O50-N49)+(O52-N51)</f>
        <v>360.54999999999927</v>
      </c>
    </row>
    <row r="54" spans="2:17">
      <c r="B54">
        <v>84</v>
      </c>
      <c r="C54" t="s">
        <v>153</v>
      </c>
      <c r="D54" s="18">
        <v>42047</v>
      </c>
      <c r="E54" s="14">
        <v>5386</v>
      </c>
      <c r="F54" s="2">
        <v>9.0449999999999999</v>
      </c>
      <c r="G54" s="2">
        <v>48716.37</v>
      </c>
      <c r="H54" s="2">
        <v>48696.34</v>
      </c>
      <c r="J54">
        <v>1</v>
      </c>
      <c r="K54" s="2">
        <v>20.03</v>
      </c>
      <c r="M54" s="14">
        <f>M53-E54</f>
        <v>0</v>
      </c>
      <c r="N54" s="71"/>
      <c r="O54" s="2">
        <f>H54</f>
        <v>48696.34</v>
      </c>
    </row>
    <row r="55" spans="2:17">
      <c r="B55">
        <v>94</v>
      </c>
      <c r="C55" t="s">
        <v>1</v>
      </c>
      <c r="D55" s="18">
        <v>42212</v>
      </c>
      <c r="E55" s="14">
        <v>6415</v>
      </c>
      <c r="F55" s="2">
        <v>7.7939999999999996</v>
      </c>
      <c r="G55" s="2">
        <v>49998.51</v>
      </c>
      <c r="H55" s="2">
        <v>50018.66</v>
      </c>
      <c r="J55">
        <v>1</v>
      </c>
      <c r="K55" s="2">
        <v>20.149999999999999</v>
      </c>
      <c r="M55" s="14">
        <f>M54+E55</f>
        <v>6415</v>
      </c>
      <c r="N55" s="70">
        <f>H55</f>
        <v>50018.66</v>
      </c>
    </row>
    <row r="56" spans="2:17">
      <c r="B56" s="72">
        <v>97</v>
      </c>
      <c r="C56" s="72" t="s">
        <v>153</v>
      </c>
      <c r="D56" s="63">
        <v>42214</v>
      </c>
      <c r="E56" s="73">
        <v>6415</v>
      </c>
      <c r="F56" s="64">
        <v>8.19</v>
      </c>
      <c r="G56" s="64">
        <v>52538.85</v>
      </c>
      <c r="H56" s="64">
        <v>52518.45</v>
      </c>
      <c r="I56" s="72"/>
      <c r="J56" s="72">
        <v>1</v>
      </c>
      <c r="K56" s="64">
        <v>20.399999999999999</v>
      </c>
      <c r="L56" s="72"/>
      <c r="M56" s="73">
        <f>M55-E56</f>
        <v>0</v>
      </c>
      <c r="N56" s="72"/>
      <c r="O56" s="64">
        <f>H56</f>
        <v>52518.45</v>
      </c>
      <c r="Q56" s="2">
        <f>O56-N55+O54-N53</f>
        <v>1259.9499999999898</v>
      </c>
    </row>
    <row r="57" spans="2:17">
      <c r="B57">
        <v>138</v>
      </c>
      <c r="C57" t="s">
        <v>199</v>
      </c>
      <c r="D57" s="18">
        <v>42822</v>
      </c>
      <c r="E57" s="14">
        <v>1581</v>
      </c>
      <c r="F57" s="2">
        <v>7.5910000000000002</v>
      </c>
      <c r="G57" s="2">
        <v>12001.37</v>
      </c>
      <c r="H57" s="2">
        <v>12001.37</v>
      </c>
      <c r="J57">
        <v>1</v>
      </c>
      <c r="K57" s="2">
        <v>15.15</v>
      </c>
      <c r="M57" s="14">
        <v>0</v>
      </c>
      <c r="N57" s="71"/>
    </row>
    <row r="58" spans="2:17">
      <c r="B58" s="72">
        <v>151</v>
      </c>
      <c r="C58" s="72" t="s">
        <v>1</v>
      </c>
      <c r="D58" s="63">
        <v>42822</v>
      </c>
      <c r="E58" s="73">
        <v>527</v>
      </c>
      <c r="F58" s="64">
        <v>22.773</v>
      </c>
      <c r="G58" s="64">
        <v>12001.37</v>
      </c>
      <c r="H58" s="64">
        <v>12016.52</v>
      </c>
      <c r="I58" s="72"/>
      <c r="J58" s="72">
        <v>1</v>
      </c>
      <c r="K58" s="64">
        <v>15.15</v>
      </c>
      <c r="L58" s="72"/>
      <c r="M58" s="73">
        <f>M57+E58</f>
        <v>527</v>
      </c>
      <c r="N58" s="64">
        <f>H58</f>
        <v>12016.52</v>
      </c>
      <c r="O58" s="72"/>
    </row>
    <row r="59" spans="2:17">
      <c r="B59">
        <v>165</v>
      </c>
      <c r="C59" t="s">
        <v>153</v>
      </c>
      <c r="D59" s="18">
        <v>43236</v>
      </c>
      <c r="E59" s="14">
        <v>527</v>
      </c>
      <c r="F59" s="2">
        <v>30.416</v>
      </c>
      <c r="G59" s="2">
        <v>16029.25</v>
      </c>
      <c r="H59" s="2">
        <v>16001.8</v>
      </c>
      <c r="J59">
        <v>1</v>
      </c>
      <c r="K59" s="2">
        <v>27.45</v>
      </c>
      <c r="M59" s="14">
        <f>M58-E59</f>
        <v>0</v>
      </c>
      <c r="N59" s="71"/>
      <c r="O59" s="2">
        <f>H59</f>
        <v>16001.8</v>
      </c>
    </row>
    <row r="60" spans="2:17">
      <c r="B60">
        <v>166</v>
      </c>
      <c r="C60" t="s">
        <v>1</v>
      </c>
      <c r="D60" s="18">
        <v>43389</v>
      </c>
      <c r="E60" s="14">
        <v>1600</v>
      </c>
      <c r="F60" s="2">
        <v>24.388000000000002</v>
      </c>
      <c r="G60" s="2">
        <v>39020.800000000003</v>
      </c>
      <c r="H60" s="2">
        <v>39049.31</v>
      </c>
      <c r="J60">
        <v>1</v>
      </c>
      <c r="K60" s="2">
        <v>28.51</v>
      </c>
      <c r="M60" s="14">
        <f>M59+E60</f>
        <v>1600</v>
      </c>
      <c r="N60" s="70">
        <f>H60</f>
        <v>39049.31</v>
      </c>
    </row>
    <row r="61" spans="2:17">
      <c r="B61" s="72">
        <v>169</v>
      </c>
      <c r="C61" s="72" t="s">
        <v>153</v>
      </c>
      <c r="D61" s="63">
        <v>43458</v>
      </c>
      <c r="E61" s="73">
        <v>648</v>
      </c>
      <c r="F61" s="64">
        <v>18.260000000000002</v>
      </c>
      <c r="G61" s="64">
        <v>11832.48</v>
      </c>
      <c r="H61" s="64">
        <v>11822.42</v>
      </c>
      <c r="I61" s="72"/>
      <c r="J61" s="72">
        <v>1</v>
      </c>
      <c r="K61" s="64">
        <v>10.06</v>
      </c>
      <c r="L61" s="72"/>
      <c r="M61" s="73">
        <f>M60-E61</f>
        <v>952</v>
      </c>
      <c r="N61" s="72"/>
      <c r="O61" s="64">
        <f>H61</f>
        <v>11822.42</v>
      </c>
    </row>
    <row r="62" spans="2:17">
      <c r="B62">
        <v>174</v>
      </c>
      <c r="C62" t="s">
        <v>1</v>
      </c>
      <c r="D62" s="18">
        <v>43550</v>
      </c>
      <c r="E62" s="14">
        <v>700</v>
      </c>
      <c r="F62" s="2">
        <v>18.027999999999999</v>
      </c>
      <c r="G62" s="2">
        <v>12619.6</v>
      </c>
      <c r="H62" s="2">
        <v>12629.66</v>
      </c>
      <c r="J62">
        <v>1</v>
      </c>
      <c r="K62" s="2">
        <v>10.06</v>
      </c>
      <c r="M62" s="14">
        <f>M61+E62</f>
        <v>1652</v>
      </c>
      <c r="N62" s="70">
        <f>H62</f>
        <v>12629.66</v>
      </c>
    </row>
    <row r="63" spans="2:17">
      <c r="B63">
        <v>176</v>
      </c>
      <c r="C63" t="s">
        <v>170</v>
      </c>
      <c r="D63" s="18">
        <v>43629</v>
      </c>
      <c r="E63" s="14">
        <v>0</v>
      </c>
      <c r="F63" s="2">
        <v>294.32</v>
      </c>
      <c r="G63" s="2">
        <v>294.32</v>
      </c>
      <c r="H63" s="2">
        <v>294.32</v>
      </c>
      <c r="J63">
        <v>1</v>
      </c>
      <c r="K63" s="2">
        <v>0</v>
      </c>
      <c r="M63" s="14">
        <f>M62+E63</f>
        <v>1652</v>
      </c>
      <c r="N63" s="71"/>
      <c r="P63" s="2">
        <f>H63</f>
        <v>294.32</v>
      </c>
    </row>
    <row r="64" spans="2:17">
      <c r="B64">
        <v>177</v>
      </c>
      <c r="C64" t="s">
        <v>153</v>
      </c>
      <c r="D64" s="18">
        <v>43797</v>
      </c>
      <c r="E64" s="14">
        <v>1252</v>
      </c>
      <c r="F64" s="2">
        <v>15.624000000000001</v>
      </c>
      <c r="G64" s="2">
        <v>19561.25</v>
      </c>
      <c r="H64" s="2">
        <v>19551.189999999999</v>
      </c>
      <c r="J64">
        <v>1</v>
      </c>
      <c r="K64" s="2">
        <v>10.06</v>
      </c>
      <c r="M64" s="14">
        <f>M63-E64</f>
        <v>400</v>
      </c>
      <c r="N64" s="71"/>
      <c r="O64" s="2">
        <f>H64</f>
        <v>19551.189999999999</v>
      </c>
    </row>
    <row r="65" spans="2:16">
      <c r="B65" s="72">
        <v>178</v>
      </c>
      <c r="C65" s="72" t="s">
        <v>1</v>
      </c>
      <c r="D65" s="63">
        <v>43802</v>
      </c>
      <c r="E65" s="73">
        <v>1252</v>
      </c>
      <c r="F65" s="64">
        <v>15.3162</v>
      </c>
      <c r="G65" s="64">
        <v>19175.86</v>
      </c>
      <c r="H65" s="64">
        <v>19201.150000000001</v>
      </c>
      <c r="I65" s="72"/>
      <c r="J65" s="72">
        <v>1</v>
      </c>
      <c r="K65" s="64">
        <v>25.29</v>
      </c>
      <c r="L65" s="72"/>
      <c r="M65" s="73">
        <f>M64+E65</f>
        <v>1652</v>
      </c>
      <c r="N65" s="64">
        <f>H65</f>
        <v>19201.150000000001</v>
      </c>
      <c r="O65" s="72"/>
    </row>
    <row r="66" spans="2:16">
      <c r="B66">
        <v>179</v>
      </c>
      <c r="C66" t="s">
        <v>153</v>
      </c>
      <c r="D66" s="18">
        <v>43872</v>
      </c>
      <c r="E66" s="14">
        <v>1252</v>
      </c>
      <c r="F66" s="2">
        <v>16.611999999999998</v>
      </c>
      <c r="G66" s="2">
        <v>20798.22</v>
      </c>
      <c r="H66" s="2">
        <v>20781.68</v>
      </c>
      <c r="J66">
        <v>1</v>
      </c>
      <c r="K66" s="2">
        <v>16.54</v>
      </c>
      <c r="M66" s="14">
        <f>M65-E66</f>
        <v>400</v>
      </c>
      <c r="N66" s="71"/>
      <c r="O66" s="2">
        <f>H66</f>
        <v>20781.68</v>
      </c>
    </row>
    <row r="67" spans="2:16">
      <c r="B67">
        <v>182</v>
      </c>
      <c r="C67" t="s">
        <v>1</v>
      </c>
      <c r="D67" s="18">
        <v>43893</v>
      </c>
      <c r="E67" s="14">
        <v>1500</v>
      </c>
      <c r="F67" s="2">
        <v>13.281000000000001</v>
      </c>
      <c r="G67" s="2">
        <v>19921.46</v>
      </c>
      <c r="H67" s="2">
        <v>19949.75</v>
      </c>
      <c r="J67">
        <v>1</v>
      </c>
      <c r="K67" s="2">
        <v>28.29</v>
      </c>
      <c r="M67" s="14">
        <f>M66+E67</f>
        <v>1900</v>
      </c>
      <c r="N67" s="70">
        <f>H67</f>
        <v>19949.75</v>
      </c>
    </row>
    <row r="68" spans="2:16">
      <c r="C68" t="s">
        <v>200</v>
      </c>
      <c r="D68" s="18"/>
      <c r="E68" s="14">
        <f>M67</f>
        <v>1900</v>
      </c>
      <c r="F68" s="2">
        <v>9.6669999999999998</v>
      </c>
      <c r="G68" s="2"/>
      <c r="H68" s="2">
        <f>E68*F68</f>
        <v>18367.3</v>
      </c>
      <c r="K68" s="2"/>
      <c r="N68" s="70"/>
      <c r="O68" s="2">
        <f>H68</f>
        <v>18367.3</v>
      </c>
    </row>
    <row r="69" spans="2:16">
      <c r="N69" s="10">
        <f>SUM(N49:N67)</f>
        <v>222821.94</v>
      </c>
      <c r="O69" s="10">
        <f>SUM(O49:O68)</f>
        <v>208120.44</v>
      </c>
      <c r="P69" s="10">
        <f>SUM(P49:P67)</f>
        <v>294.32</v>
      </c>
    </row>
    <row r="70" spans="2:16">
      <c r="K70" s="2">
        <f>SUM(K49:K69)</f>
        <v>337.81000000000006</v>
      </c>
      <c r="N70" s="2">
        <f>O69+P69-N69</f>
        <v>-14407.179999999993</v>
      </c>
    </row>
    <row r="71" spans="2:16">
      <c r="N71" s="2">
        <v>-14407.17</v>
      </c>
      <c r="O71" s="2">
        <v>-14262.22</v>
      </c>
    </row>
    <row r="72" spans="2:16">
      <c r="N72" s="2">
        <f>+N70-N71</f>
        <v>-9.9999999929423211E-3</v>
      </c>
      <c r="O72" s="2">
        <f>+O71-N71</f>
        <v>144.95000000000073</v>
      </c>
    </row>
    <row r="73" spans="2:16">
      <c r="N73" s="2"/>
    </row>
    <row r="74" spans="2:16">
      <c r="D74">
        <f>+E57/E58</f>
        <v>3</v>
      </c>
      <c r="F74" s="2">
        <f>+H57-H58</f>
        <v>-15.149999999999636</v>
      </c>
      <c r="N74" s="10">
        <v>222644.224619999</v>
      </c>
      <c r="O74" s="10">
        <f>189898.09508</f>
        <v>189898.09508</v>
      </c>
      <c r="P74" s="10">
        <f>P69</f>
        <v>294.32</v>
      </c>
    </row>
    <row r="75" spans="2:16">
      <c r="N75" s="10">
        <v>337.81</v>
      </c>
      <c r="O75" s="10">
        <v>18367.3</v>
      </c>
    </row>
    <row r="76" spans="2:16">
      <c r="N76" s="10">
        <f>SUM(N74:N75)</f>
        <v>222982.034619999</v>
      </c>
    </row>
    <row r="78" spans="2:16">
      <c r="G78">
        <v>2014</v>
      </c>
      <c r="H78" s="2">
        <v>360.56</v>
      </c>
      <c r="M78" s="14">
        <v>2014</v>
      </c>
      <c r="N78" s="2">
        <v>390.68</v>
      </c>
    </row>
    <row r="79" spans="2:16">
      <c r="G79">
        <v>2015</v>
      </c>
      <c r="H79" s="2">
        <v>1259.95</v>
      </c>
      <c r="M79" s="14">
        <v>2015</v>
      </c>
      <c r="N79" s="2">
        <v>1300.24</v>
      </c>
    </row>
    <row r="80" spans="2:16">
      <c r="G80">
        <v>2018</v>
      </c>
      <c r="H80" s="2">
        <v>-7.27</v>
      </c>
      <c r="M80" s="14">
        <v>2018</v>
      </c>
      <c r="N80" s="2">
        <v>2.4700000000000002</v>
      </c>
    </row>
    <row r="81" spans="7:14">
      <c r="G81">
        <v>2019</v>
      </c>
      <c r="H81" s="2">
        <v>-8801.5400000000009</v>
      </c>
      <c r="M81" s="14">
        <v>2019</v>
      </c>
      <c r="N81" s="2">
        <v>-8787.4</v>
      </c>
    </row>
    <row r="82" spans="7:14">
      <c r="G82">
        <v>2020</v>
      </c>
      <c r="H82" s="2">
        <v>498.14</v>
      </c>
      <c r="M82" s="14">
        <v>2020</v>
      </c>
      <c r="N82" s="2">
        <v>515.35</v>
      </c>
    </row>
    <row r="83" spans="7:14">
      <c r="G83" t="s">
        <v>208</v>
      </c>
      <c r="H83" s="2">
        <v>-6704.3</v>
      </c>
      <c r="M83" s="14" t="s">
        <v>208</v>
      </c>
      <c r="N83" s="2">
        <v>-6704.3</v>
      </c>
    </row>
    <row r="84" spans="7:14">
      <c r="G84" t="s">
        <v>73</v>
      </c>
      <c r="H84" s="2">
        <v>-6690.17</v>
      </c>
      <c r="M84" s="14" t="s">
        <v>73</v>
      </c>
      <c r="N84" s="2">
        <v>-6578.67</v>
      </c>
    </row>
    <row r="85" spans="7:14">
      <c r="G85" t="s">
        <v>209</v>
      </c>
      <c r="H85" s="2">
        <v>-13394.47</v>
      </c>
      <c r="M85" s="14" t="s">
        <v>209</v>
      </c>
      <c r="N85" s="2">
        <v>-13282.97</v>
      </c>
    </row>
  </sheetData>
  <sortState ref="B49:P67">
    <sortCondition ref="B49:B67"/>
  </sortState>
  <pageMargins left="0.7" right="0.7" top="0.75" bottom="0.75" header="0.3" footer="0.3"/>
  <pageSetup paperSize="9" orientation="portrait" horizontalDpi="0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B2:M134"/>
  <sheetViews>
    <sheetView topLeftCell="A101" workbookViewId="0">
      <selection activeCell="A126" sqref="A126"/>
    </sheetView>
  </sheetViews>
  <sheetFormatPr defaultRowHeight="14.5"/>
  <cols>
    <col min="2" max="2" width="36.453125" customWidth="1"/>
    <col min="4" max="4" width="12.7265625" style="2" customWidth="1"/>
    <col min="5" max="5" width="12.08984375" style="2" customWidth="1"/>
    <col min="8" max="8" width="12.08984375" customWidth="1"/>
    <col min="9" max="9" width="10.36328125" customWidth="1"/>
    <col min="12" max="12" width="9.26953125" bestFit="1" customWidth="1"/>
  </cols>
  <sheetData>
    <row r="2" spans="2:13">
      <c r="B2" s="4" t="s">
        <v>154</v>
      </c>
      <c r="C2" s="8" t="s">
        <v>207</v>
      </c>
      <c r="D2" s="29" t="s">
        <v>135</v>
      </c>
      <c r="E2" s="29" t="s">
        <v>206</v>
      </c>
    </row>
    <row r="3" spans="2:13">
      <c r="B3" t="s">
        <v>3</v>
      </c>
      <c r="C3">
        <v>2014</v>
      </c>
      <c r="D3" s="2">
        <v>-1008.87</v>
      </c>
      <c r="E3" s="2">
        <v>5.57</v>
      </c>
    </row>
    <row r="4" spans="2:13">
      <c r="B4" t="s">
        <v>3</v>
      </c>
      <c r="C4">
        <v>2015</v>
      </c>
      <c r="D4" s="2">
        <v>7008.26</v>
      </c>
      <c r="E4" s="2">
        <v>237.29</v>
      </c>
    </row>
    <row r="5" spans="2:13">
      <c r="B5" t="s">
        <v>3</v>
      </c>
      <c r="C5">
        <v>2016</v>
      </c>
      <c r="D5" s="2">
        <v>874.61</v>
      </c>
      <c r="E5" s="2">
        <v>294.32</v>
      </c>
    </row>
    <row r="6" spans="2:13">
      <c r="B6" t="s">
        <v>3</v>
      </c>
      <c r="C6">
        <v>2017</v>
      </c>
      <c r="D6" s="2">
        <v>913.06</v>
      </c>
      <c r="E6" s="2">
        <v>332.77</v>
      </c>
    </row>
    <row r="7" spans="2:13">
      <c r="B7" t="s">
        <v>3</v>
      </c>
      <c r="C7">
        <v>2018</v>
      </c>
      <c r="D7" s="2">
        <v>866.99</v>
      </c>
      <c r="E7" s="2">
        <v>286.7</v>
      </c>
    </row>
    <row r="8" spans="2:13">
      <c r="B8" t="s">
        <v>3</v>
      </c>
      <c r="C8">
        <v>2019</v>
      </c>
      <c r="D8" s="2">
        <v>886.59</v>
      </c>
      <c r="E8" s="2">
        <v>0</v>
      </c>
    </row>
    <row r="9" spans="2:13">
      <c r="B9" t="s">
        <v>73</v>
      </c>
      <c r="D9" s="2">
        <v>9540.65</v>
      </c>
      <c r="E9" s="2">
        <v>1156.6600000000001</v>
      </c>
    </row>
    <row r="11" spans="2:13">
      <c r="B11" t="s">
        <v>202</v>
      </c>
      <c r="C11">
        <v>2014</v>
      </c>
      <c r="D11" s="2">
        <v>980.81</v>
      </c>
      <c r="E11" s="2">
        <v>-0.44</v>
      </c>
      <c r="G11" s="1">
        <v>37</v>
      </c>
      <c r="H11" s="1" t="s">
        <v>1</v>
      </c>
      <c r="I11" s="19">
        <v>41534</v>
      </c>
      <c r="J11" s="1">
        <v>76.745999999999995</v>
      </c>
      <c r="K11" s="3">
        <v>13.03</v>
      </c>
      <c r="L11" s="2">
        <f>J11*K11</f>
        <v>1000.0003799999998</v>
      </c>
    </row>
    <row r="12" spans="2:13">
      <c r="B12" t="s">
        <v>202</v>
      </c>
      <c r="C12">
        <v>2015</v>
      </c>
      <c r="D12" s="2">
        <v>23.83</v>
      </c>
      <c r="E12" s="2">
        <v>0</v>
      </c>
      <c r="G12" s="1">
        <v>38</v>
      </c>
      <c r="H12" s="1" t="s">
        <v>4</v>
      </c>
      <c r="I12" s="19">
        <v>41673</v>
      </c>
      <c r="J12" s="1">
        <v>75</v>
      </c>
      <c r="K12" s="3">
        <v>12.78</v>
      </c>
      <c r="L12" s="2">
        <f>J12*K12</f>
        <v>958.5</v>
      </c>
      <c r="M12" s="2">
        <f>J12*K12-(K11*J12)</f>
        <v>-18.75</v>
      </c>
    </row>
    <row r="13" spans="2:13">
      <c r="B13" t="s">
        <v>73</v>
      </c>
      <c r="D13" s="2">
        <v>1004.64</v>
      </c>
      <c r="E13" s="2">
        <v>-0.44</v>
      </c>
      <c r="G13" s="1">
        <v>103</v>
      </c>
      <c r="H13" s="1" t="s">
        <v>4</v>
      </c>
      <c r="I13" s="19">
        <v>42310</v>
      </c>
      <c r="J13" s="1">
        <v>1.746</v>
      </c>
      <c r="K13" s="3">
        <v>13.648300000000001</v>
      </c>
      <c r="L13" s="2">
        <f>J13*K13</f>
        <v>23.829931800000001</v>
      </c>
      <c r="M13" s="2">
        <f>J13*K13-J13*K11</f>
        <v>1.0795518000000008</v>
      </c>
    </row>
    <row r="14" spans="2:13">
      <c r="J14">
        <f>+J11-(J12+J13)</f>
        <v>0</v>
      </c>
      <c r="L14" s="2"/>
      <c r="M14" s="2">
        <f>SUM(M12:M13)</f>
        <v>-17.670448199999999</v>
      </c>
    </row>
    <row r="15" spans="2:13">
      <c r="B15" t="s">
        <v>149</v>
      </c>
      <c r="C15">
        <v>2012</v>
      </c>
      <c r="D15" s="2">
        <v>271.37</v>
      </c>
      <c r="E15" s="2">
        <v>271.37</v>
      </c>
    </row>
    <row r="16" spans="2:13">
      <c r="B16" t="s">
        <v>149</v>
      </c>
      <c r="C16">
        <v>2013</v>
      </c>
      <c r="D16" s="2">
        <v>51089.38</v>
      </c>
      <c r="E16" s="2">
        <v>1089.4100000000001</v>
      </c>
    </row>
    <row r="17" spans="2:5">
      <c r="B17" t="s">
        <v>149</v>
      </c>
      <c r="C17">
        <v>2015</v>
      </c>
      <c r="D17" s="2">
        <v>3014.64</v>
      </c>
      <c r="E17" s="2">
        <v>312.2</v>
      </c>
    </row>
    <row r="18" spans="2:5">
      <c r="B18" t="s">
        <v>149</v>
      </c>
      <c r="C18">
        <v>2016</v>
      </c>
      <c r="D18" s="2">
        <v>880.65</v>
      </c>
      <c r="E18" s="2">
        <v>358.24</v>
      </c>
    </row>
    <row r="19" spans="2:5">
      <c r="B19" t="s">
        <v>149</v>
      </c>
      <c r="C19">
        <v>2017</v>
      </c>
      <c r="D19" s="2">
        <v>954.69</v>
      </c>
      <c r="E19" s="2">
        <v>432.28</v>
      </c>
    </row>
    <row r="20" spans="2:5">
      <c r="B20" t="s">
        <v>149</v>
      </c>
      <c r="C20">
        <v>2018</v>
      </c>
      <c r="D20" s="2">
        <v>868.55</v>
      </c>
      <c r="E20" s="2">
        <v>346.14</v>
      </c>
    </row>
    <row r="21" spans="2:5">
      <c r="B21" t="s">
        <v>149</v>
      </c>
      <c r="C21">
        <v>2019</v>
      </c>
      <c r="D21" s="2">
        <v>1028.24</v>
      </c>
      <c r="E21" s="2">
        <v>505.83</v>
      </c>
    </row>
    <row r="22" spans="2:5">
      <c r="B22" t="s">
        <v>149</v>
      </c>
      <c r="C22">
        <v>2020</v>
      </c>
      <c r="D22" s="2">
        <v>926.16</v>
      </c>
      <c r="E22" s="2">
        <v>403.75</v>
      </c>
    </row>
    <row r="23" spans="2:5">
      <c r="B23" t="s">
        <v>73</v>
      </c>
      <c r="D23" s="2">
        <v>59033.67</v>
      </c>
      <c r="E23" s="2">
        <v>3719.21</v>
      </c>
    </row>
    <row r="25" spans="2:5">
      <c r="B25" t="s">
        <v>150</v>
      </c>
      <c r="C25">
        <v>2013</v>
      </c>
      <c r="D25" s="2">
        <v>-951.19</v>
      </c>
      <c r="E25" s="2">
        <v>-945.8</v>
      </c>
    </row>
    <row r="26" spans="2:5">
      <c r="B26" t="s">
        <v>150</v>
      </c>
      <c r="C26">
        <v>2014</v>
      </c>
      <c r="D26" s="2">
        <v>97.18</v>
      </c>
      <c r="E26" s="2">
        <v>-19.239999999999998</v>
      </c>
    </row>
    <row r="27" spans="2:5">
      <c r="B27" t="s">
        <v>150</v>
      </c>
      <c r="C27">
        <v>2015</v>
      </c>
      <c r="D27" s="2">
        <v>111.39</v>
      </c>
      <c r="E27" s="2">
        <v>-5.03</v>
      </c>
    </row>
    <row r="28" spans="2:5">
      <c r="B28" t="s">
        <v>150</v>
      </c>
      <c r="C28">
        <v>2016</v>
      </c>
      <c r="D28" s="2">
        <v>137.43</v>
      </c>
      <c r="E28" s="2">
        <v>21.01</v>
      </c>
    </row>
    <row r="29" spans="2:5">
      <c r="B29" t="s">
        <v>150</v>
      </c>
      <c r="C29">
        <v>2017</v>
      </c>
      <c r="D29" s="2">
        <v>153.88999999999999</v>
      </c>
      <c r="E29" s="2">
        <v>37.47</v>
      </c>
    </row>
    <row r="30" spans="2:5">
      <c r="B30" t="s">
        <v>150</v>
      </c>
      <c r="C30">
        <v>2018</v>
      </c>
      <c r="D30" s="2">
        <v>142.77000000000001</v>
      </c>
      <c r="E30" s="2">
        <v>26.35</v>
      </c>
    </row>
    <row r="31" spans="2:5">
      <c r="B31" t="s">
        <v>150</v>
      </c>
      <c r="C31">
        <v>2019</v>
      </c>
      <c r="D31" s="2">
        <v>157.63999999999999</v>
      </c>
      <c r="E31" s="2">
        <v>41.22</v>
      </c>
    </row>
    <row r="32" spans="2:5">
      <c r="B32" t="s">
        <v>150</v>
      </c>
      <c r="C32">
        <v>2020</v>
      </c>
      <c r="D32" s="2">
        <v>120.24</v>
      </c>
      <c r="E32" s="2">
        <v>3.82</v>
      </c>
    </row>
    <row r="33" spans="2:5">
      <c r="B33" t="s">
        <v>73</v>
      </c>
      <c r="D33" s="2">
        <v>-30.66</v>
      </c>
      <c r="E33" s="2">
        <v>-840.19</v>
      </c>
    </row>
    <row r="35" spans="2:5">
      <c r="B35" t="s">
        <v>8</v>
      </c>
      <c r="C35">
        <v>2013</v>
      </c>
      <c r="D35" s="2">
        <v>-10790.02</v>
      </c>
      <c r="E35" s="2">
        <v>-10790</v>
      </c>
    </row>
    <row r="36" spans="2:5">
      <c r="B36" t="s">
        <v>8</v>
      </c>
      <c r="C36">
        <v>2014</v>
      </c>
      <c r="D36" s="2">
        <v>40884.99</v>
      </c>
      <c r="E36" s="2">
        <v>-2003.61</v>
      </c>
    </row>
    <row r="37" spans="2:5">
      <c r="B37" t="s">
        <v>8</v>
      </c>
      <c r="C37">
        <v>2015</v>
      </c>
      <c r="D37" s="2">
        <v>54725.69</v>
      </c>
      <c r="E37" s="2">
        <v>197.07</v>
      </c>
    </row>
    <row r="38" spans="2:5">
      <c r="B38" t="s">
        <v>8</v>
      </c>
      <c r="C38">
        <v>2016</v>
      </c>
      <c r="D38" s="2">
        <v>1055.24</v>
      </c>
      <c r="E38" s="2">
        <v>277.88</v>
      </c>
    </row>
    <row r="39" spans="2:5">
      <c r="B39" t="s">
        <v>8</v>
      </c>
      <c r="C39">
        <v>2017</v>
      </c>
      <c r="D39" s="2">
        <v>1244.75</v>
      </c>
      <c r="E39" s="2">
        <v>467.39</v>
      </c>
    </row>
    <row r="40" spans="2:5">
      <c r="B40" t="s">
        <v>8</v>
      </c>
      <c r="C40">
        <v>2018</v>
      </c>
      <c r="D40" s="2">
        <v>937.05</v>
      </c>
      <c r="E40" s="2">
        <v>159.69</v>
      </c>
    </row>
    <row r="41" spans="2:5">
      <c r="B41" t="s">
        <v>8</v>
      </c>
      <c r="C41">
        <v>2019</v>
      </c>
      <c r="D41" s="2">
        <v>1171.1400000000001</v>
      </c>
      <c r="E41" s="2">
        <v>393.78</v>
      </c>
    </row>
    <row r="42" spans="2:5">
      <c r="B42" t="s">
        <v>8</v>
      </c>
      <c r="C42">
        <v>2020</v>
      </c>
      <c r="D42" s="2">
        <v>1065.94</v>
      </c>
      <c r="E42" s="2">
        <v>288.58</v>
      </c>
    </row>
    <row r="43" spans="2:5">
      <c r="B43" t="s">
        <v>73</v>
      </c>
      <c r="D43" s="2">
        <v>90294.79</v>
      </c>
      <c r="E43" s="2">
        <v>-11009.22</v>
      </c>
    </row>
    <row r="45" spans="2:5">
      <c r="B45" t="s">
        <v>151</v>
      </c>
      <c r="C45">
        <v>2014</v>
      </c>
      <c r="D45" s="2">
        <v>7326.09</v>
      </c>
      <c r="E45" s="2">
        <v>1292.46</v>
      </c>
    </row>
    <row r="46" spans="2:5">
      <c r="B46" t="s">
        <v>151</v>
      </c>
      <c r="C46">
        <v>2015</v>
      </c>
      <c r="D46" s="2">
        <v>15058.35</v>
      </c>
      <c r="E46" s="2">
        <v>4934.3900000000003</v>
      </c>
    </row>
    <row r="47" spans="2:5">
      <c r="B47" t="s">
        <v>151</v>
      </c>
      <c r="C47">
        <v>2016</v>
      </c>
      <c r="D47" s="2">
        <v>9501.1</v>
      </c>
      <c r="E47" s="2">
        <v>2989.89</v>
      </c>
    </row>
    <row r="48" spans="2:5">
      <c r="B48" t="s">
        <v>151</v>
      </c>
      <c r="C48">
        <v>2017</v>
      </c>
      <c r="D48" s="2">
        <v>10508.08</v>
      </c>
      <c r="E48" s="2">
        <v>3996.87</v>
      </c>
    </row>
    <row r="49" spans="2:5">
      <c r="B49" t="s">
        <v>151</v>
      </c>
      <c r="C49">
        <v>2018</v>
      </c>
      <c r="D49" s="2">
        <v>9554.16</v>
      </c>
      <c r="E49" s="2">
        <v>3042.95</v>
      </c>
    </row>
    <row r="50" spans="2:5">
      <c r="B50" t="s">
        <v>151</v>
      </c>
      <c r="C50">
        <v>2019</v>
      </c>
      <c r="D50" s="2">
        <v>13496.56</v>
      </c>
      <c r="E50" s="2">
        <v>6985.35</v>
      </c>
    </row>
    <row r="51" spans="2:5">
      <c r="B51" t="s">
        <v>151</v>
      </c>
      <c r="C51">
        <v>2020</v>
      </c>
      <c r="D51" s="2">
        <v>13808.79</v>
      </c>
      <c r="E51" s="2">
        <v>7297.58</v>
      </c>
    </row>
    <row r="52" spans="2:5">
      <c r="B52" t="s">
        <v>73</v>
      </c>
      <c r="D52" s="2">
        <v>79253.14</v>
      </c>
      <c r="E52" s="2">
        <v>30539.5</v>
      </c>
    </row>
    <row r="54" spans="2:5">
      <c r="B54" t="s">
        <v>14</v>
      </c>
      <c r="C54">
        <v>2010</v>
      </c>
      <c r="D54" s="2">
        <v>15626.31</v>
      </c>
      <c r="E54" s="2">
        <v>0</v>
      </c>
    </row>
    <row r="55" spans="2:5">
      <c r="B55" t="s">
        <v>14</v>
      </c>
      <c r="C55">
        <v>2011</v>
      </c>
      <c r="D55" s="2">
        <v>15626.31</v>
      </c>
      <c r="E55" s="2">
        <v>0</v>
      </c>
    </row>
    <row r="56" spans="2:5">
      <c r="B56" t="s">
        <v>14</v>
      </c>
      <c r="C56">
        <v>2012</v>
      </c>
      <c r="D56" s="2">
        <v>15626.31</v>
      </c>
      <c r="E56" s="2">
        <v>0</v>
      </c>
    </row>
    <row r="57" spans="2:5">
      <c r="B57" t="s">
        <v>14</v>
      </c>
      <c r="C57">
        <v>2013</v>
      </c>
      <c r="D57" s="2">
        <v>5511.77</v>
      </c>
      <c r="E57" s="2">
        <v>0</v>
      </c>
    </row>
    <row r="58" spans="2:5">
      <c r="B58" t="s">
        <v>73</v>
      </c>
      <c r="D58" s="2">
        <v>52390.7</v>
      </c>
      <c r="E58" s="2">
        <v>0</v>
      </c>
    </row>
    <row r="60" spans="2:5">
      <c r="B60" t="s">
        <v>12</v>
      </c>
      <c r="C60">
        <v>2012</v>
      </c>
      <c r="D60" s="2">
        <v>0</v>
      </c>
      <c r="E60" s="2">
        <v>0</v>
      </c>
    </row>
    <row r="61" spans="2:5">
      <c r="B61" t="s">
        <v>12</v>
      </c>
      <c r="C61">
        <v>2013</v>
      </c>
      <c r="D61" s="2">
        <v>-790.02</v>
      </c>
      <c r="E61" s="2">
        <v>0</v>
      </c>
    </row>
    <row r="62" spans="2:5">
      <c r="B62" t="s">
        <v>73</v>
      </c>
      <c r="D62" s="2">
        <v>-790.02</v>
      </c>
      <c r="E62" s="2">
        <v>0</v>
      </c>
    </row>
    <row r="64" spans="2:5">
      <c r="B64" t="s">
        <v>203</v>
      </c>
      <c r="C64">
        <v>2013</v>
      </c>
      <c r="D64" s="2">
        <v>10376.299999999999</v>
      </c>
      <c r="E64" s="2">
        <v>0</v>
      </c>
    </row>
    <row r="65" spans="2:5">
      <c r="B65" t="s">
        <v>73</v>
      </c>
      <c r="D65" s="2">
        <v>10376.299999999999</v>
      </c>
      <c r="E65" s="2">
        <v>0</v>
      </c>
    </row>
    <row r="67" spans="2:5">
      <c r="B67" t="s">
        <v>165</v>
      </c>
      <c r="C67">
        <v>2013</v>
      </c>
      <c r="D67" s="2">
        <v>-283.13</v>
      </c>
      <c r="E67" s="2">
        <v>-283.13</v>
      </c>
    </row>
    <row r="68" spans="2:5">
      <c r="B68" t="s">
        <v>73</v>
      </c>
      <c r="D68" s="2">
        <v>-283.13</v>
      </c>
      <c r="E68" s="2">
        <v>-283.13</v>
      </c>
    </row>
    <row r="70" spans="2:5">
      <c r="B70" t="s">
        <v>166</v>
      </c>
      <c r="C70">
        <v>2013</v>
      </c>
      <c r="D70" s="2">
        <v>11956.09</v>
      </c>
      <c r="E70" s="2">
        <v>-46.4</v>
      </c>
    </row>
    <row r="71" spans="2:5">
      <c r="B71" t="s">
        <v>73</v>
      </c>
      <c r="D71" s="2">
        <v>11956.09</v>
      </c>
      <c r="E71" s="2">
        <v>-46.4</v>
      </c>
    </row>
    <row r="73" spans="2:5">
      <c r="B73" t="s">
        <v>152</v>
      </c>
      <c r="C73">
        <v>2015</v>
      </c>
      <c r="D73" s="2">
        <v>-62.05</v>
      </c>
      <c r="E73" s="2">
        <v>-62.05</v>
      </c>
    </row>
    <row r="74" spans="2:5">
      <c r="B74" t="s">
        <v>152</v>
      </c>
      <c r="C74">
        <v>2016</v>
      </c>
      <c r="D74" s="2">
        <v>909.11</v>
      </c>
      <c r="E74" s="2">
        <v>-90.89</v>
      </c>
    </row>
    <row r="75" spans="2:5">
      <c r="B75" t="s">
        <v>152</v>
      </c>
      <c r="C75">
        <v>2017</v>
      </c>
      <c r="D75" s="2">
        <v>57680.53</v>
      </c>
      <c r="E75" s="2">
        <v>6682.18</v>
      </c>
    </row>
    <row r="76" spans="2:5">
      <c r="B76" t="s">
        <v>152</v>
      </c>
      <c r="C76">
        <v>2018</v>
      </c>
      <c r="D76" s="2">
        <v>50406.080000000002</v>
      </c>
      <c r="E76" s="2">
        <v>-592.26</v>
      </c>
    </row>
    <row r="77" spans="2:5">
      <c r="B77" t="s">
        <v>152</v>
      </c>
      <c r="C77">
        <v>2019</v>
      </c>
      <c r="D77" s="2">
        <v>53910.559999999998</v>
      </c>
      <c r="E77" s="2">
        <v>2912.21</v>
      </c>
    </row>
    <row r="78" spans="2:5">
      <c r="B78" t="s">
        <v>152</v>
      </c>
      <c r="C78">
        <v>2020</v>
      </c>
      <c r="D78" s="2">
        <v>47538.58</v>
      </c>
      <c r="E78" s="2">
        <v>-3459.77</v>
      </c>
    </row>
    <row r="79" spans="2:5">
      <c r="B79" t="s">
        <v>73</v>
      </c>
      <c r="D79" s="2">
        <v>210382.8</v>
      </c>
      <c r="E79" s="2">
        <v>5389.43</v>
      </c>
    </row>
    <row r="81" spans="2:5">
      <c r="B81" t="s">
        <v>21</v>
      </c>
      <c r="C81">
        <v>2015</v>
      </c>
      <c r="D81" s="2">
        <v>11290.38</v>
      </c>
      <c r="E81" s="2">
        <v>11290.38</v>
      </c>
    </row>
    <row r="82" spans="2:5">
      <c r="B82" t="s">
        <v>21</v>
      </c>
      <c r="C82">
        <v>2016</v>
      </c>
      <c r="D82" s="2">
        <v>57281.05</v>
      </c>
      <c r="E82" s="2">
        <v>12015.37</v>
      </c>
    </row>
    <row r="83" spans="2:5">
      <c r="B83" t="s">
        <v>21</v>
      </c>
      <c r="C83">
        <v>2017</v>
      </c>
      <c r="D83" s="10">
        <v>68893.83</v>
      </c>
      <c r="E83" s="10">
        <v>23628.16</v>
      </c>
    </row>
    <row r="84" spans="2:5">
      <c r="B84" t="s">
        <v>21</v>
      </c>
      <c r="C84">
        <v>2018</v>
      </c>
      <c r="D84" s="2">
        <v>53358.68</v>
      </c>
      <c r="E84" s="2">
        <v>8093</v>
      </c>
    </row>
    <row r="85" spans="2:5">
      <c r="B85" t="s">
        <v>21</v>
      </c>
      <c r="C85">
        <v>2019</v>
      </c>
      <c r="D85" s="2">
        <v>65662.710000000006</v>
      </c>
      <c r="E85" s="2">
        <v>17407.45</v>
      </c>
    </row>
    <row r="86" spans="2:5">
      <c r="B86" t="s">
        <v>21</v>
      </c>
      <c r="C86">
        <v>2020</v>
      </c>
      <c r="D86" s="2">
        <v>32625.599999999999</v>
      </c>
      <c r="E86" s="2">
        <v>14697.05</v>
      </c>
    </row>
    <row r="87" spans="2:5">
      <c r="B87" t="s">
        <v>73</v>
      </c>
      <c r="D87" s="2">
        <v>289112.24</v>
      </c>
      <c r="E87" s="2">
        <v>87131.4</v>
      </c>
    </row>
    <row r="89" spans="2:5">
      <c r="B89" t="s">
        <v>0</v>
      </c>
      <c r="C89">
        <v>2016</v>
      </c>
      <c r="D89" s="2">
        <v>17.62</v>
      </c>
      <c r="E89" s="2">
        <v>17.62</v>
      </c>
    </row>
    <row r="90" spans="2:5">
      <c r="B90" t="s">
        <v>0</v>
      </c>
      <c r="C90">
        <v>2017</v>
      </c>
      <c r="D90" s="2">
        <v>1033.23</v>
      </c>
      <c r="E90" s="2">
        <v>33.229999999999997</v>
      </c>
    </row>
    <row r="91" spans="2:5">
      <c r="B91" t="s">
        <v>0</v>
      </c>
      <c r="C91">
        <v>2018</v>
      </c>
      <c r="D91" s="2">
        <v>1013.33</v>
      </c>
      <c r="E91" s="2">
        <v>13.33</v>
      </c>
    </row>
    <row r="92" spans="2:5">
      <c r="B92" t="s">
        <v>0</v>
      </c>
      <c r="C92">
        <v>2019</v>
      </c>
      <c r="D92" s="2">
        <v>1343.67</v>
      </c>
      <c r="E92" s="2">
        <v>343.67</v>
      </c>
    </row>
    <row r="93" spans="2:5">
      <c r="B93" t="s">
        <v>0</v>
      </c>
      <c r="C93">
        <v>2020</v>
      </c>
      <c r="D93" s="2">
        <v>1909.78</v>
      </c>
      <c r="E93" s="2">
        <v>329.5</v>
      </c>
    </row>
    <row r="94" spans="2:5">
      <c r="B94" t="s">
        <v>73</v>
      </c>
      <c r="D94" s="2">
        <v>5317.64</v>
      </c>
      <c r="E94" s="2">
        <v>737.35</v>
      </c>
    </row>
    <row r="96" spans="2:5">
      <c r="B96" t="s">
        <v>20</v>
      </c>
      <c r="C96">
        <v>2019</v>
      </c>
      <c r="D96" s="2">
        <v>11384.96</v>
      </c>
      <c r="E96" s="2">
        <v>11384.96</v>
      </c>
    </row>
    <row r="97" spans="2:9">
      <c r="B97" t="s">
        <v>20</v>
      </c>
      <c r="C97">
        <v>2020</v>
      </c>
      <c r="D97" s="2">
        <v>43186.59</v>
      </c>
      <c r="E97" s="2">
        <v>15849.47</v>
      </c>
    </row>
    <row r="98" spans="2:9">
      <c r="B98" t="s">
        <v>73</v>
      </c>
      <c r="D98" s="2">
        <v>54571.56</v>
      </c>
      <c r="E98" s="2">
        <v>27234.44</v>
      </c>
    </row>
    <row r="99" spans="2:9">
      <c r="G99" s="8"/>
    </row>
    <row r="100" spans="2:9">
      <c r="B100" t="s">
        <v>157</v>
      </c>
      <c r="C100">
        <v>2014</v>
      </c>
      <c r="D100" s="2">
        <v>390.68</v>
      </c>
      <c r="E100" s="2">
        <v>360.56</v>
      </c>
      <c r="I100" s="1"/>
    </row>
    <row r="101" spans="2:9">
      <c r="B101" t="s">
        <v>157</v>
      </c>
      <c r="C101">
        <v>2015</v>
      </c>
      <c r="D101" s="2">
        <v>51216.28</v>
      </c>
      <c r="E101" s="2">
        <v>1259.95</v>
      </c>
      <c r="H101" s="2"/>
      <c r="I101" s="1"/>
    </row>
    <row r="102" spans="2:9">
      <c r="B102" t="s">
        <v>157</v>
      </c>
      <c r="C102">
        <v>2017</v>
      </c>
      <c r="D102" s="2">
        <v>2467.41</v>
      </c>
      <c r="E102" s="2">
        <v>0</v>
      </c>
      <c r="H102" s="2"/>
      <c r="I102" s="1"/>
    </row>
    <row r="103" spans="2:9">
      <c r="B103" t="s">
        <v>157</v>
      </c>
      <c r="C103">
        <v>2018</v>
      </c>
      <c r="D103" s="2">
        <v>6093.82</v>
      </c>
      <c r="E103" s="2">
        <v>-7.27</v>
      </c>
      <c r="H103" s="2"/>
      <c r="I103" s="1"/>
    </row>
    <row r="104" spans="2:9">
      <c r="B104" t="s">
        <v>157</v>
      </c>
      <c r="C104">
        <v>2019</v>
      </c>
      <c r="D104" s="2">
        <v>13847.16</v>
      </c>
      <c r="E104" s="2">
        <v>-8801.5400000000009</v>
      </c>
      <c r="H104" s="2"/>
      <c r="I104" s="1"/>
    </row>
    <row r="105" spans="2:9">
      <c r="B105" t="s">
        <v>157</v>
      </c>
      <c r="C105">
        <v>2020</v>
      </c>
      <c r="D105" s="2">
        <v>19506.78</v>
      </c>
      <c r="E105" s="2">
        <v>-6933.86</v>
      </c>
      <c r="H105" s="2"/>
      <c r="I105" s="1"/>
    </row>
    <row r="106" spans="2:9">
      <c r="B106" t="s">
        <v>73</v>
      </c>
      <c r="D106" s="2">
        <v>93522.13</v>
      </c>
      <c r="E106" s="2">
        <v>-14122.17</v>
      </c>
      <c r="H106" s="2"/>
      <c r="I106" s="1"/>
    </row>
    <row r="107" spans="2:9">
      <c r="H107" s="2"/>
    </row>
    <row r="108" spans="2:9">
      <c r="B108" t="s">
        <v>158</v>
      </c>
      <c r="C108">
        <v>2015</v>
      </c>
      <c r="D108" s="2">
        <v>2450.7600000000002</v>
      </c>
      <c r="E108" s="2">
        <v>2430.58</v>
      </c>
    </row>
    <row r="109" spans="2:9">
      <c r="B109" t="s">
        <v>73</v>
      </c>
      <c r="D109" s="2">
        <v>2450.7600000000002</v>
      </c>
      <c r="E109" s="2">
        <v>2430.58</v>
      </c>
    </row>
    <row r="110" spans="2:9">
      <c r="G110" s="1"/>
      <c r="H110" s="3"/>
    </row>
    <row r="111" spans="2:9">
      <c r="B111" t="s">
        <v>159</v>
      </c>
      <c r="C111">
        <v>2010</v>
      </c>
      <c r="D111" s="2">
        <v>0.23</v>
      </c>
      <c r="E111" s="2">
        <v>-1269.5999999999999</v>
      </c>
      <c r="G111" s="1"/>
      <c r="H111" s="3"/>
    </row>
    <row r="112" spans="2:9">
      <c r="B112" t="s">
        <v>159</v>
      </c>
      <c r="C112">
        <v>2011</v>
      </c>
      <c r="D112" s="2">
        <v>0.23</v>
      </c>
      <c r="E112" s="2">
        <v>-1269.5999999999999</v>
      </c>
      <c r="G112" s="1"/>
      <c r="H112" s="3"/>
    </row>
    <row r="113" spans="2:8">
      <c r="B113" t="s">
        <v>159</v>
      </c>
      <c r="C113">
        <v>2012</v>
      </c>
      <c r="D113" s="2">
        <v>684.48</v>
      </c>
      <c r="E113" s="2">
        <v>-599.41</v>
      </c>
      <c r="G113" s="1"/>
      <c r="H113" s="3"/>
    </row>
    <row r="114" spans="2:8">
      <c r="B114" t="s">
        <v>159</v>
      </c>
      <c r="C114">
        <v>2013</v>
      </c>
      <c r="D114" s="2">
        <v>13728.17</v>
      </c>
      <c r="E114" s="2">
        <v>2459.16</v>
      </c>
      <c r="G114" s="1"/>
      <c r="H114" s="3"/>
    </row>
    <row r="115" spans="2:8">
      <c r="B115" t="s">
        <v>159</v>
      </c>
      <c r="C115">
        <v>2014</v>
      </c>
      <c r="D115" s="2">
        <v>54803.57</v>
      </c>
      <c r="E115" s="2">
        <v>14890.27</v>
      </c>
      <c r="G115" s="1"/>
      <c r="H115" s="3"/>
    </row>
    <row r="116" spans="2:8">
      <c r="B116" t="s">
        <v>159</v>
      </c>
      <c r="C116">
        <v>2015</v>
      </c>
      <c r="D116" s="2">
        <v>11341.65</v>
      </c>
      <c r="E116" s="2">
        <v>12043.98</v>
      </c>
      <c r="G116" s="1"/>
      <c r="H116" s="3"/>
    </row>
    <row r="117" spans="2:8">
      <c r="B117" t="s">
        <v>73</v>
      </c>
      <c r="D117" s="2">
        <v>80558.33</v>
      </c>
      <c r="E117" s="2">
        <v>26254.799999999999</v>
      </c>
    </row>
    <row r="119" spans="2:8">
      <c r="B119" t="s">
        <v>160</v>
      </c>
      <c r="C119">
        <v>2016</v>
      </c>
      <c r="D119" s="2">
        <v>-84.88</v>
      </c>
      <c r="E119" s="2">
        <v>-97.29</v>
      </c>
    </row>
    <row r="120" spans="2:8">
      <c r="B120" t="s">
        <v>160</v>
      </c>
      <c r="C120">
        <v>2017</v>
      </c>
      <c r="D120" s="2">
        <v>6369.66</v>
      </c>
      <c r="E120" s="2">
        <v>530.04999999999995</v>
      </c>
    </row>
    <row r="121" spans="2:8">
      <c r="B121" t="s">
        <v>73</v>
      </c>
      <c r="D121" s="2">
        <v>6284.79</v>
      </c>
      <c r="E121" s="2">
        <v>432.77</v>
      </c>
    </row>
    <row r="123" spans="2:8">
      <c r="B123" t="s">
        <v>161</v>
      </c>
      <c r="C123">
        <v>2015</v>
      </c>
      <c r="D123" s="2">
        <v>133.19999999999999</v>
      </c>
      <c r="E123" s="2">
        <v>118.25</v>
      </c>
    </row>
    <row r="124" spans="2:8">
      <c r="B124" t="s">
        <v>161</v>
      </c>
      <c r="C124">
        <v>2016</v>
      </c>
      <c r="D124" s="2">
        <v>588.16</v>
      </c>
      <c r="E124" s="2">
        <v>-381.4</v>
      </c>
    </row>
    <row r="125" spans="2:8">
      <c r="B125" t="s">
        <v>73</v>
      </c>
      <c r="D125" s="2">
        <v>721.36</v>
      </c>
      <c r="E125" s="2">
        <v>-263.14999999999998</v>
      </c>
    </row>
    <row r="127" spans="2:8">
      <c r="B127" t="s">
        <v>162</v>
      </c>
      <c r="C127">
        <v>2017</v>
      </c>
      <c r="D127" s="2">
        <v>-14.17</v>
      </c>
      <c r="E127" s="2">
        <v>-29.12</v>
      </c>
    </row>
    <row r="128" spans="2:8">
      <c r="B128" t="s">
        <v>73</v>
      </c>
      <c r="D128" s="2">
        <v>-14.17</v>
      </c>
      <c r="E128" s="2">
        <v>-29.12</v>
      </c>
    </row>
    <row r="130" spans="2:5">
      <c r="B130" t="s">
        <v>163</v>
      </c>
      <c r="C130">
        <v>2017</v>
      </c>
      <c r="D130" s="2">
        <v>-47.18</v>
      </c>
      <c r="E130" s="2">
        <v>-62.13</v>
      </c>
    </row>
    <row r="131" spans="2:5">
      <c r="B131" t="s">
        <v>73</v>
      </c>
      <c r="D131" s="2">
        <v>-47.18</v>
      </c>
      <c r="E131" s="2">
        <v>-62.13</v>
      </c>
    </row>
    <row r="133" spans="2:5">
      <c r="B133" t="s">
        <v>164</v>
      </c>
      <c r="C133">
        <v>2016</v>
      </c>
      <c r="D133" s="2">
        <v>3231.38</v>
      </c>
      <c r="E133" s="2">
        <v>3136.53</v>
      </c>
    </row>
    <row r="134" spans="2:5">
      <c r="B134" t="s">
        <v>73</v>
      </c>
      <c r="D134" s="2">
        <v>3231.38</v>
      </c>
      <c r="E134" s="2">
        <v>3136.53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27-Global Tech</vt:lpstr>
      <vt:lpstr>Sheet3</vt:lpstr>
      <vt:lpstr>Sheet2</vt:lpstr>
      <vt:lpstr>Sheet4</vt:lpstr>
      <vt:lpstr>Sheet5</vt:lpstr>
      <vt:lpstr>Sheet6</vt:lpstr>
      <vt:lpstr>Accions</vt:lpstr>
      <vt:lpstr>Sheet7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2020-07-14T10:46:18Z</dcterms:created>
  <dcterms:modified xsi:type="dcterms:W3CDTF">2020-08-28T17:59:14Z</dcterms:modified>
</cp:coreProperties>
</file>