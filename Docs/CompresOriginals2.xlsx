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170" activeTab="2"/>
  </bookViews>
  <sheets>
    <sheet name="Sheet1" sheetId="1" r:id="rId1"/>
    <sheet name="27-Global Tech" sheetId="2" r:id="rId2"/>
    <sheet name="Sheet3" sheetId="3" r:id="rId3"/>
    <sheet name="Sheet2" sheetId="4" r:id="rId4"/>
    <sheet name="Sheet4" sheetId="5" r:id="rId5"/>
    <sheet name="Sheet5" sheetId="6" r:id="rId6"/>
  </sheets>
  <calcPr calcId="125725"/>
</workbook>
</file>

<file path=xl/calcChain.xml><?xml version="1.0" encoding="utf-8"?>
<calcChain xmlns="http://schemas.openxmlformats.org/spreadsheetml/2006/main">
  <c r="E96" i="3"/>
  <c r="G68"/>
  <c r="G84"/>
  <c r="E84"/>
  <c r="G83"/>
  <c r="F83"/>
  <c r="G82"/>
  <c r="F82"/>
  <c r="G81"/>
  <c r="F81"/>
  <c r="G80"/>
  <c r="F80"/>
  <c r="G79"/>
  <c r="F79"/>
  <c r="G78"/>
  <c r="F78"/>
  <c r="G77"/>
  <c r="F77"/>
  <c r="G76"/>
  <c r="F76"/>
  <c r="F67"/>
  <c r="O13" i="6"/>
  <c r="O5"/>
  <c r="N27"/>
  <c r="N28" s="1"/>
  <c r="N24"/>
  <c r="N23"/>
  <c r="N17"/>
  <c r="N18" s="1"/>
  <c r="N19" s="1"/>
  <c r="N20" s="1"/>
  <c r="N12"/>
  <c r="N13" s="1"/>
  <c r="N14" s="1"/>
  <c r="N11"/>
  <c r="N5"/>
  <c r="N6" s="1"/>
  <c r="N7" s="1"/>
  <c r="N8" s="1"/>
  <c r="N4"/>
  <c r="N3"/>
  <c r="J15" i="5"/>
  <c r="M23" i="4"/>
  <c r="I18"/>
  <c r="H19"/>
  <c r="H18"/>
  <c r="I14"/>
  <c r="H9"/>
  <c r="H10" s="1"/>
  <c r="H11" s="1"/>
  <c r="H8"/>
  <c r="H3"/>
  <c r="I4" s="1"/>
  <c r="F61" i="3"/>
  <c r="G61"/>
  <c r="F62"/>
  <c r="G62"/>
  <c r="F63"/>
  <c r="G63"/>
  <c r="F64"/>
  <c r="G64"/>
  <c r="F65"/>
  <c r="G65"/>
  <c r="F66"/>
  <c r="G66"/>
  <c r="G67"/>
  <c r="G60"/>
  <c r="F60"/>
  <c r="D68"/>
  <c r="C68"/>
  <c r="E68"/>
  <c r="G47"/>
  <c r="H43"/>
  <c r="I43"/>
  <c r="H44"/>
  <c r="I44"/>
  <c r="H45"/>
  <c r="I45"/>
  <c r="H46"/>
  <c r="I46"/>
  <c r="H47"/>
  <c r="I47"/>
  <c r="H48"/>
  <c r="I48"/>
  <c r="H49"/>
  <c r="I49"/>
  <c r="H50"/>
  <c r="I50"/>
  <c r="H56" s="1"/>
  <c r="H51"/>
  <c r="G44"/>
  <c r="G45"/>
  <c r="G46"/>
  <c r="G48"/>
  <c r="G49"/>
  <c r="G50"/>
  <c r="G43"/>
  <c r="E51"/>
  <c r="E52" s="1"/>
  <c r="F51"/>
  <c r="B38"/>
  <c r="B40" s="1"/>
  <c r="D51"/>
  <c r="C51"/>
  <c r="S7" i="2"/>
  <c r="S3"/>
  <c r="S4"/>
  <c r="S5"/>
  <c r="S6"/>
  <c r="S2"/>
  <c r="S45"/>
  <c r="S44"/>
  <c r="S43"/>
  <c r="S36"/>
  <c r="S31"/>
  <c r="S23"/>
  <c r="R44"/>
  <c r="R43"/>
  <c r="R42"/>
  <c r="R40"/>
  <c r="R39"/>
  <c r="R37"/>
  <c r="R36"/>
  <c r="R35"/>
  <c r="R31"/>
  <c r="R30"/>
  <c r="R33"/>
  <c r="R27"/>
  <c r="R28"/>
  <c r="R23"/>
  <c r="R22"/>
  <c r="R20"/>
  <c r="R19"/>
  <c r="R25"/>
  <c r="R17"/>
  <c r="R16"/>
  <c r="G39"/>
  <c r="G38"/>
  <c r="G33"/>
  <c r="G34" s="1"/>
  <c r="G35" s="1"/>
  <c r="G32"/>
  <c r="G29"/>
  <c r="G27"/>
  <c r="G28" s="1"/>
  <c r="G26"/>
  <c r="R14"/>
  <c r="R13"/>
  <c r="R11"/>
  <c r="H26"/>
  <c r="H27"/>
  <c r="H19"/>
  <c r="G20"/>
  <c r="G21" s="1"/>
  <c r="G22" s="1"/>
  <c r="G23" s="1"/>
  <c r="G19"/>
  <c r="G18"/>
  <c r="H22"/>
  <c r="H21" s="1"/>
  <c r="H11"/>
  <c r="H14"/>
  <c r="G3"/>
  <c r="G4"/>
  <c r="G5"/>
  <c r="G6"/>
  <c r="G2"/>
  <c r="K46" i="1"/>
  <c r="K45"/>
  <c r="J44"/>
  <c r="H43"/>
  <c r="J43" s="1"/>
  <c r="H41"/>
  <c r="H42" s="1"/>
  <c r="H40"/>
  <c r="J40" s="1"/>
  <c r="H39"/>
  <c r="H35"/>
  <c r="H36" s="1"/>
  <c r="H37" s="1"/>
  <c r="F74"/>
  <c r="H80"/>
  <c r="H81"/>
  <c r="H79"/>
  <c r="H69"/>
  <c r="H70" s="1"/>
  <c r="H71" s="1"/>
  <c r="H72" s="1"/>
  <c r="J64"/>
  <c r="J71" s="1"/>
  <c r="J61" s="1"/>
  <c r="K61" s="1"/>
  <c r="H61"/>
  <c r="H62" s="1"/>
  <c r="H63" s="1"/>
  <c r="H64" s="1"/>
  <c r="H65" s="1"/>
  <c r="H66" s="1"/>
  <c r="H33"/>
  <c r="J33" s="1"/>
  <c r="J27"/>
  <c r="H27"/>
  <c r="H28" s="1"/>
  <c r="J22"/>
  <c r="J21"/>
  <c r="H21"/>
  <c r="H22" s="1"/>
  <c r="H23" s="1"/>
  <c r="H24" s="1"/>
  <c r="J7"/>
  <c r="H15"/>
  <c r="H16" s="1"/>
  <c r="H17" s="1"/>
  <c r="H18" s="1"/>
  <c r="H7"/>
  <c r="H8" s="1"/>
  <c r="H9" s="1"/>
  <c r="H10" s="1"/>
  <c r="H11" s="1"/>
  <c r="H12" s="1"/>
  <c r="H3"/>
  <c r="H4" s="1"/>
  <c r="C69" i="3" l="1"/>
  <c r="C52"/>
  <c r="I51"/>
  <c r="D69"/>
  <c r="G51"/>
  <c r="I8" i="4"/>
  <c r="I10" s="1"/>
  <c r="H4"/>
  <c r="H5" s="1"/>
  <c r="D52" i="3"/>
  <c r="H54"/>
  <c r="G7" i="2"/>
  <c r="H82" i="1"/>
  <c r="L61"/>
  <c r="H15" i="4" l="1"/>
  <c r="H14"/>
</calcChain>
</file>

<file path=xl/sharedStrings.xml><?xml version="1.0" encoding="utf-8"?>
<sst xmlns="http://schemas.openxmlformats.org/spreadsheetml/2006/main" count="457" uniqueCount="136">
  <si>
    <t>19-NB Capital Plus FI</t>
  </si>
  <si>
    <t>Compra</t>
  </si>
  <si>
    <t>Traspàs C</t>
  </si>
  <si>
    <t>1-Optimal Income A-H Grs Acc Hdg EUR</t>
  </si>
  <si>
    <t>Traspàs V</t>
  </si>
  <si>
    <t>Part</t>
  </si>
  <si>
    <t>PU</t>
  </si>
  <si>
    <t>Id 92</t>
  </si>
  <si>
    <t>5-Deutschland</t>
  </si>
  <si>
    <t>C. 26</t>
  </si>
  <si>
    <t>C. 31</t>
  </si>
  <si>
    <t>C. 27, 29</t>
  </si>
  <si>
    <t>11-Total Return N Acc €-H1</t>
  </si>
  <si>
    <t>C16, 17, 24</t>
  </si>
  <si>
    <t>10-Bolsa Tecnología y Telecomunicaciones FI</t>
  </si>
  <si>
    <t>C. 15</t>
  </si>
  <si>
    <t>Saldo part</t>
  </si>
  <si>
    <t xml:space="preserve">Preu cost: </t>
  </si>
  <si>
    <t>Id</t>
  </si>
  <si>
    <t>Import</t>
  </si>
  <si>
    <t>27-Global Technology A-Acc-EUR</t>
  </si>
  <si>
    <t>16-DWS Aktien Strategie Deutschland</t>
  </si>
  <si>
    <t>Part mov</t>
  </si>
  <si>
    <t>Parft Mov</t>
  </si>
  <si>
    <t>Nom:</t>
  </si>
  <si>
    <t>Asian Smaller Companies Fund</t>
  </si>
  <si>
    <t>Data</t>
  </si>
  <si>
    <t>09/20/2012 00:00:00</t>
  </si>
  <si>
    <t>Es compra real</t>
  </si>
  <si>
    <t>Num Part</t>
  </si>
  <si>
    <t>Preu Part</t>
  </si>
  <si>
    <t>Import Brut</t>
  </si>
  <si>
    <t>9999.99</t>
  </si>
  <si>
    <t>39999.98</t>
  </si>
  <si>
    <t>05/16/2013 00:00:00</t>
  </si>
  <si>
    <t>20000.02</t>
  </si>
  <si>
    <t>Biotechnology C USD Acc</t>
  </si>
  <si>
    <t>6033.63</t>
  </si>
  <si>
    <t>Thailand A-USD</t>
  </si>
  <si>
    <t>999.9</t>
  </si>
  <si>
    <t>10/18/2013 00:00:00</t>
  </si>
  <si>
    <t>5000.11</t>
  </si>
  <si>
    <t>Bolsa Tecnología y Telecomunicaciones FI</t>
  </si>
  <si>
    <t>15626.31</t>
  </si>
  <si>
    <t>Total Return N Acc €-H1</t>
  </si>
  <si>
    <t>09/14/2012 00:00:00</t>
  </si>
  <si>
    <t>04/13/2013 00:00:00</t>
  </si>
  <si>
    <t>19999.99</t>
  </si>
  <si>
    <t>Optimal Income A-H Grs Acc Hdg EUR</t>
  </si>
  <si>
    <t>999.99</t>
  </si>
  <si>
    <t>American Extended Alpha R USD Acc</t>
  </si>
  <si>
    <t>09/14/2012 00:00:01</t>
  </si>
  <si>
    <t>Patrimoine A EUR Acc</t>
  </si>
  <si>
    <t>10/19/2012 00:00:00</t>
  </si>
  <si>
    <t>12002.49</t>
  </si>
  <si>
    <t>European Growth N Acc ?</t>
  </si>
  <si>
    <t>09/17/2013 00:00:00</t>
  </si>
  <si>
    <t>Templeton Emerging Mkts Sm Cos N Acc $</t>
  </si>
  <si>
    <t>NB Capital Plus FI</t>
  </si>
  <si>
    <t>01/18/2016 11:49:15</t>
  </si>
  <si>
    <t>09/22/2016 17:09:41</t>
  </si>
  <si>
    <t>Nom</t>
  </si>
  <si>
    <t>Fons</t>
  </si>
  <si>
    <t>Import a pel</t>
  </si>
  <si>
    <t>Import Desglos</t>
  </si>
  <si>
    <t>Deutschland</t>
  </si>
  <si>
    <t>DWS Aktien Strategie Deutschland</t>
  </si>
  <si>
    <t>Global Technology A-Acc-EUR</t>
  </si>
  <si>
    <t>Import SelfBank</t>
  </si>
  <si>
    <t>Self</t>
  </si>
  <si>
    <t>BD</t>
  </si>
  <si>
    <t>Total preu de compra cartera actual</t>
  </si>
  <si>
    <t>Dif</t>
  </si>
  <si>
    <t>Total</t>
  </si>
  <si>
    <t>Import Preu Orig</t>
  </si>
  <si>
    <t>Dif amb self</t>
  </si>
  <si>
    <t>Preu Desgloç</t>
  </si>
  <si>
    <t>Mov</t>
  </si>
  <si>
    <t>Participacions utilitzades en la venda marcada</t>
  </si>
  <si>
    <t>Compra Id: 15. Producte: Bolsa Tecnología y Telecomunicaciones FI</t>
  </si>
  <si>
    <t>Mov venda. Id: 23. Num part: 679,6400</t>
  </si>
  <si>
    <t>Compra Id: 24. Producte: Total Return N Acc €-H1</t>
  </si>
  <si>
    <t>Mov venda. Id: 25. Num part: 280,0700</t>
  </si>
  <si>
    <t>Compra Id: 26. Producte: Deutschland</t>
  </si>
  <si>
    <t>Mov venda. Id: 28. Num part: 249,0000</t>
  </si>
  <si>
    <t>Mov venda. Id: 91. Num part: 0,3471</t>
  </si>
  <si>
    <t>Compra Id: 29. Producte: Optimal Income A-H Grs Acc Hdg EUR</t>
  </si>
  <si>
    <t>Mov venda. Id: 30. Num part: 2.345,4980</t>
  </si>
  <si>
    <t>Mov venda. Id: 100. Num part: 1,8280</t>
  </si>
  <si>
    <t>Compra Id: 31. Producte: Deutschland</t>
  </si>
  <si>
    <t>Mov venda. Id: 91. Num part: 259,1829</t>
  </si>
  <si>
    <t>Compra Id: 92. Producte: Optimal Income A-H Grs Acc Hdg EUR</t>
  </si>
  <si>
    <t>Mov venda. Id: 100. Num part: 2.877,4150</t>
  </si>
  <si>
    <t>Mov venda. Id: 170. Num part: 44,9450</t>
  </si>
  <si>
    <t>Compra Id: 101. Producte: DWS Aktien Strategie Deutschland</t>
  </si>
  <si>
    <t>Mov venda. Id: 172. Num part: 80,7528</t>
  </si>
  <si>
    <t>Compra Id: 173. Producte: Global Technology A-Acc-EUR</t>
  </si>
  <si>
    <t>Compra Id: 171. Producte: NB Capital Plus FI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</si>
  <si>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</si>
  <si>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</si>
  <si>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</si>
  <si>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</si>
  <si>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</si>
  <si>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</si>
  <si>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</si>
  <si>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</si>
  <si>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</si>
  <si>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</si>
  <si>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11c</t>
  </si>
  <si>
    <t>12c</t>
  </si>
  <si>
    <t>13c</t>
  </si>
  <si>
    <t>14c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</si>
  <si>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</si>
  <si>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</si>
  <si>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</si>
  <si>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</si>
  <si>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</si>
  <si>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</si>
  <si>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</si>
  <si>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</si>
  <si>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</si>
  <si>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</si>
  <si>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</si>
  <si>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</si>
  <si>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</si>
  <si>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</si>
  <si>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Venda Id 100</t>
  </si>
  <si>
    <t>Venda Id 91</t>
  </si>
  <si>
    <t>Venda Id 172</t>
  </si>
  <si>
    <t>Venda Id 170</t>
  </si>
  <si>
    <t>Compra Id: 27. Producte: Optimal Income A-H Grs Acc Hdg EUR</t>
  </si>
  <si>
    <t>Mov venda. Id: 30. Num part: 58,5020</t>
  </si>
  <si>
    <t>Dif.</t>
  </si>
  <si>
    <t>tPreu Desgloç&lt;</t>
  </si>
  <si>
    <t>Valor actual</t>
  </si>
  <si>
    <t>PiG</t>
  </si>
</sst>
</file>

<file path=xl/styles.xml><?xml version="1.0" encoding="utf-8"?>
<styleSheet xmlns="http://schemas.openxmlformats.org/spreadsheetml/2006/main">
  <numFmts count="6">
    <numFmt numFmtId="8" formatCode="#,##0.00\ &quot;€&quot;;[Red]\-#,##0.00\ &quot;€&quot;"/>
    <numFmt numFmtId="164" formatCode="0.0000"/>
    <numFmt numFmtId="165" formatCode="0.000"/>
    <numFmt numFmtId="166" formatCode="#,##0.0000"/>
    <numFmt numFmtId="167" formatCode="#,##0.000\ &quot;€&quot;"/>
    <numFmt numFmtId="168" formatCode="#,##0.00\ &quot;€&quot;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8" fontId="0" fillId="0" borderId="0" xfId="0" applyNumberFormat="1" applyAlignment="1">
      <alignment wrapText="1"/>
    </xf>
    <xf numFmtId="0" fontId="4" fillId="0" borderId="0" xfId="0" applyFo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horizontal="center"/>
    </xf>
    <xf numFmtId="0" fontId="2" fillId="2" borderId="0" xfId="2"/>
    <xf numFmtId="8" fontId="4" fillId="0" borderId="0" xfId="0" applyNumberFormat="1" applyFont="1"/>
    <xf numFmtId="10" fontId="0" fillId="0" borderId="0" xfId="1" applyNumberFormat="1" applyFont="1"/>
    <xf numFmtId="0" fontId="3" fillId="3" borderId="0" xfId="3"/>
    <xf numFmtId="164" fontId="2" fillId="2" borderId="0" xfId="2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8" fontId="4" fillId="0" borderId="0" xfId="0" applyNumberFormat="1" applyFont="1"/>
    <xf numFmtId="0" fontId="0" fillId="0" borderId="0" xfId="0" applyNumberFormat="1"/>
    <xf numFmtId="0" fontId="4" fillId="0" borderId="0" xfId="0" applyNumberFormat="1" applyFont="1"/>
    <xf numFmtId="168" fontId="0" fillId="0" borderId="0" xfId="0" applyNumberFormat="1" applyFont="1"/>
    <xf numFmtId="22" fontId="0" fillId="0" borderId="0" xfId="0" applyNumberFormat="1"/>
    <xf numFmtId="168" fontId="2" fillId="2" borderId="0" xfId="2" applyNumberFormat="1"/>
    <xf numFmtId="168" fontId="5" fillId="2" borderId="0" xfId="2" applyNumberFormat="1" applyFont="1"/>
    <xf numFmtId="0" fontId="2" fillId="2" borderId="0" xfId="2" applyAlignment="1">
      <alignment wrapText="1"/>
    </xf>
    <xf numFmtId="8" fontId="4" fillId="0" borderId="0" xfId="0" applyNumberFormat="1" applyFont="1" applyAlignment="1">
      <alignment horizontal="center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zoomScale="115" zoomScaleNormal="115" workbookViewId="0">
      <pane ySplit="1" topLeftCell="A12" activePane="bottomLeft" state="frozen"/>
      <selection pane="bottomLeft" activeCell="B18" sqref="B18"/>
    </sheetView>
  </sheetViews>
  <sheetFormatPr defaultRowHeight="14.5"/>
  <cols>
    <col min="2" max="2" width="3.54296875" customWidth="1"/>
    <col min="3" max="3" width="5.453125" customWidth="1"/>
    <col min="4" max="4" width="10.90625" customWidth="1"/>
    <col min="6" max="6" width="10.36328125" customWidth="1"/>
    <col min="7" max="7" width="2.36328125" customWidth="1"/>
    <col min="8" max="8" width="9.54296875" customWidth="1"/>
    <col min="10" max="10" width="13" customWidth="1"/>
    <col min="11" max="12" width="9.453125" bestFit="1" customWidth="1"/>
  </cols>
  <sheetData>
    <row r="1" spans="2:10">
      <c r="E1" t="s">
        <v>5</v>
      </c>
      <c r="F1" s="8" t="s">
        <v>6</v>
      </c>
      <c r="H1" s="4" t="s">
        <v>16</v>
      </c>
    </row>
    <row r="2" spans="2:10">
      <c r="B2" s="4" t="s">
        <v>0</v>
      </c>
    </row>
    <row r="3" spans="2:10">
      <c r="C3" s="1">
        <v>108</v>
      </c>
      <c r="D3" s="1" t="s">
        <v>1</v>
      </c>
      <c r="E3" s="9">
        <v>0.53749999999999998</v>
      </c>
      <c r="F3" s="3">
        <v>1860.4650999999999</v>
      </c>
      <c r="H3">
        <f>E3</f>
        <v>0.53749999999999998</v>
      </c>
    </row>
    <row r="4" spans="2:10">
      <c r="C4" s="1">
        <v>171</v>
      </c>
      <c r="D4" s="1" t="s">
        <v>2</v>
      </c>
      <c r="E4" s="9">
        <v>0.46779999999999999</v>
      </c>
      <c r="F4" s="3">
        <v>1895.2417</v>
      </c>
      <c r="H4">
        <f>+H3+E4</f>
        <v>1.0053000000000001</v>
      </c>
    </row>
    <row r="5" spans="2:10">
      <c r="E5" s="9"/>
    </row>
    <row r="6" spans="2:10">
      <c r="B6" s="4" t="s">
        <v>3</v>
      </c>
      <c r="E6" s="9"/>
    </row>
    <row r="7" spans="2:10">
      <c r="C7" s="1">
        <v>27</v>
      </c>
      <c r="D7" s="1" t="s">
        <v>1</v>
      </c>
      <c r="E7" s="9">
        <v>58.502000000000002</v>
      </c>
      <c r="F7" s="3">
        <v>17.093299999999999</v>
      </c>
      <c r="H7" s="6">
        <f>E7</f>
        <v>58.502000000000002</v>
      </c>
      <c r="J7">
        <f>E7</f>
        <v>58.502000000000002</v>
      </c>
    </row>
    <row r="8" spans="2:10">
      <c r="C8" s="1">
        <v>29</v>
      </c>
      <c r="D8" s="1" t="s">
        <v>2</v>
      </c>
      <c r="E8" s="9">
        <v>2347.326</v>
      </c>
      <c r="F8" s="3">
        <v>18.249700000000001</v>
      </c>
      <c r="H8" s="6">
        <f>+H7+E8</f>
        <v>2405.828</v>
      </c>
    </row>
    <row r="9" spans="2:10">
      <c r="C9" s="1">
        <v>30</v>
      </c>
      <c r="D9" s="1" t="s">
        <v>4</v>
      </c>
      <c r="E9" s="9">
        <v>2404</v>
      </c>
      <c r="F9" s="3">
        <v>18.5245</v>
      </c>
      <c r="H9" s="6">
        <f>+H8-E9</f>
        <v>1.8279999999999745</v>
      </c>
      <c r="I9" s="7" t="s">
        <v>11</v>
      </c>
    </row>
    <row r="10" spans="2:10">
      <c r="C10" s="1">
        <v>92</v>
      </c>
      <c r="D10" s="1" t="s">
        <v>2</v>
      </c>
      <c r="E10" s="9">
        <v>2922.36</v>
      </c>
      <c r="F10" s="3">
        <v>18.3931</v>
      </c>
      <c r="H10" s="6">
        <f t="shared" ref="H10" si="0">+H9+E10</f>
        <v>2924.1880000000001</v>
      </c>
    </row>
    <row r="11" spans="2:10">
      <c r="C11" s="1">
        <v>100</v>
      </c>
      <c r="D11" s="1" t="s">
        <v>4</v>
      </c>
      <c r="E11" s="9">
        <v>2879.2429999999999</v>
      </c>
      <c r="F11" s="3">
        <v>18.063199999999998</v>
      </c>
      <c r="H11" s="6">
        <f>+H10-E11</f>
        <v>44.945000000000164</v>
      </c>
    </row>
    <row r="12" spans="2:10">
      <c r="C12" s="1">
        <v>170</v>
      </c>
      <c r="D12" s="1" t="s">
        <v>4</v>
      </c>
      <c r="E12" s="9">
        <v>44.945</v>
      </c>
      <c r="F12" s="3">
        <v>19.726199999999999</v>
      </c>
      <c r="H12" s="6">
        <f>+H11-E12</f>
        <v>1.6342482922482304E-13</v>
      </c>
      <c r="I12" t="s">
        <v>7</v>
      </c>
    </row>
    <row r="13" spans="2:10">
      <c r="E13" s="9"/>
    </row>
    <row r="14" spans="2:10">
      <c r="B14" s="4" t="s">
        <v>8</v>
      </c>
      <c r="E14" s="9"/>
    </row>
    <row r="15" spans="2:10">
      <c r="C15" s="1">
        <v>26</v>
      </c>
      <c r="D15" s="1" t="s">
        <v>2</v>
      </c>
      <c r="E15" s="9">
        <v>249.34710000000001</v>
      </c>
      <c r="F15" s="3">
        <v>139.71</v>
      </c>
      <c r="H15" s="7">
        <f>E15</f>
        <v>249.34710000000001</v>
      </c>
    </row>
    <row r="16" spans="2:10">
      <c r="C16" s="1">
        <v>28</v>
      </c>
      <c r="D16" s="1" t="s">
        <v>4</v>
      </c>
      <c r="E16" s="9">
        <v>249</v>
      </c>
      <c r="F16" s="3">
        <v>172.04</v>
      </c>
      <c r="H16" s="7">
        <f>+H15-E16</f>
        <v>0.34710000000001173</v>
      </c>
      <c r="I16" t="s">
        <v>9</v>
      </c>
    </row>
    <row r="17" spans="1:13">
      <c r="C17" s="1">
        <v>31</v>
      </c>
      <c r="D17" s="1" t="s">
        <v>2</v>
      </c>
      <c r="E17" s="9">
        <v>264.18049999999999</v>
      </c>
      <c r="F17" s="3">
        <v>168.57</v>
      </c>
      <c r="H17" s="7">
        <f t="shared" ref="H17" si="1">+H16+E17</f>
        <v>264.52760000000001</v>
      </c>
    </row>
    <row r="18" spans="1:13">
      <c r="C18" s="1">
        <v>91</v>
      </c>
      <c r="D18" s="1" t="s">
        <v>4</v>
      </c>
      <c r="E18" s="9">
        <v>259.52999999999997</v>
      </c>
      <c r="F18" s="3">
        <v>207.11</v>
      </c>
      <c r="H18" s="7">
        <f>+H17-E18</f>
        <v>4.997600000000034</v>
      </c>
      <c r="I18" s="7" t="s">
        <v>10</v>
      </c>
    </row>
    <row r="19" spans="1:13">
      <c r="E19" s="9"/>
    </row>
    <row r="20" spans="1:13">
      <c r="B20" s="4" t="s">
        <v>12</v>
      </c>
      <c r="E20" s="9"/>
    </row>
    <row r="21" spans="1:13">
      <c r="C21" s="1">
        <v>16</v>
      </c>
      <c r="D21" s="1" t="s">
        <v>1</v>
      </c>
      <c r="E21" s="9">
        <v>547.64509999999996</v>
      </c>
      <c r="F21" s="3">
        <v>18.260000000000002</v>
      </c>
      <c r="H21">
        <f>E21</f>
        <v>547.64509999999996</v>
      </c>
      <c r="J21">
        <f>E21</f>
        <v>547.64509999999996</v>
      </c>
    </row>
    <row r="22" spans="1:13">
      <c r="C22" s="1">
        <v>17</v>
      </c>
      <c r="D22" s="1" t="s">
        <v>1</v>
      </c>
      <c r="E22" s="9">
        <v>1010.611</v>
      </c>
      <c r="F22" s="3">
        <v>19.79</v>
      </c>
      <c r="H22">
        <f>+H21+E22</f>
        <v>1558.2561000000001</v>
      </c>
      <c r="J22" s="5">
        <f>E22</f>
        <v>1010.611</v>
      </c>
    </row>
    <row r="23" spans="1:13">
      <c r="C23" s="1">
        <v>24</v>
      </c>
      <c r="D23" s="1" t="s">
        <v>2</v>
      </c>
      <c r="E23" s="9">
        <v>280.07</v>
      </c>
      <c r="F23" s="3">
        <v>19.68</v>
      </c>
      <c r="H23">
        <f t="shared" ref="H23" si="2">+H22+E23</f>
        <v>1838.3261</v>
      </c>
    </row>
    <row r="24" spans="1:13">
      <c r="C24" s="1">
        <v>25</v>
      </c>
      <c r="D24" s="1" t="s">
        <v>4</v>
      </c>
      <c r="E24" s="9">
        <v>1838.3261</v>
      </c>
      <c r="F24" s="3">
        <v>18.95</v>
      </c>
      <c r="H24" s="5">
        <f>+H23-E24</f>
        <v>0</v>
      </c>
      <c r="I24" t="s">
        <v>13</v>
      </c>
    </row>
    <row r="25" spans="1:13">
      <c r="E25" s="9"/>
    </row>
    <row r="26" spans="1:13">
      <c r="B26" s="4" t="s">
        <v>14</v>
      </c>
      <c r="E26" s="9"/>
    </row>
    <row r="27" spans="1:13">
      <c r="C27" s="1">
        <v>15</v>
      </c>
      <c r="D27" s="1" t="s">
        <v>1</v>
      </c>
      <c r="E27" s="9">
        <v>679.64</v>
      </c>
      <c r="F27" s="3">
        <v>22.992000000000001</v>
      </c>
      <c r="H27" s="7">
        <f>E27</f>
        <v>679.64</v>
      </c>
      <c r="J27">
        <f>E27</f>
        <v>679.64</v>
      </c>
    </row>
    <row r="28" spans="1:13">
      <c r="C28" s="1">
        <v>23</v>
      </c>
      <c r="D28" s="1" t="s">
        <v>4</v>
      </c>
      <c r="E28" s="9">
        <v>679.64</v>
      </c>
      <c r="F28" s="3">
        <v>8.1097999999999999</v>
      </c>
      <c r="H28" s="7">
        <f>+H27-E28</f>
        <v>0</v>
      </c>
      <c r="I28" t="s">
        <v>15</v>
      </c>
    </row>
    <row r="31" spans="1:1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>
      <c r="B32" s="4" t="s">
        <v>0</v>
      </c>
    </row>
    <row r="33" spans="1:11">
      <c r="B33">
        <v>19</v>
      </c>
      <c r="C33" s="1">
        <v>108</v>
      </c>
      <c r="D33" s="1" t="s">
        <v>1</v>
      </c>
      <c r="E33" s="9">
        <v>0.53749999999999998</v>
      </c>
      <c r="F33" s="3">
        <v>1860.4650999999999</v>
      </c>
      <c r="H33" s="13">
        <f>E33</f>
        <v>0.53749999999999998</v>
      </c>
      <c r="J33" s="2">
        <f>H33*F33</f>
        <v>999.99999124999988</v>
      </c>
      <c r="K33" s="2"/>
    </row>
    <row r="34" spans="1:11">
      <c r="C34" s="1">
        <v>171</v>
      </c>
      <c r="D34" s="1" t="s">
        <v>2</v>
      </c>
      <c r="E34" s="9">
        <v>0.46779999999999999</v>
      </c>
      <c r="F34" s="3">
        <v>1895.2417</v>
      </c>
      <c r="H34" s="6"/>
    </row>
    <row r="35" spans="1:11">
      <c r="B35">
        <v>1</v>
      </c>
      <c r="C35" s="1">
        <v>170</v>
      </c>
      <c r="D35" s="1" t="s">
        <v>4</v>
      </c>
      <c r="E35" s="9">
        <v>44.945</v>
      </c>
      <c r="F35" s="3">
        <v>19.726199999999999</v>
      </c>
      <c r="H35" s="6">
        <f>E35</f>
        <v>44.945</v>
      </c>
    </row>
    <row r="36" spans="1:11">
      <c r="C36" s="1">
        <v>92</v>
      </c>
      <c r="D36" s="1" t="s">
        <v>2</v>
      </c>
      <c r="E36" s="9">
        <v>2922.36</v>
      </c>
      <c r="F36" s="3">
        <v>18.3931</v>
      </c>
      <c r="H36" s="6">
        <f>H35</f>
        <v>44.945</v>
      </c>
      <c r="K36" s="11"/>
    </row>
    <row r="37" spans="1:11">
      <c r="B37">
        <v>5</v>
      </c>
      <c r="C37" s="1">
        <v>91</v>
      </c>
      <c r="D37" s="1" t="s">
        <v>4</v>
      </c>
      <c r="E37" s="9">
        <v>259.52999999999997</v>
      </c>
      <c r="F37" s="3">
        <v>207.11</v>
      </c>
      <c r="H37" s="6">
        <f>H36/E36*E37</f>
        <v>3.9914917566624228</v>
      </c>
      <c r="I37" s="7"/>
    </row>
    <row r="38" spans="1:11">
      <c r="A38">
        <v>91</v>
      </c>
      <c r="C38" s="1">
        <v>26</v>
      </c>
      <c r="D38" s="1" t="s">
        <v>2</v>
      </c>
      <c r="E38" s="9">
        <v>249.34710000000001</v>
      </c>
      <c r="F38" s="3">
        <v>139.71</v>
      </c>
      <c r="H38" s="6">
        <v>0.34699999999999998</v>
      </c>
    </row>
    <row r="39" spans="1:11">
      <c r="B39">
        <v>11</v>
      </c>
      <c r="C39" s="1">
        <v>25</v>
      </c>
      <c r="D39" s="1" t="s">
        <v>4</v>
      </c>
      <c r="E39" s="9">
        <v>1838.3261</v>
      </c>
      <c r="F39" s="3">
        <v>18.95</v>
      </c>
      <c r="H39" s="6">
        <f>H38/E38*E39</f>
        <v>2.5582778251682088</v>
      </c>
    </row>
    <row r="40" spans="1:11">
      <c r="C40" s="1">
        <v>16</v>
      </c>
      <c r="D40" s="1" t="s">
        <v>1</v>
      </c>
      <c r="E40" s="9">
        <v>547.64509999999996</v>
      </c>
      <c r="F40" s="3">
        <v>18.260000000000002</v>
      </c>
      <c r="H40" s="13">
        <f>H39</f>
        <v>2.5582778251682088</v>
      </c>
      <c r="J40" s="2">
        <f>H40*F40</f>
        <v>46.714153087571496</v>
      </c>
    </row>
    <row r="41" spans="1:11">
      <c r="A41">
        <v>91</v>
      </c>
      <c r="B41">
        <v>5</v>
      </c>
      <c r="C41" s="1">
        <v>31</v>
      </c>
      <c r="D41" s="1" t="s">
        <v>2</v>
      </c>
      <c r="E41" s="9">
        <v>264.18049999999999</v>
      </c>
      <c r="F41" s="3">
        <v>168.57</v>
      </c>
      <c r="H41" s="6">
        <f>+H37-H38</f>
        <v>3.6444917566624229</v>
      </c>
    </row>
    <row r="42" spans="1:11">
      <c r="B42">
        <v>1</v>
      </c>
      <c r="C42" s="1">
        <v>30</v>
      </c>
      <c r="D42" s="1" t="s">
        <v>4</v>
      </c>
      <c r="E42" s="9">
        <v>2404</v>
      </c>
      <c r="F42" s="3">
        <v>18.5245</v>
      </c>
      <c r="H42" s="6">
        <f>H41/E41*E42</f>
        <v>33.164287988767015</v>
      </c>
      <c r="I42" s="6"/>
      <c r="J42" s="2"/>
    </row>
    <row r="43" spans="1:11">
      <c r="C43" s="1">
        <v>27</v>
      </c>
      <c r="D43" s="1" t="s">
        <v>1</v>
      </c>
      <c r="E43" s="9">
        <v>58.502000000000002</v>
      </c>
      <c r="F43" s="3">
        <v>17.093299999999999</v>
      </c>
      <c r="H43" s="13">
        <f>H42</f>
        <v>33.164287988767015</v>
      </c>
      <c r="J43" s="2">
        <f>H43*F43</f>
        <v>566.88712387839121</v>
      </c>
      <c r="K43" s="11"/>
    </row>
    <row r="44" spans="1:11">
      <c r="C44" s="1"/>
      <c r="D44" s="1"/>
      <c r="E44" s="9"/>
      <c r="F44" s="3"/>
      <c r="H44" s="6"/>
      <c r="J44" s="2">
        <f>SUM(J33:J43)</f>
        <v>1613.6012682159626</v>
      </c>
    </row>
    <row r="45" spans="1:11">
      <c r="C45" s="1"/>
      <c r="D45" s="1"/>
      <c r="E45" s="9"/>
      <c r="F45" s="3"/>
      <c r="H45" s="6"/>
      <c r="J45" s="2">
        <v>1580.29</v>
      </c>
      <c r="K45" s="2">
        <f>+J45-J44</f>
        <v>-33.311268215962627</v>
      </c>
    </row>
    <row r="46" spans="1:11">
      <c r="C46" s="1"/>
      <c r="D46" s="1"/>
      <c r="E46" s="9"/>
      <c r="F46" s="3"/>
      <c r="H46" s="6"/>
      <c r="J46" s="2">
        <v>1588.63</v>
      </c>
      <c r="K46" s="2">
        <f>+J44-J46</f>
        <v>24.971268215962482</v>
      </c>
    </row>
    <row r="47" spans="1:11">
      <c r="C47" s="1"/>
      <c r="D47" s="1"/>
      <c r="E47" s="9"/>
      <c r="F47" s="3"/>
      <c r="H47" s="6"/>
    </row>
    <row r="48" spans="1:11">
      <c r="C48" s="1"/>
      <c r="D48" s="1"/>
      <c r="E48" s="9"/>
      <c r="F48" s="3"/>
      <c r="H48" s="6"/>
    </row>
    <row r="49" spans="2:12">
      <c r="C49" s="1"/>
      <c r="D49" s="1"/>
      <c r="E49" s="9"/>
      <c r="F49" s="3"/>
      <c r="H49" s="6"/>
      <c r="J49" s="2"/>
    </row>
    <row r="50" spans="2:12">
      <c r="C50" s="1"/>
      <c r="D50" s="1"/>
      <c r="E50" s="9"/>
      <c r="F50" s="3"/>
      <c r="H50" s="6"/>
      <c r="J50" s="2"/>
    </row>
    <row r="51" spans="2:12">
      <c r="C51" s="1"/>
      <c r="D51" s="1"/>
      <c r="E51" s="9"/>
      <c r="F51" s="3"/>
      <c r="H51" s="6"/>
    </row>
    <row r="52" spans="2:12">
      <c r="C52" s="1"/>
      <c r="D52" s="1"/>
      <c r="E52" s="9"/>
      <c r="F52" s="3"/>
      <c r="H52" s="6"/>
    </row>
    <row r="53" spans="2:12">
      <c r="C53" s="1"/>
      <c r="D53" s="1"/>
      <c r="E53" s="9"/>
      <c r="F53" s="3"/>
      <c r="H53" s="6"/>
      <c r="J53" s="2"/>
    </row>
    <row r="54" spans="2:12">
      <c r="C54" s="1"/>
      <c r="D54" s="1"/>
      <c r="E54" s="9"/>
      <c r="F54" s="3"/>
      <c r="H54" s="6"/>
    </row>
    <row r="55" spans="2:12">
      <c r="C55" s="1"/>
      <c r="D55" s="1"/>
      <c r="E55" s="9"/>
      <c r="F55" s="3"/>
      <c r="H55" s="6"/>
    </row>
    <row r="56" spans="2:12">
      <c r="C56" s="1"/>
      <c r="D56" s="1"/>
      <c r="E56" s="9"/>
      <c r="F56" s="3"/>
      <c r="H56" s="6"/>
    </row>
    <row r="57" spans="2:12">
      <c r="C57" s="1"/>
      <c r="D57" s="1"/>
      <c r="E57" s="9"/>
      <c r="F57" s="3"/>
      <c r="H57" s="7"/>
    </row>
    <row r="58" spans="2:12">
      <c r="C58" s="1"/>
      <c r="D58" s="1"/>
      <c r="E58" s="9"/>
      <c r="F58" s="3"/>
      <c r="H58" s="7"/>
      <c r="J58" s="7"/>
      <c r="K58" s="11"/>
    </row>
    <row r="60" spans="2:12">
      <c r="B60" s="4" t="s">
        <v>3</v>
      </c>
      <c r="E60" s="9"/>
    </row>
    <row r="61" spans="2:12">
      <c r="C61" s="1">
        <v>27</v>
      </c>
      <c r="D61" s="1" t="s">
        <v>1</v>
      </c>
      <c r="E61" s="9">
        <v>58.502000000000002</v>
      </c>
      <c r="F61" s="3">
        <v>17.093299999999999</v>
      </c>
      <c r="H61" s="7">
        <f>E61</f>
        <v>58.502000000000002</v>
      </c>
      <c r="J61" s="9">
        <f>J71/E71*E63</f>
        <v>36.321932099517049</v>
      </c>
      <c r="K61" s="2">
        <f>+J61*F61</f>
        <v>620.86168195667472</v>
      </c>
      <c r="L61" s="2">
        <f>+K33+K61</f>
        <v>620.86168195667472</v>
      </c>
    </row>
    <row r="62" spans="2:12">
      <c r="C62" s="1">
        <v>29</v>
      </c>
      <c r="D62" s="1" t="s">
        <v>2</v>
      </c>
      <c r="E62" s="9">
        <v>2347.326</v>
      </c>
      <c r="F62" s="3">
        <v>18.249700000000001</v>
      </c>
      <c r="H62" s="7">
        <f>+H61+E62</f>
        <v>2405.828</v>
      </c>
    </row>
    <row r="63" spans="2:12">
      <c r="C63" s="1">
        <v>30</v>
      </c>
      <c r="D63" s="1" t="s">
        <v>4</v>
      </c>
      <c r="E63" s="9">
        <v>2404</v>
      </c>
      <c r="F63" s="3">
        <v>18.5245</v>
      </c>
      <c r="H63" s="7">
        <f>+H62-E63</f>
        <v>1.8279999999999745</v>
      </c>
      <c r="I63" s="7" t="s">
        <v>11</v>
      </c>
    </row>
    <row r="64" spans="2:12">
      <c r="C64" s="1">
        <v>92</v>
      </c>
      <c r="D64" s="1" t="s">
        <v>2</v>
      </c>
      <c r="E64" s="9">
        <v>2922.36</v>
      </c>
      <c r="F64" s="3">
        <v>18.3931</v>
      </c>
      <c r="H64" s="7">
        <f t="shared" ref="H64" si="3">+H63+E64</f>
        <v>2924.1880000000001</v>
      </c>
      <c r="J64">
        <f>E66</f>
        <v>44.945</v>
      </c>
      <c r="K64" s="11"/>
    </row>
    <row r="65" spans="2:11">
      <c r="C65" s="1">
        <v>100</v>
      </c>
      <c r="D65" s="1" t="s">
        <v>4</v>
      </c>
      <c r="E65" s="9">
        <v>2879.2429999999999</v>
      </c>
      <c r="F65" s="3">
        <v>18.063199999999998</v>
      </c>
      <c r="H65" s="7">
        <f>+H64-E65</f>
        <v>44.945000000000164</v>
      </c>
    </row>
    <row r="66" spans="2:11">
      <c r="C66" s="1">
        <v>170</v>
      </c>
      <c r="D66" s="1" t="s">
        <v>4</v>
      </c>
      <c r="E66" s="9">
        <v>44.945</v>
      </c>
      <c r="F66" s="3">
        <v>19.726199999999999</v>
      </c>
      <c r="H66" s="7">
        <f>+H65-E66</f>
        <v>1.6342482922482304E-13</v>
      </c>
      <c r="I66" t="s">
        <v>7</v>
      </c>
    </row>
    <row r="67" spans="2:11">
      <c r="E67" s="9"/>
    </row>
    <row r="68" spans="2:11">
      <c r="B68" s="4" t="s">
        <v>8</v>
      </c>
      <c r="E68" s="9"/>
    </row>
    <row r="69" spans="2:11">
      <c r="C69" s="1">
        <v>26</v>
      </c>
      <c r="D69" s="1" t="s">
        <v>2</v>
      </c>
      <c r="E69" s="9">
        <v>249.34710000000001</v>
      </c>
      <c r="F69" s="3">
        <v>139.71</v>
      </c>
      <c r="H69" s="7">
        <f>E69</f>
        <v>249.34710000000001</v>
      </c>
    </row>
    <row r="70" spans="2:11">
      <c r="C70" s="1">
        <v>28</v>
      </c>
      <c r="D70" s="1" t="s">
        <v>4</v>
      </c>
      <c r="E70" s="9">
        <v>249</v>
      </c>
      <c r="F70" s="3">
        <v>172.04</v>
      </c>
      <c r="H70" s="7">
        <f>+H69-E70</f>
        <v>0.34710000000001173</v>
      </c>
      <c r="I70" t="s">
        <v>9</v>
      </c>
    </row>
    <row r="71" spans="2:11">
      <c r="C71" s="1">
        <v>31</v>
      </c>
      <c r="D71" s="1" t="s">
        <v>2</v>
      </c>
      <c r="E71" s="9">
        <v>264.18049999999999</v>
      </c>
      <c r="F71" s="3">
        <v>168.57</v>
      </c>
      <c r="H71" s="7">
        <f t="shared" ref="H71" si="4">+H70+E71</f>
        <v>264.52760000000001</v>
      </c>
      <c r="J71" s="7">
        <f>J64/E64*E72</f>
        <v>3.9914917566624228</v>
      </c>
      <c r="K71" s="11"/>
    </row>
    <row r="72" spans="2:11">
      <c r="C72" s="1">
        <v>91</v>
      </c>
      <c r="D72" s="1" t="s">
        <v>4</v>
      </c>
      <c r="E72" s="9">
        <v>259.52999999999997</v>
      </c>
      <c r="F72" s="3">
        <v>207.11</v>
      </c>
      <c r="H72" s="7">
        <f>+H71-E72</f>
        <v>4.997600000000034</v>
      </c>
      <c r="I72" s="7" t="s">
        <v>10</v>
      </c>
    </row>
    <row r="74" spans="2:11">
      <c r="F74">
        <f>+E69-E70</f>
        <v>0.34710000000001173</v>
      </c>
    </row>
    <row r="79" spans="2:11">
      <c r="E79" s="9">
        <v>0.53749999999999998</v>
      </c>
      <c r="F79" s="3">
        <v>1860.4650999999999</v>
      </c>
      <c r="H79" s="2">
        <f>+E79*F79</f>
        <v>999.99999124999988</v>
      </c>
    </row>
    <row r="80" spans="2:11">
      <c r="E80">
        <v>19.652200000000001</v>
      </c>
      <c r="F80">
        <v>19.79</v>
      </c>
      <c r="H80" s="2">
        <f t="shared" ref="H80:H81" si="5">+E80*F80</f>
        <v>388.91703799999999</v>
      </c>
    </row>
    <row r="81" spans="5:8">
      <c r="E81">
        <v>11.195600000000001</v>
      </c>
      <c r="F81">
        <v>17.093299999999999</v>
      </c>
      <c r="H81" s="2">
        <f t="shared" si="5"/>
        <v>191.36974948</v>
      </c>
    </row>
    <row r="82" spans="5:8">
      <c r="H82" s="10">
        <f>SUM(H79:H81)</f>
        <v>1580.2867787299997</v>
      </c>
    </row>
  </sheetData>
  <pageMargins left="0.7" right="0.7" top="0.75" bottom="0.75" header="0.3" footer="0.3"/>
  <pageSetup paperSize="9" orientation="portrait" horizontalDpi="0" verticalDpi="0" r:id="rId1"/>
  <ignoredErrors>
    <ignoredError sqref="H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91"/>
  <sheetViews>
    <sheetView zoomScale="115" zoomScaleNormal="115" workbookViewId="0">
      <pane ySplit="1" topLeftCell="A2" activePane="bottomLeft" state="frozen"/>
      <selection pane="bottomLeft" activeCell="F15" sqref="A13:F15"/>
    </sheetView>
  </sheetViews>
  <sheetFormatPr defaultRowHeight="14.5"/>
  <cols>
    <col min="1" max="1" width="3.36328125" customWidth="1"/>
    <col min="2" max="2" width="5.26953125" customWidth="1"/>
    <col min="3" max="3" width="11" customWidth="1"/>
    <col min="4" max="4" width="9.81640625" hidden="1" customWidth="1"/>
    <col min="5" max="5" width="11.36328125" customWidth="1"/>
    <col min="6" max="6" width="12.08984375" customWidth="1"/>
    <col min="7" max="7" width="23.81640625" customWidth="1"/>
    <col min="11" max="11" width="4.81640625" style="22" customWidth="1"/>
    <col min="12" max="12" width="6.08984375" customWidth="1"/>
    <col min="13" max="13" width="11.7265625" customWidth="1"/>
    <col min="14" max="14" width="11.54296875" hidden="1" customWidth="1"/>
    <col min="19" max="19" width="11" customWidth="1"/>
  </cols>
  <sheetData>
    <row r="1" spans="1:19">
      <c r="B1" s="8" t="s">
        <v>18</v>
      </c>
      <c r="E1" s="8" t="s">
        <v>5</v>
      </c>
      <c r="F1" s="8" t="s">
        <v>6</v>
      </c>
      <c r="G1" s="8" t="s">
        <v>19</v>
      </c>
      <c r="L1" s="8" t="s">
        <v>18</v>
      </c>
      <c r="O1" s="8" t="s">
        <v>5</v>
      </c>
      <c r="P1" s="8" t="s">
        <v>6</v>
      </c>
      <c r="R1" s="4" t="s">
        <v>23</v>
      </c>
      <c r="S1" s="8" t="s">
        <v>19</v>
      </c>
    </row>
    <row r="2" spans="1:19">
      <c r="B2">
        <v>16</v>
      </c>
      <c r="E2" s="15">
        <v>1.4295</v>
      </c>
      <c r="F2" s="16">
        <v>18.260000000000002</v>
      </c>
      <c r="G2" s="17">
        <f>E2*F2</f>
        <v>26.102670000000003</v>
      </c>
      <c r="L2">
        <v>16</v>
      </c>
      <c r="M2" t="s">
        <v>1</v>
      </c>
      <c r="N2">
        <v>41166</v>
      </c>
      <c r="O2">
        <v>547.64509999999996</v>
      </c>
      <c r="P2">
        <v>18.260000000000002</v>
      </c>
      <c r="R2">
        <v>1.4296191629248933</v>
      </c>
      <c r="S2" s="2">
        <f>R2*P2</f>
        <v>26.104845915008553</v>
      </c>
    </row>
    <row r="3" spans="1:19">
      <c r="B3">
        <v>16</v>
      </c>
      <c r="E3" s="15">
        <v>2.5590000000000002</v>
      </c>
      <c r="F3" s="16">
        <v>18.260000000000002</v>
      </c>
      <c r="G3" s="17">
        <f t="shared" ref="G3:G6" si="0">E3*F3</f>
        <v>46.727340000000005</v>
      </c>
      <c r="L3">
        <v>16</v>
      </c>
      <c r="M3" t="s">
        <v>1</v>
      </c>
      <c r="N3">
        <v>41166</v>
      </c>
      <c r="O3">
        <v>547.64509999999996</v>
      </c>
      <c r="P3">
        <v>18.260000000000002</v>
      </c>
      <c r="R3">
        <v>2.5590150810256929</v>
      </c>
      <c r="S3" s="2">
        <f t="shared" ref="S3:S6" si="1">R3*P3</f>
        <v>46.727615379529155</v>
      </c>
    </row>
    <row r="4" spans="1:19">
      <c r="B4">
        <v>27</v>
      </c>
      <c r="E4" s="15">
        <v>58.502000000000002</v>
      </c>
      <c r="F4" s="16">
        <v>17.093299999999999</v>
      </c>
      <c r="G4" s="17">
        <f t="shared" si="0"/>
        <v>999.99223659999996</v>
      </c>
      <c r="L4">
        <v>27</v>
      </c>
      <c r="M4" t="s">
        <v>1</v>
      </c>
      <c r="N4">
        <v>41521</v>
      </c>
      <c r="O4">
        <v>58.502000000000002</v>
      </c>
      <c r="P4">
        <v>17.093299999999999</v>
      </c>
      <c r="R4">
        <v>58.502000000000002</v>
      </c>
      <c r="S4" s="2">
        <f t="shared" si="1"/>
        <v>999.99223659999996</v>
      </c>
    </row>
    <row r="5" spans="1:19">
      <c r="B5">
        <v>16</v>
      </c>
      <c r="E5" s="15">
        <v>547.64509999999996</v>
      </c>
      <c r="F5" s="16">
        <v>18.260000000000002</v>
      </c>
      <c r="G5" s="17">
        <f t="shared" si="0"/>
        <v>9999.9995259999996</v>
      </c>
      <c r="L5">
        <v>16</v>
      </c>
      <c r="M5" t="s">
        <v>1</v>
      </c>
      <c r="N5">
        <v>41166</v>
      </c>
      <c r="O5">
        <v>547.64509999999996</v>
      </c>
      <c r="P5">
        <v>18.260000000000002</v>
      </c>
      <c r="R5">
        <v>547.64509999999996</v>
      </c>
      <c r="S5" s="2">
        <f t="shared" si="1"/>
        <v>9999.9995259999996</v>
      </c>
    </row>
    <row r="6" spans="1:19">
      <c r="B6">
        <v>17</v>
      </c>
      <c r="E6" s="15">
        <v>317.1096</v>
      </c>
      <c r="F6" s="16">
        <v>19.79</v>
      </c>
      <c r="G6" s="17">
        <f t="shared" si="0"/>
        <v>6275.5989839999993</v>
      </c>
      <c r="L6">
        <v>17</v>
      </c>
      <c r="M6" t="s">
        <v>1</v>
      </c>
      <c r="N6">
        <v>41377</v>
      </c>
      <c r="O6">
        <v>1010.611</v>
      </c>
      <c r="P6">
        <v>19.79</v>
      </c>
      <c r="R6">
        <v>317.10923237836198</v>
      </c>
      <c r="S6" s="2">
        <f t="shared" si="1"/>
        <v>6275.5917087677835</v>
      </c>
    </row>
    <row r="7" spans="1:19">
      <c r="B7" t="s">
        <v>17</v>
      </c>
      <c r="C7" s="17"/>
      <c r="G7" s="17">
        <f>SUM(G2:G6)</f>
        <v>17348.4207566</v>
      </c>
      <c r="S7" s="2">
        <f>SUM(S2:S6)</f>
        <v>17348.415932662319</v>
      </c>
    </row>
    <row r="8" spans="1:19">
      <c r="C8" s="17"/>
      <c r="G8" s="17"/>
    </row>
    <row r="9" spans="1:19">
      <c r="C9" s="17"/>
      <c r="H9" s="21" t="s">
        <v>22</v>
      </c>
      <c r="L9" s="8" t="s">
        <v>18</v>
      </c>
      <c r="O9" s="8" t="s">
        <v>5</v>
      </c>
      <c r="P9" s="8" t="s">
        <v>6</v>
      </c>
      <c r="Q9" s="4" t="s">
        <v>16</v>
      </c>
      <c r="R9" s="21" t="s">
        <v>22</v>
      </c>
    </row>
    <row r="10" spans="1:19">
      <c r="A10" s="4" t="s">
        <v>20</v>
      </c>
      <c r="I10" s="18"/>
      <c r="K10" s="23" t="s">
        <v>20</v>
      </c>
    </row>
    <row r="11" spans="1:19" ht="14" customHeight="1">
      <c r="B11" s="1">
        <v>173</v>
      </c>
      <c r="C11" s="1" t="s">
        <v>2</v>
      </c>
      <c r="D11" s="19">
        <v>43525</v>
      </c>
      <c r="E11" s="20">
        <v>1778.69</v>
      </c>
      <c r="F11" s="3">
        <v>17.05</v>
      </c>
      <c r="H11" s="5">
        <f>E11</f>
        <v>1778.69</v>
      </c>
      <c r="L11" s="1">
        <v>173</v>
      </c>
      <c r="M11" s="1" t="s">
        <v>2</v>
      </c>
      <c r="N11" s="19">
        <v>43525</v>
      </c>
      <c r="O11" s="20">
        <v>1778.69</v>
      </c>
      <c r="P11" s="3">
        <v>17.05</v>
      </c>
      <c r="R11" s="5">
        <f>O11</f>
        <v>1778.69</v>
      </c>
    </row>
    <row r="13" spans="1:19">
      <c r="A13" s="4" t="s">
        <v>21</v>
      </c>
      <c r="I13" s="18"/>
      <c r="K13" s="22">
        <v>16</v>
      </c>
      <c r="L13" s="1">
        <v>172</v>
      </c>
      <c r="M13" s="1" t="s">
        <v>4</v>
      </c>
      <c r="N13" s="19">
        <v>43525</v>
      </c>
      <c r="O13" s="1">
        <v>80.752799999999993</v>
      </c>
      <c r="P13" s="3">
        <v>375.55</v>
      </c>
      <c r="R13">
        <f>O13</f>
        <v>80.752799999999993</v>
      </c>
    </row>
    <row r="14" spans="1:19">
      <c r="B14" s="1">
        <v>101</v>
      </c>
      <c r="C14" s="1" t="s">
        <v>2</v>
      </c>
      <c r="D14" s="19">
        <v>42279</v>
      </c>
      <c r="E14" s="1">
        <v>160.75280000000001</v>
      </c>
      <c r="F14" s="3">
        <v>323.52999999999997</v>
      </c>
      <c r="H14">
        <f>E15</f>
        <v>80.752799999999993</v>
      </c>
      <c r="L14" s="1">
        <v>101</v>
      </c>
      <c r="M14" s="1" t="s">
        <v>2</v>
      </c>
      <c r="N14" s="19">
        <v>42279</v>
      </c>
      <c r="O14" s="1">
        <v>160.75280000000001</v>
      </c>
      <c r="P14" s="3">
        <v>323.52999999999997</v>
      </c>
      <c r="R14">
        <f>R13</f>
        <v>80.752799999999993</v>
      </c>
    </row>
    <row r="15" spans="1:19">
      <c r="B15" s="1">
        <v>172</v>
      </c>
      <c r="C15" s="1" t="s">
        <v>4</v>
      </c>
      <c r="D15" s="19">
        <v>43525</v>
      </c>
      <c r="E15" s="1">
        <v>80.752799999999993</v>
      </c>
      <c r="F15" s="3">
        <v>375.55</v>
      </c>
    </row>
    <row r="16" spans="1:19">
      <c r="G16" s="5"/>
      <c r="K16" s="22">
        <v>1</v>
      </c>
      <c r="L16" s="1">
        <v>100</v>
      </c>
      <c r="M16" s="1" t="s">
        <v>4</v>
      </c>
      <c r="N16" s="19">
        <v>42279</v>
      </c>
      <c r="O16" s="20">
        <v>2879.2429999999999</v>
      </c>
      <c r="P16" s="3">
        <v>18.063199999999998</v>
      </c>
      <c r="R16">
        <f>R14/O14*O16</f>
        <v>1446.3631994615332</v>
      </c>
    </row>
    <row r="17" spans="1:19">
      <c r="A17" s="4" t="s">
        <v>3</v>
      </c>
      <c r="G17" s="5"/>
      <c r="H17" s="5"/>
      <c r="L17" s="1">
        <v>29</v>
      </c>
      <c r="M17" s="1" t="s">
        <v>2</v>
      </c>
      <c r="N17" s="19">
        <v>41794</v>
      </c>
      <c r="O17" s="20">
        <v>2347.326</v>
      </c>
      <c r="P17" s="3">
        <v>18.249700000000001</v>
      </c>
      <c r="Q17" s="5"/>
      <c r="R17" s="5">
        <f>G20</f>
        <v>1.8279999999999745</v>
      </c>
    </row>
    <row r="18" spans="1:19">
      <c r="B18" s="1">
        <v>27</v>
      </c>
      <c r="C18" s="1" t="s">
        <v>1</v>
      </c>
      <c r="D18" s="19">
        <v>41521</v>
      </c>
      <c r="E18" s="1">
        <v>58.502000000000002</v>
      </c>
      <c r="F18" s="3">
        <v>17.093299999999999</v>
      </c>
      <c r="G18">
        <f>E18</f>
        <v>58.502000000000002</v>
      </c>
    </row>
    <row r="19" spans="1:19">
      <c r="B19" s="1">
        <v>29</v>
      </c>
      <c r="C19" s="1" t="s">
        <v>2</v>
      </c>
      <c r="D19" s="19">
        <v>41794</v>
      </c>
      <c r="E19" s="20">
        <v>2347.326</v>
      </c>
      <c r="F19" s="3">
        <v>18.249700000000001</v>
      </c>
      <c r="G19" s="5">
        <f>G18+E19</f>
        <v>2405.828</v>
      </c>
      <c r="H19" s="5">
        <f>G20</f>
        <v>1.8279999999999745</v>
      </c>
      <c r="K19" s="22">
        <v>5</v>
      </c>
      <c r="L19" s="1">
        <v>28</v>
      </c>
      <c r="M19" s="1" t="s">
        <v>4</v>
      </c>
      <c r="N19" s="19">
        <v>41794</v>
      </c>
      <c r="O19" s="1">
        <v>249</v>
      </c>
      <c r="P19" s="3">
        <v>172.04</v>
      </c>
      <c r="R19">
        <f>R17/O17*O19</f>
        <v>0.19391085856842791</v>
      </c>
    </row>
    <row r="20" spans="1:19">
      <c r="B20" s="1">
        <v>30</v>
      </c>
      <c r="C20" s="1" t="s">
        <v>4</v>
      </c>
      <c r="D20" s="19">
        <v>41971</v>
      </c>
      <c r="E20" s="20">
        <v>2404</v>
      </c>
      <c r="F20" s="3">
        <v>18.5245</v>
      </c>
      <c r="G20" s="5">
        <f>G19-E20</f>
        <v>1.8279999999999745</v>
      </c>
      <c r="L20" s="1">
        <v>26</v>
      </c>
      <c r="M20" s="1" t="s">
        <v>2</v>
      </c>
      <c r="N20" s="19">
        <v>41439</v>
      </c>
      <c r="O20" s="1">
        <v>249.34710000000001</v>
      </c>
      <c r="P20" s="3">
        <v>139.71</v>
      </c>
      <c r="R20">
        <f>R19</f>
        <v>0.19391085856842791</v>
      </c>
    </row>
    <row r="21" spans="1:19">
      <c r="B21" s="1">
        <v>92</v>
      </c>
      <c r="C21" s="1" t="s">
        <v>2</v>
      </c>
      <c r="D21" s="19">
        <v>42202</v>
      </c>
      <c r="E21" s="20">
        <v>2922.36</v>
      </c>
      <c r="F21" s="3">
        <v>18.3931</v>
      </c>
      <c r="G21" s="15">
        <f t="shared" ref="G21" si="2">G20+E21</f>
        <v>2924.1880000000001</v>
      </c>
      <c r="H21" s="5">
        <f>H22-H19</f>
        <v>1444.5351994615332</v>
      </c>
    </row>
    <row r="22" spans="1:19">
      <c r="B22" s="1">
        <v>100</v>
      </c>
      <c r="C22" s="1" t="s">
        <v>4</v>
      </c>
      <c r="D22" s="19">
        <v>42279</v>
      </c>
      <c r="E22" s="20">
        <v>2879.2429999999999</v>
      </c>
      <c r="F22" s="3">
        <v>18.063199999999998</v>
      </c>
      <c r="G22" s="5">
        <f>G21-E22</f>
        <v>44.945000000000164</v>
      </c>
      <c r="H22">
        <f>H14/E14*E22</f>
        <v>1446.3631994615332</v>
      </c>
      <c r="K22" s="22">
        <v>11</v>
      </c>
      <c r="L22" s="1">
        <v>25</v>
      </c>
      <c r="M22" s="1" t="s">
        <v>4</v>
      </c>
      <c r="N22" s="19">
        <v>41439</v>
      </c>
      <c r="O22" s="20">
        <v>1838.3261</v>
      </c>
      <c r="P22" s="3">
        <v>18.95</v>
      </c>
      <c r="R22">
        <f>R20/O20*O22</f>
        <v>1.4296191629248933</v>
      </c>
    </row>
    <row r="23" spans="1:19">
      <c r="B23" s="1">
        <v>170</v>
      </c>
      <c r="C23" s="1" t="s">
        <v>4</v>
      </c>
      <c r="D23" s="19">
        <v>43516</v>
      </c>
      <c r="E23" s="1">
        <v>44.945</v>
      </c>
      <c r="F23" s="3">
        <v>19.726199999999999</v>
      </c>
      <c r="G23" s="5">
        <f>G22-E23</f>
        <v>1.6342482922482304E-13</v>
      </c>
      <c r="L23" s="1">
        <v>16</v>
      </c>
      <c r="M23" s="1" t="s">
        <v>1</v>
      </c>
      <c r="N23" s="19">
        <v>41166</v>
      </c>
      <c r="O23" s="1">
        <v>547.64509999999996</v>
      </c>
      <c r="P23" s="3">
        <v>18.260000000000002</v>
      </c>
      <c r="R23" s="9">
        <f>R22</f>
        <v>1.4296191629248933</v>
      </c>
      <c r="S23" s="2">
        <f>R23*P23</f>
        <v>26.104845915008553</v>
      </c>
    </row>
    <row r="25" spans="1:19">
      <c r="A25" s="4" t="s">
        <v>8</v>
      </c>
      <c r="K25" s="22">
        <v>1</v>
      </c>
      <c r="L25" s="1">
        <v>92</v>
      </c>
      <c r="M25" t="s">
        <v>2</v>
      </c>
      <c r="N25" s="19">
        <v>42202</v>
      </c>
      <c r="O25" s="20">
        <v>2922.36</v>
      </c>
      <c r="P25" s="3">
        <v>18.3931</v>
      </c>
      <c r="R25" s="5">
        <f>R16-R17</f>
        <v>1444.5351994615332</v>
      </c>
    </row>
    <row r="26" spans="1:19">
      <c r="B26" s="1">
        <v>26</v>
      </c>
      <c r="C26" s="1" t="s">
        <v>2</v>
      </c>
      <c r="D26" s="19">
        <v>41439</v>
      </c>
      <c r="E26" s="1">
        <v>249.34710000000001</v>
      </c>
      <c r="F26" s="3">
        <v>139.71</v>
      </c>
      <c r="G26">
        <f>E26</f>
        <v>249.34710000000001</v>
      </c>
      <c r="H26">
        <f>H27</f>
        <v>0.19391085856842791</v>
      </c>
    </row>
    <row r="27" spans="1:19">
      <c r="B27" s="1">
        <v>28</v>
      </c>
      <c r="C27" s="1" t="s">
        <v>4</v>
      </c>
      <c r="D27" s="19">
        <v>41794</v>
      </c>
      <c r="E27" s="1">
        <v>249</v>
      </c>
      <c r="F27" s="3">
        <v>172.04</v>
      </c>
      <c r="G27" s="5">
        <f>G26-E27</f>
        <v>0.34710000000001173</v>
      </c>
      <c r="H27">
        <f>H19/E19*E27</f>
        <v>0.19391085856842791</v>
      </c>
      <c r="K27" s="22">
        <v>5</v>
      </c>
      <c r="L27" s="1">
        <v>91</v>
      </c>
      <c r="M27" s="1" t="s">
        <v>4</v>
      </c>
      <c r="N27" s="19">
        <v>42201</v>
      </c>
      <c r="O27" s="1">
        <v>259.52999999999997</v>
      </c>
      <c r="P27" s="3">
        <v>207.11</v>
      </c>
      <c r="R27">
        <f>R25/O25*O27</f>
        <v>128.28680255555497</v>
      </c>
    </row>
    <row r="28" spans="1:19">
      <c r="B28" s="1">
        <v>31</v>
      </c>
      <c r="C28" s="1" t="s">
        <v>2</v>
      </c>
      <c r="D28" s="19">
        <v>41976</v>
      </c>
      <c r="E28" s="1">
        <v>264.18049999999999</v>
      </c>
      <c r="F28" s="3">
        <v>168.57</v>
      </c>
      <c r="G28" s="5">
        <f t="shared" ref="G28" si="3">G27+E28</f>
        <v>264.52760000000001</v>
      </c>
      <c r="L28" s="1">
        <v>26</v>
      </c>
      <c r="M28" s="1" t="s">
        <v>2</v>
      </c>
      <c r="N28" s="19">
        <v>41439</v>
      </c>
      <c r="O28" s="1">
        <v>249.34710000000001</v>
      </c>
      <c r="P28" s="3">
        <v>139.71</v>
      </c>
      <c r="R28" s="5">
        <f>G27</f>
        <v>0.34710000000001173</v>
      </c>
    </row>
    <row r="29" spans="1:19">
      <c r="B29" s="1">
        <v>91</v>
      </c>
      <c r="C29" s="1" t="s">
        <v>4</v>
      </c>
      <c r="D29" s="19">
        <v>42201</v>
      </c>
      <c r="E29" s="1">
        <v>259.52999999999997</v>
      </c>
      <c r="F29" s="3">
        <v>207.11</v>
      </c>
      <c r="G29" s="5">
        <f>G28-E29</f>
        <v>4.997600000000034</v>
      </c>
    </row>
    <row r="30" spans="1:19">
      <c r="B30" s="1"/>
      <c r="C30" s="1"/>
      <c r="D30" s="19"/>
      <c r="E30" s="1"/>
      <c r="F30" s="3"/>
      <c r="K30" s="22">
        <v>11</v>
      </c>
      <c r="L30" s="1">
        <v>25</v>
      </c>
      <c r="M30" s="1" t="s">
        <v>4</v>
      </c>
      <c r="N30" s="19">
        <v>41439</v>
      </c>
      <c r="O30" s="20">
        <v>1838.3261</v>
      </c>
      <c r="P30" s="3">
        <v>18.95</v>
      </c>
      <c r="R30">
        <f>R28/O28*O30</f>
        <v>2.5590150810256929</v>
      </c>
    </row>
    <row r="31" spans="1:19">
      <c r="A31" s="4" t="s">
        <v>12</v>
      </c>
      <c r="B31" s="1"/>
      <c r="C31" s="1"/>
      <c r="D31" s="19"/>
      <c r="E31" s="1"/>
      <c r="F31" s="3"/>
      <c r="L31" s="1">
        <v>16</v>
      </c>
      <c r="M31" s="1" t="s">
        <v>1</v>
      </c>
      <c r="N31" s="19">
        <v>41166</v>
      </c>
      <c r="O31" s="1">
        <v>547.64509999999996</v>
      </c>
      <c r="P31" s="3">
        <v>18.260000000000002</v>
      </c>
      <c r="R31" s="9">
        <f>R30</f>
        <v>2.5590150810256929</v>
      </c>
      <c r="S31" s="2">
        <f>R31*P31</f>
        <v>46.727615379529155</v>
      </c>
    </row>
    <row r="32" spans="1:19">
      <c r="B32" s="1">
        <v>16</v>
      </c>
      <c r="C32" s="1" t="s">
        <v>1</v>
      </c>
      <c r="D32" s="19">
        <v>41166</v>
      </c>
      <c r="E32" s="1">
        <v>547.64509999999996</v>
      </c>
      <c r="F32" s="3">
        <v>18.260000000000002</v>
      </c>
      <c r="G32">
        <f>E32</f>
        <v>547.64509999999996</v>
      </c>
    </row>
    <row r="33" spans="1:19">
      <c r="B33" s="1">
        <v>17</v>
      </c>
      <c r="C33" s="1" t="s">
        <v>1</v>
      </c>
      <c r="D33" s="19">
        <v>41377</v>
      </c>
      <c r="E33" s="20">
        <v>1010.611</v>
      </c>
      <c r="F33" s="3">
        <v>19.79</v>
      </c>
      <c r="G33" s="5">
        <f>G32+E33</f>
        <v>1558.2561000000001</v>
      </c>
      <c r="K33" s="22">
        <v>5</v>
      </c>
      <c r="L33" s="1">
        <v>31</v>
      </c>
      <c r="M33" s="1" t="s">
        <v>2</v>
      </c>
      <c r="N33" s="19">
        <v>41976</v>
      </c>
      <c r="O33" s="1">
        <v>264.18049999999999</v>
      </c>
      <c r="P33" s="3">
        <v>168.57</v>
      </c>
      <c r="R33" s="5">
        <f>R27-R28</f>
        <v>127.93970255555496</v>
      </c>
    </row>
    <row r="34" spans="1:19">
      <c r="B34" s="1">
        <v>24</v>
      </c>
      <c r="C34" s="1" t="s">
        <v>2</v>
      </c>
      <c r="D34" s="19">
        <v>41383</v>
      </c>
      <c r="E34" s="1">
        <v>280.07</v>
      </c>
      <c r="F34" s="3">
        <v>19.68</v>
      </c>
      <c r="G34" s="5">
        <f t="shared" ref="G34" si="4">G33+E34</f>
        <v>1838.3261</v>
      </c>
    </row>
    <row r="35" spans="1:19">
      <c r="B35" s="1">
        <v>25</v>
      </c>
      <c r="C35" s="1" t="s">
        <v>4</v>
      </c>
      <c r="D35" s="19">
        <v>41439</v>
      </c>
      <c r="E35" s="20">
        <v>1838.3261</v>
      </c>
      <c r="F35" s="3">
        <v>18.95</v>
      </c>
      <c r="G35" s="5">
        <f>G34-E35</f>
        <v>0</v>
      </c>
      <c r="K35" s="22">
        <v>1</v>
      </c>
      <c r="L35" s="1">
        <v>30</v>
      </c>
      <c r="M35" s="1" t="s">
        <v>4</v>
      </c>
      <c r="N35" s="19">
        <v>41971</v>
      </c>
      <c r="O35" s="20">
        <v>2404</v>
      </c>
      <c r="P35" s="3">
        <v>18.5245</v>
      </c>
      <c r="R35">
        <f>R33/O33*O35</f>
        <v>1164.2306867598256</v>
      </c>
    </row>
    <row r="36" spans="1:19">
      <c r="B36" s="1"/>
      <c r="C36" s="1"/>
      <c r="D36" s="19"/>
      <c r="E36" s="20"/>
      <c r="F36" s="3"/>
      <c r="L36" s="1">
        <v>27</v>
      </c>
      <c r="M36" s="1" t="s">
        <v>1</v>
      </c>
      <c r="N36" s="19">
        <v>41521</v>
      </c>
      <c r="O36" s="1">
        <v>58.502000000000002</v>
      </c>
      <c r="P36" s="3">
        <v>17.093299999999999</v>
      </c>
      <c r="R36" s="9">
        <f>O36</f>
        <v>58.502000000000002</v>
      </c>
      <c r="S36" s="2">
        <f>R36*P36</f>
        <v>999.99223659999996</v>
      </c>
    </row>
    <row r="37" spans="1:19">
      <c r="A37" s="4" t="s">
        <v>14</v>
      </c>
      <c r="L37" s="1">
        <v>29</v>
      </c>
      <c r="M37" s="1" t="s">
        <v>2</v>
      </c>
      <c r="N37" s="19">
        <v>41794</v>
      </c>
      <c r="O37" s="20">
        <v>2347.326</v>
      </c>
      <c r="P37" s="3">
        <v>18.249700000000001</v>
      </c>
      <c r="R37">
        <f>R35-R36</f>
        <v>1105.7286867598257</v>
      </c>
    </row>
    <row r="38" spans="1:19">
      <c r="B38" s="1">
        <v>15</v>
      </c>
      <c r="C38" s="1" t="s">
        <v>1</v>
      </c>
      <c r="D38" s="19">
        <v>36841</v>
      </c>
      <c r="E38" s="1">
        <v>679.64</v>
      </c>
      <c r="F38" s="3">
        <v>22.992000000000001</v>
      </c>
      <c r="G38">
        <f>E38</f>
        <v>679.64</v>
      </c>
    </row>
    <row r="39" spans="1:19">
      <c r="B39" s="1">
        <v>23</v>
      </c>
      <c r="C39" s="1" t="s">
        <v>4</v>
      </c>
      <c r="D39" s="19">
        <v>41383</v>
      </c>
      <c r="E39" s="1">
        <v>679.64</v>
      </c>
      <c r="F39" s="3">
        <v>8.1097999999999999</v>
      </c>
      <c r="G39" s="5">
        <f>G38-E39</f>
        <v>0</v>
      </c>
      <c r="K39" s="22">
        <v>5</v>
      </c>
      <c r="L39" s="1">
        <v>28</v>
      </c>
      <c r="M39" s="1" t="s">
        <v>4</v>
      </c>
      <c r="N39" s="19">
        <v>41794</v>
      </c>
      <c r="O39" s="1">
        <v>249</v>
      </c>
      <c r="P39" s="3">
        <v>172.04</v>
      </c>
      <c r="R39">
        <f>R37/O37*O39</f>
        <v>117.29365371626974</v>
      </c>
    </row>
    <row r="40" spans="1:19">
      <c r="B40" s="1"/>
      <c r="C40" s="1"/>
      <c r="D40" s="19"/>
      <c r="E40" s="1"/>
      <c r="F40" s="3"/>
      <c r="L40" s="1">
        <v>26</v>
      </c>
      <c r="M40" s="1" t="s">
        <v>2</v>
      </c>
      <c r="N40" s="19">
        <v>41439</v>
      </c>
      <c r="O40" s="1">
        <v>249.34710000000001</v>
      </c>
      <c r="P40" s="3">
        <v>139.71</v>
      </c>
      <c r="R40">
        <f>R39</f>
        <v>117.29365371626974</v>
      </c>
    </row>
    <row r="41" spans="1:19">
      <c r="B41" s="1"/>
      <c r="C41" s="1"/>
      <c r="D41" s="19"/>
      <c r="E41" s="1"/>
      <c r="F41" s="3"/>
    </row>
    <row r="42" spans="1:19">
      <c r="K42" s="22">
        <v>11</v>
      </c>
      <c r="L42" s="1">
        <v>25</v>
      </c>
      <c r="M42" s="1" t="s">
        <v>4</v>
      </c>
      <c r="N42" s="19">
        <v>41439</v>
      </c>
      <c r="O42" s="20">
        <v>1838.3261</v>
      </c>
      <c r="P42" s="3">
        <v>18.95</v>
      </c>
      <c r="R42">
        <f>R40/O40*O42</f>
        <v>864.75433237836194</v>
      </c>
    </row>
    <row r="43" spans="1:19">
      <c r="L43" s="1">
        <v>16</v>
      </c>
      <c r="M43" s="1" t="s">
        <v>1</v>
      </c>
      <c r="N43" s="19">
        <v>41166</v>
      </c>
      <c r="O43" s="1">
        <v>547.64509999999996</v>
      </c>
      <c r="P43" s="3">
        <v>18.260000000000002</v>
      </c>
      <c r="R43" s="9">
        <f>O43</f>
        <v>547.64509999999996</v>
      </c>
      <c r="S43" s="2">
        <f>R43*P43</f>
        <v>9999.9995259999996</v>
      </c>
    </row>
    <row r="44" spans="1:19">
      <c r="L44" s="1">
        <v>17</v>
      </c>
      <c r="M44" s="1" t="s">
        <v>1</v>
      </c>
      <c r="N44" s="19">
        <v>41377</v>
      </c>
      <c r="O44" s="20">
        <v>1010.611</v>
      </c>
      <c r="P44" s="3">
        <v>19.79</v>
      </c>
      <c r="Q44" s="5"/>
      <c r="R44" s="9">
        <f>R42-R43</f>
        <v>317.10923237836198</v>
      </c>
      <c r="S44" s="2">
        <f>R44*P44</f>
        <v>6275.5917087677835</v>
      </c>
    </row>
    <row r="45" spans="1:19">
      <c r="S45" s="21">
        <f>SUM(S11:S44)</f>
        <v>17348.415932662319</v>
      </c>
    </row>
    <row r="57" spans="14:14">
      <c r="N57" t="s">
        <v>32</v>
      </c>
    </row>
    <row r="58" spans="14:14">
      <c r="N58" t="s">
        <v>33</v>
      </c>
    </row>
    <row r="59" spans="14:14">
      <c r="N59" t="s">
        <v>35</v>
      </c>
    </row>
    <row r="60" spans="14:14">
      <c r="N60" t="s">
        <v>37</v>
      </c>
    </row>
    <row r="61" spans="14:14">
      <c r="N61" t="s">
        <v>39</v>
      </c>
    </row>
    <row r="62" spans="14:14">
      <c r="N62" t="s">
        <v>41</v>
      </c>
    </row>
    <row r="63" spans="14:14">
      <c r="N63" t="s">
        <v>43</v>
      </c>
    </row>
    <row r="64" spans="14:14">
      <c r="N64">
        <v>10000</v>
      </c>
    </row>
    <row r="65" spans="5:14">
      <c r="N65" t="s">
        <v>47</v>
      </c>
    </row>
    <row r="66" spans="5:14">
      <c r="N66" t="s">
        <v>49</v>
      </c>
    </row>
    <row r="67" spans="5:14">
      <c r="N67" s="14">
        <v>999999887946</v>
      </c>
    </row>
    <row r="68" spans="5:14">
      <c r="N68" t="s">
        <v>54</v>
      </c>
    </row>
    <row r="69" spans="5:14">
      <c r="N69">
        <v>1000</v>
      </c>
    </row>
    <row r="70" spans="5:14">
      <c r="N70">
        <v>1000</v>
      </c>
    </row>
    <row r="71" spans="5:14">
      <c r="N71">
        <v>1000</v>
      </c>
    </row>
    <row r="72" spans="5:14">
      <c r="N72" s="14">
        <v>49998343368</v>
      </c>
    </row>
    <row r="75" spans="5:14">
      <c r="E75" s="4"/>
      <c r="F75" s="4"/>
      <c r="G75" s="4"/>
      <c r="H75" s="4"/>
      <c r="I75" s="4"/>
      <c r="J75" s="10"/>
      <c r="K75" s="2"/>
    </row>
    <row r="76" spans="5:14">
      <c r="F76" s="18"/>
      <c r="G76" s="25"/>
      <c r="H76" s="14"/>
      <c r="I76" s="14"/>
      <c r="J76" s="2"/>
      <c r="K76" s="2"/>
    </row>
    <row r="77" spans="5:14">
      <c r="F77" s="25"/>
      <c r="H77" s="14"/>
      <c r="I77" s="14"/>
      <c r="J77" s="2"/>
      <c r="K77" s="2"/>
    </row>
    <row r="78" spans="5:14">
      <c r="G78" s="25"/>
      <c r="H78" s="14"/>
      <c r="I78" s="14"/>
      <c r="J78" s="2"/>
      <c r="K78" s="2"/>
    </row>
    <row r="79" spans="5:14">
      <c r="F79" s="25"/>
      <c r="G79" s="25"/>
      <c r="H79" s="14"/>
      <c r="I79" s="14"/>
      <c r="J79" s="2"/>
      <c r="K79" s="2"/>
    </row>
    <row r="80" spans="5:14">
      <c r="F80" s="25"/>
      <c r="I80" s="14"/>
      <c r="J80" s="2"/>
      <c r="K80" s="2"/>
    </row>
    <row r="81" spans="6:11">
      <c r="G81" s="25"/>
      <c r="I81" s="14"/>
      <c r="J81" s="2"/>
      <c r="K81" s="2"/>
    </row>
    <row r="82" spans="6:11">
      <c r="F82" s="25"/>
      <c r="I82" s="14"/>
      <c r="J82" s="2"/>
      <c r="K82" s="2"/>
    </row>
    <row r="83" spans="6:11">
      <c r="H83" s="14"/>
      <c r="I83" s="14"/>
      <c r="J83" s="2"/>
      <c r="K83" s="2"/>
    </row>
    <row r="84" spans="6:11">
      <c r="G84" s="25"/>
      <c r="H84" s="14"/>
      <c r="I84" s="14"/>
      <c r="J84" s="2"/>
      <c r="K84" s="2"/>
    </row>
    <row r="85" spans="6:11">
      <c r="F85" s="25"/>
      <c r="H85" s="14"/>
      <c r="I85" s="14"/>
      <c r="J85" s="2"/>
      <c r="K85" s="2"/>
    </row>
    <row r="86" spans="6:11">
      <c r="H86" s="14"/>
      <c r="I86" s="14"/>
      <c r="J86" s="14"/>
      <c r="K86" s="2"/>
    </row>
    <row r="87" spans="6:11">
      <c r="I87" s="14"/>
      <c r="J87" s="2"/>
      <c r="K87" s="2"/>
    </row>
    <row r="88" spans="6:11">
      <c r="G88" s="25"/>
      <c r="H88" s="14"/>
      <c r="I88" s="14"/>
      <c r="J88" s="2"/>
      <c r="K88" s="2"/>
    </row>
    <row r="89" spans="6:11">
      <c r="F89" s="25"/>
      <c r="H89" s="14"/>
      <c r="I89" s="14"/>
      <c r="J89" s="2"/>
      <c r="K89" s="2"/>
    </row>
    <row r="90" spans="6:11">
      <c r="I90" s="14"/>
      <c r="J90" s="2"/>
      <c r="K90" s="2"/>
    </row>
    <row r="91" spans="6:11">
      <c r="H91" s="14"/>
      <c r="I91" s="14"/>
      <c r="J91" s="14"/>
    </row>
  </sheetData>
  <pageMargins left="0.7" right="0.7" top="0.75" bottom="0.75" header="0.3" footer="0.3"/>
  <pageSetup paperSize="9" orientation="portrait" horizontalDpi="0" verticalDpi="0" r:id="rId1"/>
  <ignoredErrors>
    <ignoredError sqref="G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tabSelected="1" topLeftCell="A78" zoomScale="115" zoomScaleNormal="115" workbookViewId="0">
      <selection activeCell="E97" sqref="E97"/>
    </sheetView>
  </sheetViews>
  <sheetFormatPr defaultRowHeight="14.5"/>
  <cols>
    <col min="2" max="2" width="30.54296875" customWidth="1"/>
    <col min="3" max="6" width="13.26953125" customWidth="1"/>
    <col min="7" max="7" width="11.81640625" customWidth="1"/>
    <col min="8" max="8" width="12.453125" customWidth="1"/>
    <col min="9" max="9" width="11.54296875" customWidth="1"/>
    <col min="10" max="10" width="10.08984375" customWidth="1"/>
  </cols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b">
        <v>1</v>
      </c>
      <c r="G1" s="22" t="s">
        <v>30</v>
      </c>
      <c r="H1" s="14">
        <v>307198591800247</v>
      </c>
      <c r="I1" t="s">
        <v>31</v>
      </c>
    </row>
    <row r="2" spans="1:9">
      <c r="A2" t="s">
        <v>24</v>
      </c>
      <c r="B2" t="s">
        <v>25</v>
      </c>
      <c r="C2" t="s">
        <v>26</v>
      </c>
      <c r="D2" s="25">
        <v>41039</v>
      </c>
      <c r="E2" t="s">
        <v>28</v>
      </c>
      <c r="F2" t="b">
        <v>1</v>
      </c>
      <c r="G2" s="22" t="s">
        <v>30</v>
      </c>
      <c r="H2" s="14">
        <v>315534895021488</v>
      </c>
      <c r="I2" t="s">
        <v>31</v>
      </c>
    </row>
    <row r="3" spans="1:9">
      <c r="A3" t="s">
        <v>24</v>
      </c>
      <c r="B3" t="s">
        <v>25</v>
      </c>
      <c r="C3" t="s">
        <v>26</v>
      </c>
      <c r="D3" t="s">
        <v>34</v>
      </c>
      <c r="E3" t="s">
        <v>28</v>
      </c>
      <c r="F3" t="b">
        <v>1</v>
      </c>
      <c r="G3" s="22" t="s">
        <v>30</v>
      </c>
      <c r="H3" s="14">
        <v>382867830328462</v>
      </c>
      <c r="I3" t="s">
        <v>31</v>
      </c>
    </row>
    <row r="4" spans="1:9">
      <c r="A4" t="s">
        <v>24</v>
      </c>
      <c r="B4" t="s">
        <v>36</v>
      </c>
      <c r="C4" t="s">
        <v>26</v>
      </c>
      <c r="D4" s="25">
        <v>41433.000011574077</v>
      </c>
      <c r="E4" t="s">
        <v>28</v>
      </c>
      <c r="F4" t="b">
        <v>1</v>
      </c>
      <c r="G4" s="22" t="s">
        <v>30</v>
      </c>
      <c r="H4" s="14">
        <v>250441225303005</v>
      </c>
      <c r="I4" t="s">
        <v>31</v>
      </c>
    </row>
    <row r="5" spans="1:9">
      <c r="A5" t="s">
        <v>24</v>
      </c>
      <c r="B5" t="s">
        <v>38</v>
      </c>
      <c r="C5" t="s">
        <v>26</v>
      </c>
      <c r="D5" s="25">
        <v>41465</v>
      </c>
      <c r="E5" t="s">
        <v>28</v>
      </c>
      <c r="F5" t="b">
        <v>1</v>
      </c>
      <c r="G5" s="22" t="s">
        <v>30</v>
      </c>
      <c r="H5" s="14">
        <v>353571428571429</v>
      </c>
      <c r="I5" t="s">
        <v>31</v>
      </c>
    </row>
    <row r="6" spans="1:9">
      <c r="A6" t="s">
        <v>24</v>
      </c>
      <c r="B6" t="s">
        <v>38</v>
      </c>
      <c r="C6" t="s">
        <v>26</v>
      </c>
      <c r="D6" t="s">
        <v>40</v>
      </c>
      <c r="E6" t="s">
        <v>28</v>
      </c>
      <c r="F6" t="b">
        <v>1</v>
      </c>
      <c r="G6" s="22" t="s">
        <v>30</v>
      </c>
      <c r="H6" s="14">
        <v>370763013495477</v>
      </c>
      <c r="I6" t="s">
        <v>31</v>
      </c>
    </row>
    <row r="7" spans="1:9">
      <c r="A7" t="s">
        <v>24</v>
      </c>
      <c r="B7" t="s">
        <v>42</v>
      </c>
      <c r="C7" t="s">
        <v>26</v>
      </c>
      <c r="D7" s="25">
        <v>36841</v>
      </c>
      <c r="E7" t="s">
        <v>28</v>
      </c>
      <c r="F7" t="b">
        <v>1</v>
      </c>
      <c r="G7" s="22" t="s">
        <v>30</v>
      </c>
      <c r="H7" s="14">
        <v>229920399034783</v>
      </c>
      <c r="I7" t="s">
        <v>31</v>
      </c>
    </row>
    <row r="8" spans="1:9">
      <c r="A8" t="s">
        <v>24</v>
      </c>
      <c r="B8" t="s">
        <v>44</v>
      </c>
      <c r="C8" t="s">
        <v>26</v>
      </c>
      <c r="D8" t="s">
        <v>45</v>
      </c>
      <c r="E8" t="s">
        <v>28</v>
      </c>
      <c r="F8" t="b">
        <v>1</v>
      </c>
      <c r="G8" s="22" t="s">
        <v>30</v>
      </c>
      <c r="H8" s="14">
        <v>182599999986122</v>
      </c>
      <c r="I8" t="s">
        <v>31</v>
      </c>
    </row>
    <row r="9" spans="1:9">
      <c r="A9" t="s">
        <v>24</v>
      </c>
      <c r="B9" t="s">
        <v>44</v>
      </c>
      <c r="C9" t="s">
        <v>26</v>
      </c>
      <c r="D9" t="s">
        <v>46</v>
      </c>
      <c r="E9" t="s">
        <v>28</v>
      </c>
      <c r="F9" t="b">
        <v>1</v>
      </c>
      <c r="G9" s="22" t="s">
        <v>30</v>
      </c>
      <c r="H9" s="14">
        <v>197899983277443</v>
      </c>
      <c r="I9" t="s">
        <v>31</v>
      </c>
    </row>
    <row r="10" spans="1:9">
      <c r="A10" t="s">
        <v>24</v>
      </c>
      <c r="B10" t="s">
        <v>48</v>
      </c>
      <c r="C10" t="s">
        <v>26</v>
      </c>
      <c r="D10" s="25">
        <v>41373</v>
      </c>
      <c r="E10" t="s">
        <v>28</v>
      </c>
      <c r="F10" t="b">
        <v>1</v>
      </c>
      <c r="G10" s="22" t="s">
        <v>30</v>
      </c>
      <c r="H10" s="14">
        <v>170932617688284</v>
      </c>
      <c r="I10" t="s">
        <v>31</v>
      </c>
    </row>
    <row r="11" spans="1:9">
      <c r="A11" t="s">
        <v>24</v>
      </c>
      <c r="B11" t="s">
        <v>50</v>
      </c>
      <c r="C11" t="s">
        <v>26</v>
      </c>
      <c r="D11" t="s">
        <v>51</v>
      </c>
      <c r="E11" t="s">
        <v>28</v>
      </c>
      <c r="F11" t="b">
        <v>1</v>
      </c>
      <c r="G11" s="22" t="s">
        <v>30</v>
      </c>
      <c r="H11" s="14">
        <v>19974</v>
      </c>
      <c r="I11" t="s">
        <v>31</v>
      </c>
    </row>
    <row r="12" spans="1:9">
      <c r="A12" t="s">
        <v>24</v>
      </c>
      <c r="B12" t="s">
        <v>52</v>
      </c>
      <c r="C12" t="s">
        <v>26</v>
      </c>
      <c r="D12" t="s">
        <v>53</v>
      </c>
      <c r="E12" t="s">
        <v>28</v>
      </c>
      <c r="F12" t="b">
        <v>1</v>
      </c>
      <c r="G12" s="22" t="s">
        <v>30</v>
      </c>
      <c r="H12" s="14">
        <v>54956456043956</v>
      </c>
      <c r="I12" t="s">
        <v>31</v>
      </c>
    </row>
    <row r="13" spans="1:9">
      <c r="A13" t="s">
        <v>24</v>
      </c>
      <c r="B13" t="s">
        <v>55</v>
      </c>
      <c r="C13" t="s">
        <v>26</v>
      </c>
      <c r="D13" t="s">
        <v>56</v>
      </c>
      <c r="E13" t="s">
        <v>28</v>
      </c>
      <c r="F13" t="b">
        <v>1</v>
      </c>
      <c r="G13" s="22" t="s">
        <v>30</v>
      </c>
      <c r="H13" s="14">
        <v>130299950486019</v>
      </c>
      <c r="I13" t="s">
        <v>31</v>
      </c>
    </row>
    <row r="14" spans="1:9">
      <c r="A14" t="s">
        <v>24</v>
      </c>
      <c r="B14" t="s">
        <v>57</v>
      </c>
      <c r="C14" t="s">
        <v>26</v>
      </c>
      <c r="D14" s="25">
        <v>42071.795451388891</v>
      </c>
      <c r="E14" t="s">
        <v>28</v>
      </c>
      <c r="F14" t="b">
        <v>1</v>
      </c>
      <c r="G14" s="22" t="s">
        <v>30</v>
      </c>
      <c r="H14" s="14">
        <v>890900343887533</v>
      </c>
      <c r="I14" t="s">
        <v>31</v>
      </c>
    </row>
    <row r="15" spans="1:9">
      <c r="A15" t="s">
        <v>24</v>
      </c>
      <c r="B15" t="s">
        <v>58</v>
      </c>
      <c r="C15" t="s">
        <v>26</v>
      </c>
      <c r="D15" t="s">
        <v>59</v>
      </c>
      <c r="E15" t="s">
        <v>28</v>
      </c>
      <c r="F15" t="b">
        <v>1</v>
      </c>
      <c r="G15" s="22" t="s">
        <v>30</v>
      </c>
      <c r="H15" s="14">
        <v>186046511627907</v>
      </c>
      <c r="I15" t="s">
        <v>31</v>
      </c>
    </row>
    <row r="16" spans="1:9">
      <c r="A16" t="s">
        <v>24</v>
      </c>
      <c r="B16" t="s">
        <v>57</v>
      </c>
      <c r="C16" t="s">
        <v>26</v>
      </c>
      <c r="D16" t="s">
        <v>60</v>
      </c>
      <c r="E16" t="s">
        <v>28</v>
      </c>
      <c r="F16" t="b">
        <v>1</v>
      </c>
      <c r="G16" s="22" t="s">
        <v>30</v>
      </c>
      <c r="H16" s="14">
        <v>8952</v>
      </c>
      <c r="I16" t="s">
        <v>31</v>
      </c>
    </row>
    <row r="18" spans="1:7">
      <c r="A18" t="s">
        <v>18</v>
      </c>
      <c r="B18" t="s">
        <v>61</v>
      </c>
      <c r="C18" t="s">
        <v>26</v>
      </c>
      <c r="D18" t="s">
        <v>28</v>
      </c>
      <c r="E18" t="s">
        <v>29</v>
      </c>
      <c r="F18" t="s">
        <v>30</v>
      </c>
      <c r="G18" t="s">
        <v>31</v>
      </c>
    </row>
    <row r="19" spans="1:7">
      <c r="A19">
        <v>1</v>
      </c>
      <c r="B19" t="s">
        <v>25</v>
      </c>
      <c r="C19" s="18">
        <v>41172</v>
      </c>
      <c r="D19" t="b">
        <v>1</v>
      </c>
      <c r="E19">
        <v>325.52199999999999</v>
      </c>
      <c r="F19" s="2">
        <v>30.72</v>
      </c>
      <c r="G19" s="2">
        <v>9999.99</v>
      </c>
    </row>
    <row r="20" spans="1:7">
      <c r="A20">
        <v>2</v>
      </c>
      <c r="B20" t="s">
        <v>25</v>
      </c>
      <c r="C20" s="18">
        <v>41187</v>
      </c>
      <c r="D20" t="b">
        <v>1</v>
      </c>
      <c r="E20" s="5">
        <v>1267.6880000000001</v>
      </c>
      <c r="F20" s="2">
        <v>31.553000000000001</v>
      </c>
      <c r="G20" s="2">
        <v>39999.980000000003</v>
      </c>
    </row>
    <row r="21" spans="1:7">
      <c r="A21">
        <v>3</v>
      </c>
      <c r="B21" t="s">
        <v>25</v>
      </c>
      <c r="C21" s="18">
        <v>41410</v>
      </c>
      <c r="D21" t="b">
        <v>1</v>
      </c>
      <c r="E21">
        <v>522.37400000000002</v>
      </c>
      <c r="F21" s="2">
        <v>38.286999999999999</v>
      </c>
      <c r="G21" s="2">
        <v>20000.02</v>
      </c>
    </row>
    <row r="22" spans="1:7">
      <c r="A22">
        <v>7</v>
      </c>
      <c r="B22" t="s">
        <v>36</v>
      </c>
      <c r="C22" s="18">
        <v>41492</v>
      </c>
      <c r="D22" t="b">
        <v>1</v>
      </c>
      <c r="E22">
        <v>24.091999999999999</v>
      </c>
      <c r="F22" s="2">
        <v>250.441</v>
      </c>
      <c r="G22" s="2">
        <v>6033.63</v>
      </c>
    </row>
    <row r="23" spans="1:7">
      <c r="A23">
        <v>11</v>
      </c>
      <c r="B23" t="s">
        <v>38</v>
      </c>
      <c r="C23" s="18">
        <v>41554</v>
      </c>
      <c r="D23" t="b">
        <v>1</v>
      </c>
      <c r="E23">
        <v>28.28</v>
      </c>
      <c r="F23" s="2">
        <v>35.356999999999999</v>
      </c>
      <c r="G23" s="2">
        <v>999.9</v>
      </c>
    </row>
    <row r="24" spans="1:7">
      <c r="A24">
        <v>12</v>
      </c>
      <c r="B24" t="s">
        <v>38</v>
      </c>
      <c r="C24" s="18">
        <v>41565</v>
      </c>
      <c r="D24" t="b">
        <v>1</v>
      </c>
      <c r="E24">
        <v>134.86000000000001</v>
      </c>
      <c r="F24" s="2">
        <v>37.076000000000001</v>
      </c>
      <c r="G24" s="2">
        <v>5000.1099999999997</v>
      </c>
    </row>
    <row r="25" spans="1:7">
      <c r="A25">
        <v>15</v>
      </c>
      <c r="B25" t="s">
        <v>42</v>
      </c>
      <c r="C25" s="18">
        <v>36841</v>
      </c>
      <c r="D25" t="b">
        <v>1</v>
      </c>
      <c r="E25">
        <v>679.64</v>
      </c>
      <c r="F25" s="2">
        <v>22.992000000000001</v>
      </c>
      <c r="G25" s="2">
        <v>15626.31</v>
      </c>
    </row>
    <row r="26" spans="1:7">
      <c r="A26">
        <v>16</v>
      </c>
      <c r="B26" t="s">
        <v>44</v>
      </c>
      <c r="C26" s="18">
        <v>41166</v>
      </c>
      <c r="D26" t="b">
        <v>1</v>
      </c>
      <c r="E26">
        <v>547.64509999999996</v>
      </c>
      <c r="F26" s="2">
        <v>18.260000000000002</v>
      </c>
      <c r="G26" s="2">
        <v>10000</v>
      </c>
    </row>
    <row r="27" spans="1:7">
      <c r="A27">
        <v>17</v>
      </c>
      <c r="B27" t="s">
        <v>44</v>
      </c>
      <c r="C27" s="18">
        <v>41377</v>
      </c>
      <c r="D27" t="b">
        <v>1</v>
      </c>
      <c r="E27" s="5">
        <v>1010.611</v>
      </c>
      <c r="F27" s="2">
        <v>19.79</v>
      </c>
      <c r="G27" s="2">
        <v>19999.990000000002</v>
      </c>
    </row>
    <row r="28" spans="1:7">
      <c r="A28">
        <v>27</v>
      </c>
      <c r="B28" t="s">
        <v>48</v>
      </c>
      <c r="C28" s="18">
        <v>41521</v>
      </c>
      <c r="D28" t="b">
        <v>1</v>
      </c>
      <c r="E28">
        <v>58.502000000000002</v>
      </c>
      <c r="F28" s="2">
        <v>17.093</v>
      </c>
      <c r="G28" s="2">
        <v>999.99</v>
      </c>
    </row>
    <row r="29" spans="1:7">
      <c r="A29">
        <v>32</v>
      </c>
      <c r="B29" t="s">
        <v>50</v>
      </c>
      <c r="C29" s="18">
        <v>41166</v>
      </c>
      <c r="D29" t="b">
        <v>1</v>
      </c>
      <c r="E29" s="5">
        <v>5006.5078999999996</v>
      </c>
      <c r="F29" s="2">
        <v>1.9970000000000001</v>
      </c>
      <c r="G29" s="2">
        <v>10000</v>
      </c>
    </row>
    <row r="30" spans="1:7">
      <c r="A30">
        <v>35</v>
      </c>
      <c r="B30" t="s">
        <v>52</v>
      </c>
      <c r="C30" s="18">
        <v>41201</v>
      </c>
      <c r="D30" t="b">
        <v>1</v>
      </c>
      <c r="E30">
        <v>21.84</v>
      </c>
      <c r="F30" s="2">
        <v>549.56500000000005</v>
      </c>
      <c r="G30" s="2">
        <v>12002.49</v>
      </c>
    </row>
    <row r="31" spans="1:7">
      <c r="A31">
        <v>37</v>
      </c>
      <c r="B31" t="s">
        <v>55</v>
      </c>
      <c r="C31" s="18">
        <v>41534</v>
      </c>
      <c r="D31" t="b">
        <v>1</v>
      </c>
      <c r="E31">
        <v>76.745999999999995</v>
      </c>
      <c r="F31" s="2">
        <v>13.03</v>
      </c>
      <c r="G31" s="2">
        <v>1000</v>
      </c>
    </row>
    <row r="32" spans="1:7">
      <c r="A32">
        <v>98</v>
      </c>
      <c r="B32" t="s">
        <v>57</v>
      </c>
      <c r="C32" s="18">
        <v>42219</v>
      </c>
      <c r="D32" t="b">
        <v>1</v>
      </c>
      <c r="E32">
        <v>112.246</v>
      </c>
      <c r="F32" s="2">
        <v>8.9090000000000007</v>
      </c>
      <c r="G32" s="2">
        <v>1000</v>
      </c>
    </row>
    <row r="33" spans="1:9">
      <c r="A33">
        <v>108</v>
      </c>
      <c r="B33" t="s">
        <v>58</v>
      </c>
      <c r="C33" s="18">
        <v>42387</v>
      </c>
      <c r="D33" t="b">
        <v>1</v>
      </c>
      <c r="E33">
        <v>0.53749999999999998</v>
      </c>
      <c r="F33" s="2">
        <v>1860.4649999999999</v>
      </c>
      <c r="G33" s="2">
        <v>1000</v>
      </c>
    </row>
    <row r="34" spans="1:9">
      <c r="A34">
        <v>122</v>
      </c>
      <c r="B34" t="s">
        <v>57</v>
      </c>
      <c r="C34" s="18">
        <v>42635</v>
      </c>
      <c r="D34" t="b">
        <v>1</v>
      </c>
      <c r="E34" s="5">
        <v>5585.1589999999997</v>
      </c>
      <c r="F34" s="2">
        <v>8.952</v>
      </c>
      <c r="G34" s="2">
        <v>49998.34</v>
      </c>
    </row>
    <row r="35" spans="1:9">
      <c r="G35" s="2"/>
    </row>
    <row r="37" spans="1:9">
      <c r="B37" t="s">
        <v>71</v>
      </c>
    </row>
    <row r="38" spans="1:9">
      <c r="A38" t="s">
        <v>69</v>
      </c>
      <c r="B38" s="24">
        <f xml:space="preserve"> 1588.63+103773.08</f>
        <v>105361.71</v>
      </c>
    </row>
    <row r="39" spans="1:9">
      <c r="A39" t="s">
        <v>70</v>
      </c>
      <c r="B39" s="24">
        <v>105946.75924746</v>
      </c>
    </row>
    <row r="40" spans="1:9">
      <c r="A40" t="s">
        <v>72</v>
      </c>
      <c r="B40" s="17">
        <f>+B38-B39</f>
        <v>-585.04924745998869</v>
      </c>
    </row>
    <row r="42" spans="1:9">
      <c r="B42" s="8" t="s">
        <v>62</v>
      </c>
      <c r="C42" s="8" t="s">
        <v>63</v>
      </c>
      <c r="D42" s="8" t="s">
        <v>64</v>
      </c>
      <c r="E42" s="8" t="s">
        <v>74</v>
      </c>
      <c r="F42" s="8" t="s">
        <v>68</v>
      </c>
      <c r="G42" s="8" t="s">
        <v>63</v>
      </c>
      <c r="H42" s="8" t="s">
        <v>64</v>
      </c>
      <c r="I42" s="8" t="s">
        <v>74</v>
      </c>
    </row>
    <row r="43" spans="1:9">
      <c r="B43" t="s">
        <v>25</v>
      </c>
      <c r="C43" s="17">
        <v>522.41999999999996</v>
      </c>
      <c r="D43" s="17">
        <v>3756.62</v>
      </c>
      <c r="E43" s="17">
        <v>522.41</v>
      </c>
      <c r="F43" s="26">
        <v>486.3</v>
      </c>
      <c r="G43" s="17">
        <f>$F43-C43</f>
        <v>-36.119999999999948</v>
      </c>
      <c r="H43" s="17">
        <f t="shared" ref="H43:I51" si="0">$F43-D43</f>
        <v>-3270.3199999999997</v>
      </c>
      <c r="I43" s="17">
        <f t="shared" si="0"/>
        <v>-36.109999999999957</v>
      </c>
    </row>
    <row r="44" spans="1:9">
      <c r="B44" t="s">
        <v>38</v>
      </c>
      <c r="C44" s="17">
        <v>116.42</v>
      </c>
      <c r="D44" s="17">
        <v>5000.1099999999997</v>
      </c>
      <c r="E44" s="17">
        <v>116.42</v>
      </c>
      <c r="F44" s="26">
        <v>116.41</v>
      </c>
      <c r="G44" s="17">
        <f t="shared" ref="G44:G51" si="1">$F44-C44</f>
        <v>-1.0000000000005116E-2</v>
      </c>
      <c r="H44" s="17">
        <f t="shared" si="0"/>
        <v>-4883.7</v>
      </c>
      <c r="I44" s="17">
        <f t="shared" si="0"/>
        <v>-1.0000000000005116E-2</v>
      </c>
    </row>
    <row r="45" spans="1:9">
      <c r="B45" t="s">
        <v>65</v>
      </c>
      <c r="C45" s="17">
        <v>777.36</v>
      </c>
      <c r="D45" s="17">
        <v>46544.39</v>
      </c>
      <c r="E45" s="17">
        <v>880.17</v>
      </c>
      <c r="F45" s="26">
        <v>777.35</v>
      </c>
      <c r="G45" s="17">
        <f t="shared" si="1"/>
        <v>-9.9999999999909051E-3</v>
      </c>
      <c r="H45" s="17">
        <f t="shared" si="0"/>
        <v>-45767.040000000001</v>
      </c>
      <c r="I45" s="17">
        <f t="shared" si="0"/>
        <v>-102.81999999999994</v>
      </c>
    </row>
    <row r="46" spans="1:9">
      <c r="B46" t="s">
        <v>36</v>
      </c>
      <c r="C46" s="17">
        <v>6511.21</v>
      </c>
      <c r="D46" s="17">
        <v>10267.83</v>
      </c>
      <c r="E46" s="17">
        <v>6511.22</v>
      </c>
      <c r="F46" s="26">
        <v>6132.72</v>
      </c>
      <c r="G46" s="17">
        <f t="shared" si="1"/>
        <v>-378.48999999999978</v>
      </c>
      <c r="H46" s="17">
        <f t="shared" si="0"/>
        <v>-4135.1099999999997</v>
      </c>
      <c r="I46" s="17">
        <f t="shared" si="0"/>
        <v>-378.5</v>
      </c>
    </row>
    <row r="47" spans="1:9">
      <c r="B47" t="s">
        <v>57</v>
      </c>
      <c r="C47" s="17">
        <v>50998.34</v>
      </c>
      <c r="D47" s="17">
        <v>50998.34</v>
      </c>
      <c r="E47" s="17">
        <v>50998.34</v>
      </c>
      <c r="F47" s="26">
        <v>51000</v>
      </c>
      <c r="G47" s="17">
        <f>$F47-C47</f>
        <v>1.6600000000034925</v>
      </c>
      <c r="H47" s="17">
        <f t="shared" si="0"/>
        <v>1.6600000000034925</v>
      </c>
      <c r="I47" s="17">
        <f t="shared" si="0"/>
        <v>1.6600000000034925</v>
      </c>
    </row>
    <row r="48" spans="1:9">
      <c r="B48" t="s">
        <v>66</v>
      </c>
      <c r="C48" s="17">
        <v>17179.77</v>
      </c>
      <c r="D48" s="17">
        <v>45265.67</v>
      </c>
      <c r="E48" s="17">
        <v>22416.11</v>
      </c>
      <c r="F48" s="26">
        <v>17922.04</v>
      </c>
      <c r="G48" s="17">
        <f t="shared" si="1"/>
        <v>742.27000000000044</v>
      </c>
      <c r="H48" s="17">
        <f t="shared" si="0"/>
        <v>-27343.629999999997</v>
      </c>
      <c r="I48" s="17">
        <f t="shared" si="0"/>
        <v>-4494.07</v>
      </c>
    </row>
    <row r="49" spans="1:9">
      <c r="B49" t="s">
        <v>58</v>
      </c>
      <c r="C49" s="17">
        <v>1613.6</v>
      </c>
      <c r="D49" s="17">
        <v>1580.29</v>
      </c>
      <c r="E49" s="17">
        <v>1703.02</v>
      </c>
      <c r="F49" s="26">
        <v>1588.63</v>
      </c>
      <c r="G49" s="17">
        <f t="shared" si="1"/>
        <v>-24.9699999999998</v>
      </c>
      <c r="H49" s="17">
        <f t="shared" si="0"/>
        <v>8.3400000000001455</v>
      </c>
      <c r="I49" s="17">
        <f t="shared" si="0"/>
        <v>-114.38999999999987</v>
      </c>
    </row>
    <row r="50" spans="1:9">
      <c r="B50" t="s">
        <v>67</v>
      </c>
      <c r="C50" s="17">
        <v>17348.419999999998</v>
      </c>
      <c r="D50" s="17">
        <v>27337.119999999999</v>
      </c>
      <c r="E50" s="17">
        <v>22627.07</v>
      </c>
      <c r="F50" s="26">
        <v>27338.26</v>
      </c>
      <c r="G50" s="17">
        <f t="shared" si="1"/>
        <v>9989.84</v>
      </c>
      <c r="H50" s="17">
        <f t="shared" si="0"/>
        <v>1.1399999999994179</v>
      </c>
      <c r="I50" s="17">
        <f t="shared" si="0"/>
        <v>4711.1899999999987</v>
      </c>
    </row>
    <row r="51" spans="1:9">
      <c r="B51" s="4" t="s">
        <v>73</v>
      </c>
      <c r="C51" s="21">
        <f>SUM(C43:C50)</f>
        <v>95067.540000000008</v>
      </c>
      <c r="D51" s="21">
        <f>SUM(D43:D50)</f>
        <v>190750.37</v>
      </c>
      <c r="E51" s="21">
        <f>SUM(E43:E50)</f>
        <v>105774.76000000001</v>
      </c>
      <c r="F51" s="27">
        <f>SUM(F43:F50)</f>
        <v>105361.71</v>
      </c>
      <c r="G51" s="17">
        <f t="shared" si="1"/>
        <v>10294.169999999998</v>
      </c>
      <c r="H51" s="17">
        <f t="shared" si="0"/>
        <v>-85388.659999999989</v>
      </c>
      <c r="I51" s="17">
        <f t="shared" si="0"/>
        <v>-413.05000000000291</v>
      </c>
    </row>
    <row r="52" spans="1:9">
      <c r="B52" s="4" t="s">
        <v>75</v>
      </c>
      <c r="C52" s="21">
        <f>$F51-C51</f>
        <v>10294.169999999998</v>
      </c>
      <c r="D52" s="21">
        <f>$F51-D51</f>
        <v>-85388.659999999989</v>
      </c>
      <c r="E52" s="21">
        <f>$F51-E51</f>
        <v>-413.05000000000291</v>
      </c>
      <c r="G52" s="14"/>
    </row>
    <row r="53" spans="1:9">
      <c r="E53" s="14"/>
      <c r="G53" s="14"/>
    </row>
    <row r="54" spans="1:9">
      <c r="A54">
        <v>101</v>
      </c>
      <c r="B54">
        <v>1</v>
      </c>
      <c r="C54">
        <v>16</v>
      </c>
      <c r="D54">
        <v>0</v>
      </c>
      <c r="E54">
        <v>100</v>
      </c>
      <c r="F54">
        <v>160.75280000000001</v>
      </c>
      <c r="G54">
        <v>280.20139999999998</v>
      </c>
      <c r="H54" s="17">
        <f>G54+I48</f>
        <v>-4213.8685999999998</v>
      </c>
    </row>
    <row r="55" spans="1:9">
      <c r="A55">
        <v>172</v>
      </c>
      <c r="B55">
        <v>1</v>
      </c>
      <c r="C55">
        <v>16</v>
      </c>
      <c r="D55">
        <v>1</v>
      </c>
      <c r="E55">
        <v>173</v>
      </c>
      <c r="F55">
        <v>80.752799999999993</v>
      </c>
      <c r="G55">
        <v>280.20139999999998</v>
      </c>
    </row>
    <row r="56" spans="1:9">
      <c r="A56">
        <v>173</v>
      </c>
      <c r="B56">
        <v>1</v>
      </c>
      <c r="C56">
        <v>27</v>
      </c>
      <c r="D56">
        <v>0</v>
      </c>
      <c r="E56" s="14">
        <v>172</v>
      </c>
      <c r="F56" s="14">
        <v>1778.69</v>
      </c>
      <c r="G56">
        <v>12.7212</v>
      </c>
      <c r="H56" s="17">
        <f>G56+I50</f>
        <v>4723.9111999999986</v>
      </c>
    </row>
    <row r="57" spans="1:9">
      <c r="E57" s="14"/>
      <c r="F57" s="14"/>
      <c r="H57" s="17"/>
    </row>
    <row r="58" spans="1:9">
      <c r="E58" s="14"/>
      <c r="F58" s="8" t="s">
        <v>132</v>
      </c>
      <c r="G58" s="8" t="s">
        <v>132</v>
      </c>
    </row>
    <row r="59" spans="1:9">
      <c r="B59" s="4" t="s">
        <v>62</v>
      </c>
      <c r="C59" s="8" t="s">
        <v>63</v>
      </c>
      <c r="D59" s="8" t="s">
        <v>76</v>
      </c>
      <c r="E59" s="8" t="s">
        <v>68</v>
      </c>
      <c r="F59" s="8" t="s">
        <v>63</v>
      </c>
      <c r="G59" s="8" t="s">
        <v>76</v>
      </c>
    </row>
    <row r="60" spans="1:9">
      <c r="B60" t="s">
        <v>25</v>
      </c>
      <c r="C60" s="2">
        <v>522.41999999999996</v>
      </c>
      <c r="D60" s="2">
        <v>522.41</v>
      </c>
      <c r="E60" s="26">
        <v>486.3</v>
      </c>
      <c r="F60" s="17">
        <f t="shared" ref="F60:G67" si="2">$E60-C60</f>
        <v>-36.119999999999948</v>
      </c>
      <c r="G60" s="17">
        <f t="shared" si="2"/>
        <v>-36.109999999999957</v>
      </c>
      <c r="H60" s="17"/>
    </row>
    <row r="61" spans="1:9">
      <c r="B61" t="s">
        <v>38</v>
      </c>
      <c r="C61" s="2">
        <v>116.42</v>
      </c>
      <c r="D61" s="2">
        <v>116.42</v>
      </c>
      <c r="E61" s="26">
        <v>116.41</v>
      </c>
      <c r="F61" s="17">
        <f t="shared" si="2"/>
        <v>-1.0000000000005116E-2</v>
      </c>
      <c r="G61" s="17">
        <f t="shared" si="2"/>
        <v>-1.0000000000005116E-2</v>
      </c>
      <c r="H61" s="17"/>
    </row>
    <row r="62" spans="1:9">
      <c r="B62" t="s">
        <v>65</v>
      </c>
      <c r="C62" s="2">
        <v>777.36</v>
      </c>
      <c r="D62" s="2">
        <v>777.36</v>
      </c>
      <c r="E62" s="26">
        <v>777.35</v>
      </c>
      <c r="F62" s="17">
        <f t="shared" si="2"/>
        <v>-9.9999999999909051E-3</v>
      </c>
      <c r="G62" s="17">
        <f t="shared" si="2"/>
        <v>-9.9999999999909051E-3</v>
      </c>
      <c r="H62" s="17"/>
    </row>
    <row r="63" spans="1:9">
      <c r="B63" t="s">
        <v>36</v>
      </c>
      <c r="C63" s="2">
        <v>6511.21</v>
      </c>
      <c r="D63" s="2">
        <v>6511.21</v>
      </c>
      <c r="E63" s="26">
        <v>6132.72</v>
      </c>
      <c r="F63" s="17">
        <f t="shared" si="2"/>
        <v>-378.48999999999978</v>
      </c>
      <c r="G63" s="17">
        <f t="shared" si="2"/>
        <v>-378.48999999999978</v>
      </c>
      <c r="H63" s="17"/>
    </row>
    <row r="64" spans="1:9">
      <c r="B64" t="s">
        <v>57</v>
      </c>
      <c r="C64" s="2">
        <v>50998.34</v>
      </c>
      <c r="D64" s="2">
        <v>50998.34</v>
      </c>
      <c r="E64" s="26">
        <v>51000</v>
      </c>
      <c r="F64" s="17">
        <f t="shared" si="2"/>
        <v>1.6600000000034925</v>
      </c>
      <c r="G64" s="17">
        <f t="shared" si="2"/>
        <v>1.6600000000034925</v>
      </c>
      <c r="H64" s="17"/>
    </row>
    <row r="65" spans="2:10">
      <c r="B65" t="s">
        <v>66</v>
      </c>
      <c r="C65" s="2">
        <v>17179.77</v>
      </c>
      <c r="D65" s="2">
        <v>17928.55</v>
      </c>
      <c r="E65" s="26">
        <v>17922.04</v>
      </c>
      <c r="F65" s="17">
        <f t="shared" si="2"/>
        <v>742.27000000000044</v>
      </c>
      <c r="G65" s="17">
        <f t="shared" si="2"/>
        <v>-6.5099999999983993</v>
      </c>
      <c r="H65" s="17"/>
    </row>
    <row r="66" spans="2:10">
      <c r="B66" t="s">
        <v>58</v>
      </c>
      <c r="C66" s="2">
        <v>1613.6</v>
      </c>
      <c r="D66" s="2">
        <v>1580.29</v>
      </c>
      <c r="E66" s="26">
        <v>1588.63</v>
      </c>
      <c r="F66" s="17">
        <f t="shared" si="2"/>
        <v>-24.9699999999998</v>
      </c>
      <c r="G66" s="17">
        <f t="shared" si="2"/>
        <v>8.3400000000001455</v>
      </c>
      <c r="H66" s="17"/>
    </row>
    <row r="67" spans="2:10">
      <c r="B67" t="s">
        <v>67</v>
      </c>
      <c r="C67" s="2">
        <v>17348.419999999998</v>
      </c>
      <c r="D67" s="2">
        <v>27337.119999999999</v>
      </c>
      <c r="E67" s="26">
        <v>27338.26</v>
      </c>
      <c r="F67" s="17">
        <f t="shared" si="2"/>
        <v>9989.84</v>
      </c>
      <c r="G67" s="17">
        <f t="shared" si="2"/>
        <v>1.1399999999994179</v>
      </c>
      <c r="H67" s="17"/>
    </row>
    <row r="68" spans="2:10">
      <c r="B68" s="4" t="s">
        <v>73</v>
      </c>
      <c r="C68" s="10">
        <f>SUM(C60:C67)</f>
        <v>95067.540000000008</v>
      </c>
      <c r="D68" s="10">
        <f>SUM(D60:D67)</f>
        <v>105771.69999999998</v>
      </c>
      <c r="E68" s="27">
        <f>SUM(E60:E67)</f>
        <v>105361.71</v>
      </c>
      <c r="F68" s="17"/>
      <c r="G68" s="17">
        <f>SUM(G60:G67)</f>
        <v>-409.98999999999506</v>
      </c>
      <c r="I68" s="17"/>
      <c r="J68" s="17"/>
    </row>
    <row r="69" spans="2:10">
      <c r="B69" s="4" t="s">
        <v>75</v>
      </c>
      <c r="C69" s="10">
        <f>$E68-C68</f>
        <v>10294.169999999998</v>
      </c>
      <c r="D69" s="10">
        <f>$E68-D68</f>
        <v>-409.98999999997613</v>
      </c>
      <c r="E69" s="14"/>
    </row>
    <row r="70" spans="2:10">
      <c r="E70" s="14"/>
      <c r="G70" s="14"/>
    </row>
    <row r="71" spans="2:10">
      <c r="B71" s="4" t="s">
        <v>62</v>
      </c>
      <c r="C71" s="29" t="s">
        <v>63</v>
      </c>
      <c r="D71" s="29" t="s">
        <v>76</v>
      </c>
      <c r="E71" s="14"/>
      <c r="F71" s="2"/>
      <c r="G71" s="14"/>
    </row>
    <row r="72" spans="2:10">
      <c r="B72" t="s">
        <v>67</v>
      </c>
      <c r="C72" s="2">
        <v>17348.419999999998</v>
      </c>
      <c r="D72" s="2">
        <v>27337.119999999999</v>
      </c>
      <c r="E72" s="14"/>
      <c r="F72" s="2"/>
      <c r="G72" s="14"/>
    </row>
    <row r="73" spans="2:10">
      <c r="C73" s="2"/>
      <c r="D73" s="2"/>
      <c r="E73" s="14"/>
      <c r="F73" s="2"/>
      <c r="G73" s="14"/>
    </row>
    <row r="74" spans="2:10">
      <c r="C74" s="2"/>
      <c r="D74" s="2"/>
      <c r="E74" s="2"/>
      <c r="F74" s="2"/>
      <c r="G74" s="14"/>
    </row>
    <row r="75" spans="2:10">
      <c r="B75" t="s">
        <v>62</v>
      </c>
      <c r="C75" s="2" t="s">
        <v>63</v>
      </c>
      <c r="D75" s="2" t="s">
        <v>76</v>
      </c>
      <c r="E75" s="8" t="s">
        <v>68</v>
      </c>
      <c r="F75" s="8" t="s">
        <v>63</v>
      </c>
      <c r="G75" s="8" t="s">
        <v>76</v>
      </c>
    </row>
    <row r="76" spans="2:10">
      <c r="B76" t="s">
        <v>25</v>
      </c>
      <c r="C76" s="2">
        <v>6033.63</v>
      </c>
      <c r="D76" s="2">
        <v>522.41</v>
      </c>
      <c r="E76" s="26">
        <v>486.3</v>
      </c>
      <c r="F76" s="17">
        <f t="shared" ref="F76:F83" si="3">$E76-C76</f>
        <v>-5547.33</v>
      </c>
      <c r="G76" s="17">
        <f t="shared" ref="G76:G83" si="4">$E76-D76</f>
        <v>-36.109999999999957</v>
      </c>
      <c r="H76" s="2">
        <v>436.4</v>
      </c>
    </row>
    <row r="77" spans="2:10">
      <c r="B77" t="s">
        <v>38</v>
      </c>
      <c r="C77" s="2">
        <v>116.42</v>
      </c>
      <c r="D77" s="2">
        <v>116.42</v>
      </c>
      <c r="E77" s="26">
        <v>116.41</v>
      </c>
      <c r="F77" s="17">
        <f t="shared" si="3"/>
        <v>-1.0000000000005116E-2</v>
      </c>
      <c r="G77" s="17">
        <f t="shared" si="4"/>
        <v>-1.0000000000005116E-2</v>
      </c>
      <c r="H77" s="2">
        <v>13.26</v>
      </c>
    </row>
    <row r="78" spans="2:10">
      <c r="B78" t="s">
        <v>65</v>
      </c>
      <c r="C78" s="2">
        <v>85.43</v>
      </c>
      <c r="D78" s="2">
        <v>777.36</v>
      </c>
      <c r="E78" s="26">
        <v>777.35</v>
      </c>
      <c r="F78" s="17">
        <f t="shared" si="3"/>
        <v>691.92000000000007</v>
      </c>
      <c r="G78" s="17">
        <f t="shared" si="4"/>
        <v>-9.9999999999909051E-3</v>
      </c>
      <c r="H78" s="2">
        <v>289.83</v>
      </c>
    </row>
    <row r="79" spans="2:10">
      <c r="B79" t="s">
        <v>36</v>
      </c>
      <c r="C79" s="2">
        <v>854.79</v>
      </c>
      <c r="D79" s="2">
        <v>6511.21</v>
      </c>
      <c r="E79" s="26">
        <v>6132.72</v>
      </c>
      <c r="F79" s="17">
        <f t="shared" si="3"/>
        <v>5277.93</v>
      </c>
      <c r="G79" s="17">
        <f t="shared" si="4"/>
        <v>-378.48999999999978</v>
      </c>
      <c r="H79" s="2">
        <v>8573.89</v>
      </c>
    </row>
    <row r="80" spans="2:10">
      <c r="B80" t="s">
        <v>57</v>
      </c>
      <c r="C80" s="2">
        <v>50998.34</v>
      </c>
      <c r="D80" s="2">
        <v>50998.34</v>
      </c>
      <c r="E80" s="26">
        <v>51000</v>
      </c>
      <c r="F80" s="17">
        <f t="shared" si="3"/>
        <v>1.6600000000034925</v>
      </c>
      <c r="G80" s="17">
        <f t="shared" si="4"/>
        <v>1.6600000000034925</v>
      </c>
      <c r="H80" s="2">
        <v>-673.73</v>
      </c>
    </row>
    <row r="81" spans="2:7">
      <c r="B81" t="s">
        <v>66</v>
      </c>
      <c r="C81" s="2">
        <v>1583.2</v>
      </c>
      <c r="D81" s="2">
        <v>17928.55</v>
      </c>
      <c r="E81" s="26">
        <v>17922.04</v>
      </c>
      <c r="F81" s="17">
        <f t="shared" si="3"/>
        <v>16338.84</v>
      </c>
      <c r="G81" s="17">
        <f t="shared" si="4"/>
        <v>-6.5099999999983993</v>
      </c>
    </row>
    <row r="82" spans="2:7">
      <c r="B82" t="s">
        <v>58</v>
      </c>
      <c r="C82" s="2">
        <v>17.18</v>
      </c>
      <c r="D82" s="2">
        <v>1580.29</v>
      </c>
      <c r="E82" s="26">
        <v>1588.63</v>
      </c>
      <c r="F82" s="17">
        <f t="shared" si="3"/>
        <v>1571.45</v>
      </c>
      <c r="G82" s="17">
        <f t="shared" si="4"/>
        <v>8.3400000000001455</v>
      </c>
    </row>
    <row r="83" spans="2:7">
      <c r="B83" t="s">
        <v>67</v>
      </c>
      <c r="C83" s="2">
        <v>30999.98</v>
      </c>
      <c r="D83" s="2">
        <v>27337.119999999999</v>
      </c>
      <c r="E83" s="26">
        <v>27338.26</v>
      </c>
      <c r="F83" s="17">
        <f t="shared" si="3"/>
        <v>-3661.7200000000012</v>
      </c>
      <c r="G83" s="17">
        <f t="shared" si="4"/>
        <v>1.1399999999994179</v>
      </c>
    </row>
    <row r="84" spans="2:7">
      <c r="C84" s="2"/>
      <c r="D84" s="2"/>
      <c r="E84" s="27">
        <f>SUM(E76:E83)</f>
        <v>105361.71</v>
      </c>
      <c r="F84" s="17"/>
      <c r="G84" s="17">
        <f>SUM(G76:G83)</f>
        <v>-409.98999999999506</v>
      </c>
    </row>
    <row r="87" spans="2:7">
      <c r="B87" t="s">
        <v>62</v>
      </c>
      <c r="C87" s="2" t="s">
        <v>133</v>
      </c>
      <c r="D87" s="2" t="s">
        <v>134</v>
      </c>
      <c r="E87" s="2" t="s">
        <v>135</v>
      </c>
      <c r="F87" s="2"/>
      <c r="G87" s="2"/>
    </row>
    <row r="88" spans="2:7">
      <c r="B88" t="s">
        <v>25</v>
      </c>
      <c r="C88" s="2">
        <v>522.41</v>
      </c>
      <c r="D88" s="2">
        <v>958.81</v>
      </c>
      <c r="E88" s="2">
        <v>436.4</v>
      </c>
      <c r="F88" s="2"/>
      <c r="G88" s="2"/>
    </row>
    <row r="89" spans="2:7">
      <c r="B89" t="s">
        <v>38</v>
      </c>
      <c r="C89" s="2">
        <v>116.42</v>
      </c>
      <c r="D89" s="2">
        <v>129.68</v>
      </c>
      <c r="E89" s="2">
        <v>13.26</v>
      </c>
      <c r="F89" s="2"/>
      <c r="G89" s="2"/>
    </row>
    <row r="90" spans="2:7">
      <c r="B90" t="s">
        <v>65</v>
      </c>
      <c r="C90" s="2">
        <v>777.36</v>
      </c>
      <c r="D90" s="2">
        <v>1067.19</v>
      </c>
      <c r="E90" s="2">
        <v>289.83</v>
      </c>
      <c r="F90" s="2"/>
      <c r="G90" s="2"/>
    </row>
    <row r="91" spans="2:7">
      <c r="B91" t="s">
        <v>36</v>
      </c>
      <c r="C91" s="2">
        <v>6511.21</v>
      </c>
      <c r="D91" s="2">
        <v>15085.1</v>
      </c>
      <c r="E91" s="2">
        <v>8573.89</v>
      </c>
      <c r="F91" s="2"/>
      <c r="G91" s="2"/>
    </row>
    <row r="92" spans="2:7">
      <c r="B92" t="s">
        <v>57</v>
      </c>
      <c r="C92" s="2">
        <v>50998.34</v>
      </c>
      <c r="D92" s="2">
        <v>50324.61</v>
      </c>
      <c r="E92" s="2">
        <v>-673.73</v>
      </c>
      <c r="F92" s="2"/>
      <c r="G92" s="2"/>
    </row>
    <row r="93" spans="2:7">
      <c r="B93" t="s">
        <v>66</v>
      </c>
      <c r="C93" s="2">
        <v>17928.55</v>
      </c>
      <c r="D93" s="2">
        <v>32543.200000000001</v>
      </c>
      <c r="E93" s="2">
        <v>14614.65</v>
      </c>
      <c r="F93" s="2"/>
      <c r="G93" s="2"/>
    </row>
    <row r="94" spans="2:7">
      <c r="B94" t="s">
        <v>58</v>
      </c>
      <c r="C94" s="2">
        <v>1580.29</v>
      </c>
      <c r="D94" s="2">
        <v>1901.68</v>
      </c>
      <c r="E94" s="2">
        <v>321.39</v>
      </c>
      <c r="F94" s="2"/>
      <c r="G94" s="2"/>
    </row>
    <row r="95" spans="2:7">
      <c r="B95" t="s">
        <v>67</v>
      </c>
      <c r="C95" s="2">
        <v>27337.119999999999</v>
      </c>
      <c r="D95" s="2">
        <v>42955.360000000001</v>
      </c>
      <c r="E95" s="2">
        <v>15618.24</v>
      </c>
    </row>
    <row r="96" spans="2:7">
      <c r="E96" s="2">
        <f>SUM(E88:E95)</f>
        <v>39193.93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pane ySplit="1" topLeftCell="A2" activePane="bottomLeft" state="frozen"/>
      <selection pane="bottomLeft" activeCell="C3" sqref="C3"/>
    </sheetView>
  </sheetViews>
  <sheetFormatPr defaultRowHeight="14.5"/>
  <cols>
    <col min="1" max="1" width="3.26953125" customWidth="1"/>
    <col min="2" max="2" width="5" customWidth="1"/>
    <col min="3" max="3" width="10.26953125" customWidth="1"/>
    <col min="4" max="4" width="11" hidden="1" customWidth="1"/>
    <col min="7" max="7" width="2" customWidth="1"/>
    <col min="13" max="13" width="9.81640625" bestFit="1" customWidth="1"/>
  </cols>
  <sheetData>
    <row r="1" spans="1:9">
      <c r="A1" s="8"/>
      <c r="B1" s="8" t="s">
        <v>18</v>
      </c>
      <c r="C1" s="8" t="s">
        <v>77</v>
      </c>
      <c r="D1" s="8"/>
      <c r="E1" s="8" t="s">
        <v>5</v>
      </c>
      <c r="F1" s="8" t="s">
        <v>6</v>
      </c>
      <c r="I1" t="s">
        <v>78</v>
      </c>
    </row>
    <row r="2" spans="1:9">
      <c r="A2" s="4" t="s">
        <v>3</v>
      </c>
    </row>
    <row r="3" spans="1:9">
      <c r="B3" s="1">
        <v>27</v>
      </c>
      <c r="C3" s="1" t="s">
        <v>1</v>
      </c>
      <c r="D3" s="19">
        <v>41521</v>
      </c>
      <c r="E3" s="1">
        <v>58.502000000000002</v>
      </c>
      <c r="F3" s="3">
        <v>17.093299999999999</v>
      </c>
      <c r="G3" s="3"/>
      <c r="H3">
        <f>E3</f>
        <v>58.502000000000002</v>
      </c>
      <c r="I3">
        <v>0</v>
      </c>
    </row>
    <row r="4" spans="1:9">
      <c r="B4" s="1">
        <v>29</v>
      </c>
      <c r="C4" s="1" t="s">
        <v>2</v>
      </c>
      <c r="D4" s="19">
        <v>41794</v>
      </c>
      <c r="E4" s="20">
        <v>2347.326</v>
      </c>
      <c r="F4" s="3">
        <v>18.249700000000001</v>
      </c>
      <c r="G4" s="3"/>
      <c r="H4" s="5">
        <f>H3+E4</f>
        <v>2405.828</v>
      </c>
      <c r="I4" s="5">
        <f>E5-H3</f>
        <v>2345.498</v>
      </c>
    </row>
    <row r="5" spans="1:9">
      <c r="B5" s="28">
        <v>30</v>
      </c>
      <c r="C5" s="1" t="s">
        <v>4</v>
      </c>
      <c r="D5" s="19">
        <v>41971</v>
      </c>
      <c r="E5" s="20">
        <v>2404</v>
      </c>
      <c r="F5" s="3">
        <v>18.5245</v>
      </c>
      <c r="G5" s="3"/>
      <c r="H5" s="5">
        <f>H4-E5</f>
        <v>1.8279999999999745</v>
      </c>
    </row>
    <row r="6" spans="1:9">
      <c r="B6" s="1"/>
      <c r="C6" s="1"/>
      <c r="D6" s="19"/>
      <c r="E6" s="20"/>
      <c r="F6" s="3"/>
      <c r="G6" s="3"/>
      <c r="H6" s="5"/>
    </row>
    <row r="7" spans="1:9">
      <c r="A7" s="4" t="s">
        <v>8</v>
      </c>
    </row>
    <row r="8" spans="1:9">
      <c r="B8" s="1">
        <v>26</v>
      </c>
      <c r="C8" s="1" t="s">
        <v>2</v>
      </c>
      <c r="D8" s="19">
        <v>41439</v>
      </c>
      <c r="E8" s="1">
        <v>249.34710000000001</v>
      </c>
      <c r="F8" s="3">
        <v>139.71</v>
      </c>
      <c r="H8">
        <f>E8</f>
        <v>249.34710000000001</v>
      </c>
      <c r="I8" s="5">
        <f>H9</f>
        <v>0.34710000000001173</v>
      </c>
    </row>
    <row r="9" spans="1:9">
      <c r="B9" s="1">
        <v>28</v>
      </c>
      <c r="C9" s="1" t="s">
        <v>4</v>
      </c>
      <c r="D9" s="19">
        <v>41794</v>
      </c>
      <c r="E9" s="1">
        <v>249</v>
      </c>
      <c r="F9" s="3">
        <v>172.04</v>
      </c>
      <c r="H9" s="5">
        <f>H8-E9</f>
        <v>0.34710000000001173</v>
      </c>
    </row>
    <row r="10" spans="1:9">
      <c r="B10" s="1">
        <v>31</v>
      </c>
      <c r="C10" s="1" t="s">
        <v>2</v>
      </c>
      <c r="D10" s="19">
        <v>41976</v>
      </c>
      <c r="E10" s="1">
        <v>264.18049999999999</v>
      </c>
      <c r="F10" s="3">
        <v>168.57</v>
      </c>
      <c r="H10" s="5">
        <f>H9+E10</f>
        <v>264.52760000000001</v>
      </c>
      <c r="I10" s="5">
        <f>E11-I8</f>
        <v>259.18289999999996</v>
      </c>
    </row>
    <row r="11" spans="1:9">
      <c r="B11" s="28">
        <v>91</v>
      </c>
      <c r="C11" s="1" t="s">
        <v>4</v>
      </c>
      <c r="D11" s="19">
        <v>42201</v>
      </c>
      <c r="E11" s="1">
        <v>259.52999999999997</v>
      </c>
      <c r="F11" s="3">
        <v>207.11</v>
      </c>
      <c r="H11" s="5">
        <f>H10-E11</f>
        <v>4.997600000000034</v>
      </c>
    </row>
    <row r="13" spans="1:9">
      <c r="A13" s="4" t="s">
        <v>3</v>
      </c>
    </row>
    <row r="14" spans="1:9">
      <c r="B14" s="1">
        <v>92</v>
      </c>
      <c r="C14" s="1" t="s">
        <v>2</v>
      </c>
      <c r="D14" s="19">
        <v>42202</v>
      </c>
      <c r="E14" s="20">
        <v>2922.36</v>
      </c>
      <c r="F14" s="3">
        <v>18.3931</v>
      </c>
      <c r="G14" s="3"/>
      <c r="H14" s="5">
        <f>H5+E14</f>
        <v>2924.1880000000001</v>
      </c>
      <c r="I14" s="5">
        <f>E15</f>
        <v>2879.2429999999999</v>
      </c>
    </row>
    <row r="15" spans="1:9">
      <c r="B15" s="28">
        <v>100</v>
      </c>
      <c r="C15" s="1" t="s">
        <v>4</v>
      </c>
      <c r="D15" s="19">
        <v>42279</v>
      </c>
      <c r="E15" s="20">
        <v>2879.2429999999999</v>
      </c>
      <c r="F15" s="3">
        <v>18.063199999999998</v>
      </c>
      <c r="G15" s="3"/>
      <c r="H15" s="5">
        <f>H14-E15</f>
        <v>44.945000000000164</v>
      </c>
    </row>
    <row r="17" spans="1:13">
      <c r="A17" s="4" t="s">
        <v>21</v>
      </c>
    </row>
    <row r="18" spans="1:13">
      <c r="B18" s="1">
        <v>101</v>
      </c>
      <c r="C18" s="1" t="s">
        <v>2</v>
      </c>
      <c r="D18" s="19">
        <v>42279</v>
      </c>
      <c r="E18" s="1">
        <v>160.75280000000001</v>
      </c>
      <c r="F18" s="3">
        <v>323.52999999999997</v>
      </c>
      <c r="H18">
        <f>E18</f>
        <v>160.75280000000001</v>
      </c>
      <c r="I18">
        <f>E19</f>
        <v>80.752799999999993</v>
      </c>
    </row>
    <row r="19" spans="1:13">
      <c r="B19" s="28">
        <v>172</v>
      </c>
      <c r="C19" s="1" t="s">
        <v>4</v>
      </c>
      <c r="D19" s="19">
        <v>43525</v>
      </c>
      <c r="E19" s="1">
        <v>80.752799999999993</v>
      </c>
      <c r="F19" s="3">
        <v>375.55</v>
      </c>
      <c r="H19" s="5">
        <f>H18-E19</f>
        <v>80.000000000000014</v>
      </c>
    </row>
    <row r="20" spans="1:13">
      <c r="M20" s="15">
        <v>1.4295</v>
      </c>
    </row>
    <row r="21" spans="1:13">
      <c r="A21" s="4" t="s">
        <v>20</v>
      </c>
      <c r="M21" s="15">
        <v>2.5590000000000002</v>
      </c>
    </row>
    <row r="22" spans="1:13">
      <c r="B22" s="1">
        <v>173</v>
      </c>
      <c r="C22" s="1" t="s">
        <v>2</v>
      </c>
      <c r="D22" s="19">
        <v>43525</v>
      </c>
      <c r="E22" s="20">
        <v>1778.69</v>
      </c>
      <c r="F22" s="3">
        <v>17.05</v>
      </c>
      <c r="M22" s="15">
        <v>547.645126</v>
      </c>
    </row>
    <row r="23" spans="1:13">
      <c r="M23" s="15">
        <f>SUM(M20:M22)</f>
        <v>551.63362600000005</v>
      </c>
    </row>
    <row r="24" spans="1:13">
      <c r="M24" s="15"/>
    </row>
    <row r="27" spans="1:13">
      <c r="B27">
        <v>171</v>
      </c>
      <c r="C27" t="s">
        <v>0</v>
      </c>
    </row>
  </sheetData>
  <pageMargins left="0.7" right="0.7" top="0.75" bottom="0.75" header="0.3" footer="0.3"/>
  <ignoredErrors>
    <ignoredError sqref="H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3"/>
  <sheetViews>
    <sheetView zoomScale="115" zoomScaleNormal="115" workbookViewId="0">
      <selection activeCell="C41" sqref="C41"/>
    </sheetView>
  </sheetViews>
  <sheetFormatPr defaultRowHeight="14.5"/>
  <cols>
    <col min="8" max="8" width="7.1796875" customWidth="1"/>
    <col min="9" max="9" width="12.90625" customWidth="1"/>
  </cols>
  <sheetData>
    <row r="1" spans="1:10">
      <c r="B1" t="s">
        <v>79</v>
      </c>
    </row>
    <row r="2" spans="1:10">
      <c r="A2" t="s">
        <v>112</v>
      </c>
      <c r="B2" t="s">
        <v>80</v>
      </c>
    </row>
    <row r="4" spans="1:10">
      <c r="A4" t="s">
        <v>98</v>
      </c>
      <c r="B4" t="s">
        <v>81</v>
      </c>
    </row>
    <row r="5" spans="1:10">
      <c r="A5" t="s">
        <v>113</v>
      </c>
      <c r="B5" t="s">
        <v>82</v>
      </c>
    </row>
    <row r="7" spans="1:10">
      <c r="A7" t="s">
        <v>99</v>
      </c>
      <c r="B7" t="s">
        <v>83</v>
      </c>
    </row>
    <row r="8" spans="1:10">
      <c r="A8" t="s">
        <v>114</v>
      </c>
      <c r="B8" t="s">
        <v>84</v>
      </c>
    </row>
    <row r="9" spans="1:10">
      <c r="A9" t="s">
        <v>115</v>
      </c>
      <c r="B9" t="s">
        <v>85</v>
      </c>
      <c r="I9" t="s">
        <v>126</v>
      </c>
    </row>
    <row r="11" spans="1:10">
      <c r="A11" t="s">
        <v>100</v>
      </c>
      <c r="B11" t="s">
        <v>86</v>
      </c>
    </row>
    <row r="12" spans="1:10">
      <c r="A12" t="s">
        <v>116</v>
      </c>
      <c r="B12" t="s">
        <v>87</v>
      </c>
      <c r="J12" s="1">
        <v>259.52999999999997</v>
      </c>
    </row>
    <row r="13" spans="1:10">
      <c r="A13" t="s">
        <v>117</v>
      </c>
      <c r="B13" t="s">
        <v>88</v>
      </c>
      <c r="I13" t="s">
        <v>127</v>
      </c>
      <c r="J13">
        <v>0.34710000000000002</v>
      </c>
    </row>
    <row r="14" spans="1:10">
      <c r="J14">
        <v>259.18290000000002</v>
      </c>
    </row>
    <row r="15" spans="1:10">
      <c r="A15" t="s">
        <v>102</v>
      </c>
      <c r="B15" t="s">
        <v>89</v>
      </c>
      <c r="J15" s="5">
        <f>+J12-J13-J14</f>
        <v>0</v>
      </c>
    </row>
    <row r="16" spans="1:10">
      <c r="A16" t="s">
        <v>118</v>
      </c>
      <c r="B16" t="s">
        <v>90</v>
      </c>
    </row>
    <row r="17" spans="1:10">
      <c r="J17" s="1">
        <v>80.752799999999993</v>
      </c>
    </row>
    <row r="18" spans="1:10">
      <c r="A18" t="s">
        <v>104</v>
      </c>
      <c r="B18" t="s">
        <v>91</v>
      </c>
      <c r="I18" t="s">
        <v>128</v>
      </c>
      <c r="J18">
        <v>80.752799999999993</v>
      </c>
    </row>
    <row r="19" spans="1:10">
      <c r="A19" t="s">
        <v>119</v>
      </c>
      <c r="B19" t="s">
        <v>92</v>
      </c>
    </row>
    <row r="20" spans="1:10">
      <c r="A20" t="s">
        <v>120</v>
      </c>
      <c r="B20" t="s">
        <v>93</v>
      </c>
      <c r="J20" s="1">
        <v>44.945</v>
      </c>
    </row>
    <row r="21" spans="1:10">
      <c r="I21" t="s">
        <v>129</v>
      </c>
    </row>
    <row r="22" spans="1:10">
      <c r="A22" t="s">
        <v>105</v>
      </c>
      <c r="B22" t="s">
        <v>94</v>
      </c>
    </row>
    <row r="23" spans="1:10">
      <c r="A23" t="s">
        <v>121</v>
      </c>
      <c r="B23" t="s">
        <v>95</v>
      </c>
    </row>
    <row r="25" spans="1:10">
      <c r="A25" s="9" t="s">
        <v>107</v>
      </c>
      <c r="B25" s="9" t="s">
        <v>96</v>
      </c>
      <c r="C25" s="9"/>
      <c r="D25" s="9"/>
      <c r="E25" s="9"/>
      <c r="F25" s="9"/>
      <c r="G25" s="9"/>
    </row>
    <row r="27" spans="1:10">
      <c r="A27" s="9" t="s">
        <v>106</v>
      </c>
      <c r="B27" s="9" t="s">
        <v>97</v>
      </c>
      <c r="C27" s="9"/>
      <c r="D27" s="9"/>
      <c r="E27" s="9"/>
      <c r="F27" s="9"/>
      <c r="G27" s="9"/>
    </row>
    <row r="29" spans="1:10">
      <c r="A29" t="s">
        <v>103</v>
      </c>
      <c r="B29" t="s">
        <v>94</v>
      </c>
    </row>
    <row r="30" spans="1:10">
      <c r="A30" t="s">
        <v>122</v>
      </c>
      <c r="B30" t="s">
        <v>95</v>
      </c>
    </row>
    <row r="32" spans="1:10">
      <c r="A32" s="9" t="s">
        <v>108</v>
      </c>
      <c r="B32" s="12" t="s">
        <v>96</v>
      </c>
      <c r="C32" s="9"/>
      <c r="D32" s="9"/>
      <c r="E32" s="9"/>
      <c r="F32" s="9"/>
      <c r="G32" s="9"/>
    </row>
    <row r="34" spans="1:7">
      <c r="A34" t="s">
        <v>101</v>
      </c>
      <c r="B34" t="s">
        <v>91</v>
      </c>
    </row>
    <row r="35" spans="1:7">
      <c r="A35" t="s">
        <v>123</v>
      </c>
      <c r="B35" t="s">
        <v>92</v>
      </c>
    </row>
    <row r="36" spans="1:7">
      <c r="A36" t="s">
        <v>124</v>
      </c>
      <c r="B36" t="s">
        <v>93</v>
      </c>
    </row>
    <row r="38" spans="1:7">
      <c r="A38" t="s">
        <v>109</v>
      </c>
      <c r="B38" s="12" t="s">
        <v>94</v>
      </c>
    </row>
    <row r="39" spans="1:7">
      <c r="A39" t="s">
        <v>125</v>
      </c>
      <c r="B39" t="s">
        <v>95</v>
      </c>
    </row>
    <row r="41" spans="1:7">
      <c r="A41" s="9" t="s">
        <v>111</v>
      </c>
      <c r="B41" s="12" t="s">
        <v>96</v>
      </c>
      <c r="C41" s="9"/>
      <c r="D41" s="9"/>
      <c r="E41" s="9"/>
      <c r="F41" s="9"/>
      <c r="G41" s="9"/>
    </row>
    <row r="43" spans="1:7">
      <c r="A43" s="9" t="s">
        <v>110</v>
      </c>
      <c r="B43" s="12" t="s">
        <v>97</v>
      </c>
      <c r="C43" s="9"/>
      <c r="D43" s="9"/>
      <c r="E43" s="9"/>
      <c r="F43" s="9"/>
      <c r="G4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P28"/>
  <sheetViews>
    <sheetView topLeftCell="B1" zoomScale="110" zoomScaleNormal="110" workbookViewId="0">
      <selection activeCell="O11" sqref="O11"/>
    </sheetView>
  </sheetViews>
  <sheetFormatPr defaultRowHeight="14.5"/>
  <cols>
    <col min="7" max="7" width="2.453125" customWidth="1"/>
    <col min="8" max="8" width="2.81640625" customWidth="1"/>
    <col min="9" max="9" width="5.90625" customWidth="1"/>
    <col min="10" max="10" width="12" customWidth="1"/>
    <col min="11" max="11" width="8.7265625" customWidth="1"/>
    <col min="13" max="13" width="2.54296875" customWidth="1"/>
    <col min="14" max="14" width="11.36328125" customWidth="1"/>
    <col min="15" max="15" width="12.1796875" customWidth="1"/>
  </cols>
  <sheetData>
    <row r="2" spans="1:16">
      <c r="A2" t="s">
        <v>130</v>
      </c>
      <c r="H2" s="4" t="s">
        <v>3</v>
      </c>
      <c r="K2" s="9"/>
    </row>
    <row r="3" spans="1:16">
      <c r="A3" t="s">
        <v>131</v>
      </c>
      <c r="I3" s="1">
        <v>27</v>
      </c>
      <c r="J3" s="1" t="s">
        <v>1</v>
      </c>
      <c r="K3" s="9">
        <v>58.502000000000002</v>
      </c>
      <c r="L3" s="3">
        <v>17.093299999999999</v>
      </c>
      <c r="N3" s="6">
        <f>K3</f>
        <v>58.502000000000002</v>
      </c>
    </row>
    <row r="4" spans="1:16">
      <c r="I4" s="1">
        <v>29</v>
      </c>
      <c r="J4" s="1" t="s">
        <v>2</v>
      </c>
      <c r="K4" s="9">
        <v>2347.326</v>
      </c>
      <c r="L4" s="3">
        <v>18.249700000000001</v>
      </c>
      <c r="N4" s="6">
        <f>+N3+K4</f>
        <v>2405.828</v>
      </c>
    </row>
    <row r="5" spans="1:16">
      <c r="A5" t="s">
        <v>89</v>
      </c>
      <c r="I5" s="1">
        <v>30</v>
      </c>
      <c r="J5" s="1" t="s">
        <v>4</v>
      </c>
      <c r="K5" s="9">
        <v>2404</v>
      </c>
      <c r="L5" s="3">
        <v>18.5245</v>
      </c>
      <c r="N5" s="6">
        <f>+N4-K5</f>
        <v>1.8279999999999745</v>
      </c>
      <c r="O5" s="7">
        <f>N3</f>
        <v>58.502000000000002</v>
      </c>
    </row>
    <row r="6" spans="1:16">
      <c r="A6" t="s">
        <v>90</v>
      </c>
      <c r="I6" s="1">
        <v>92</v>
      </c>
      <c r="J6" s="1" t="s">
        <v>2</v>
      </c>
      <c r="K6" s="9">
        <v>2922.36</v>
      </c>
      <c r="L6" s="3">
        <v>18.3931</v>
      </c>
      <c r="N6" s="6">
        <f t="shared" ref="N6" si="0">+N5+K6</f>
        <v>2924.1880000000001</v>
      </c>
    </row>
    <row r="7" spans="1:16">
      <c r="I7" s="1">
        <v>100</v>
      </c>
      <c r="J7" s="1" t="s">
        <v>4</v>
      </c>
      <c r="K7" s="9">
        <v>2879.2429999999999</v>
      </c>
      <c r="L7" s="3">
        <v>18.063199999999998</v>
      </c>
      <c r="N7" s="6">
        <f>+N6-K7</f>
        <v>44.945000000000164</v>
      </c>
      <c r="O7" s="15"/>
    </row>
    <row r="8" spans="1:16">
      <c r="A8" t="s">
        <v>91</v>
      </c>
      <c r="I8" s="1">
        <v>170</v>
      </c>
      <c r="J8" s="1" t="s">
        <v>4</v>
      </c>
      <c r="K8" s="9">
        <v>44.945</v>
      </c>
      <c r="L8" s="3">
        <v>19.726199999999999</v>
      </c>
      <c r="N8" s="6">
        <f>+N7-K8</f>
        <v>1.6342482922482304E-13</v>
      </c>
      <c r="O8" s="15"/>
    </row>
    <row r="9" spans="1:16">
      <c r="A9" s="12" t="s">
        <v>92</v>
      </c>
      <c r="K9" s="9"/>
    </row>
    <row r="10" spans="1:16">
      <c r="A10" t="s">
        <v>93</v>
      </c>
      <c r="H10" s="4" t="s">
        <v>8</v>
      </c>
      <c r="K10" s="9"/>
    </row>
    <row r="11" spans="1:16">
      <c r="I11" s="1">
        <v>26</v>
      </c>
      <c r="J11" s="1" t="s">
        <v>2</v>
      </c>
      <c r="K11" s="9">
        <v>249.34710000000001</v>
      </c>
      <c r="L11" s="3">
        <v>139.71</v>
      </c>
      <c r="N11" s="7">
        <f>K11</f>
        <v>249.34710000000001</v>
      </c>
    </row>
    <row r="12" spans="1:16">
      <c r="A12" s="12" t="s">
        <v>94</v>
      </c>
      <c r="I12" s="1">
        <v>28</v>
      </c>
      <c r="J12" s="1" t="s">
        <v>4</v>
      </c>
      <c r="K12" s="9">
        <v>249</v>
      </c>
      <c r="L12" s="3">
        <v>172.04</v>
      </c>
      <c r="N12" s="7">
        <f>+N11-K12</f>
        <v>0.34710000000001173</v>
      </c>
    </row>
    <row r="13" spans="1:16">
      <c r="A13" s="12" t="s">
        <v>95</v>
      </c>
      <c r="I13" s="1">
        <v>31</v>
      </c>
      <c r="J13" s="1" t="s">
        <v>2</v>
      </c>
      <c r="K13" s="9">
        <v>264.18049999999999</v>
      </c>
      <c r="L13" s="3">
        <v>168.57</v>
      </c>
      <c r="N13" s="7">
        <f t="shared" ref="N13" si="1">+N12+K13</f>
        <v>264.52760000000001</v>
      </c>
      <c r="O13">
        <f>O5/K5*K13</f>
        <v>6.4289049962562395</v>
      </c>
      <c r="P13">
        <v>27</v>
      </c>
    </row>
    <row r="14" spans="1:16">
      <c r="I14" s="1">
        <v>91</v>
      </c>
      <c r="J14" s="1" t="s">
        <v>4</v>
      </c>
      <c r="K14" s="9">
        <v>259.52999999999997</v>
      </c>
      <c r="L14" s="3">
        <v>207.11</v>
      </c>
      <c r="N14" s="7">
        <f>+N13-K14</f>
        <v>4.997600000000034</v>
      </c>
      <c r="O14" s="7"/>
    </row>
    <row r="15" spans="1:16">
      <c r="A15" s="12" t="s">
        <v>96</v>
      </c>
      <c r="K15" s="9"/>
    </row>
    <row r="16" spans="1:16">
      <c r="H16" s="4" t="s">
        <v>12</v>
      </c>
      <c r="K16" s="9"/>
    </row>
    <row r="17" spans="1:16">
      <c r="A17" t="s">
        <v>97</v>
      </c>
      <c r="I17" s="1">
        <v>16</v>
      </c>
      <c r="J17" s="1" t="s">
        <v>1</v>
      </c>
      <c r="K17" s="9">
        <v>547.64509999999996</v>
      </c>
      <c r="L17" s="3">
        <v>18.260000000000002</v>
      </c>
      <c r="N17">
        <f>K17</f>
        <v>547.64509999999996</v>
      </c>
    </row>
    <row r="18" spans="1:16">
      <c r="I18" s="1">
        <v>17</v>
      </c>
      <c r="J18" s="1" t="s">
        <v>1</v>
      </c>
      <c r="K18" s="9">
        <v>1010.611</v>
      </c>
      <c r="L18" s="3">
        <v>19.79</v>
      </c>
      <c r="N18">
        <f>+N17+K18</f>
        <v>1558.2561000000001</v>
      </c>
      <c r="P18" s="5"/>
    </row>
    <row r="19" spans="1:16">
      <c r="I19" s="1">
        <v>24</v>
      </c>
      <c r="J19" s="1" t="s">
        <v>2</v>
      </c>
      <c r="K19" s="9">
        <v>280.07</v>
      </c>
      <c r="L19" s="3">
        <v>19.68</v>
      </c>
      <c r="N19">
        <f t="shared" ref="N19" si="2">+N18+K19</f>
        <v>1838.3261</v>
      </c>
    </row>
    <row r="20" spans="1:16">
      <c r="I20" s="1">
        <v>25</v>
      </c>
      <c r="J20" s="1" t="s">
        <v>4</v>
      </c>
      <c r="K20" s="9">
        <v>1838.3261</v>
      </c>
      <c r="L20" s="3">
        <v>18.95</v>
      </c>
      <c r="N20" s="5">
        <f>+N19-K20</f>
        <v>0</v>
      </c>
    </row>
    <row r="21" spans="1:16">
      <c r="K21" s="9"/>
    </row>
    <row r="22" spans="1:16">
      <c r="H22" s="4" t="s">
        <v>14</v>
      </c>
      <c r="K22" s="9"/>
    </row>
    <row r="23" spans="1:16">
      <c r="I23" s="1">
        <v>15</v>
      </c>
      <c r="J23" s="1" t="s">
        <v>1</v>
      </c>
      <c r="K23" s="9">
        <v>679.64</v>
      </c>
      <c r="L23" s="3">
        <v>22.992000000000001</v>
      </c>
      <c r="N23" s="7">
        <f>K23</f>
        <v>679.64</v>
      </c>
    </row>
    <row r="24" spans="1:16">
      <c r="I24" s="1">
        <v>23</v>
      </c>
      <c r="J24" s="1" t="s">
        <v>4</v>
      </c>
      <c r="K24" s="9">
        <v>679.64</v>
      </c>
      <c r="L24" s="3">
        <v>8.1097999999999999</v>
      </c>
      <c r="N24" s="7">
        <f>+N23-K24</f>
        <v>0</v>
      </c>
    </row>
    <row r="26" spans="1:16">
      <c r="H26" s="4" t="s">
        <v>21</v>
      </c>
    </row>
    <row r="27" spans="1:16">
      <c r="I27" s="1">
        <v>101</v>
      </c>
      <c r="J27" s="1" t="s">
        <v>2</v>
      </c>
      <c r="K27" s="1">
        <v>160.75280000000001</v>
      </c>
      <c r="L27" s="3">
        <v>323.52999999999997</v>
      </c>
      <c r="N27" s="7">
        <f>K27</f>
        <v>160.75280000000001</v>
      </c>
    </row>
    <row r="28" spans="1:16">
      <c r="I28" s="1">
        <v>172</v>
      </c>
      <c r="J28" s="1" t="s">
        <v>4</v>
      </c>
      <c r="K28" s="1">
        <v>80.752799999999993</v>
      </c>
      <c r="L28" s="3">
        <v>375.55</v>
      </c>
      <c r="N28" s="7">
        <f>+N27-K28</f>
        <v>80.000000000000014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27-Global Tech</vt:lpstr>
      <vt:lpstr>Sheet3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2020-07-14T10:46:18Z</dcterms:created>
  <dcterms:modified xsi:type="dcterms:W3CDTF">2020-07-21T15:35:05Z</dcterms:modified>
</cp:coreProperties>
</file>