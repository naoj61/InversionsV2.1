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" yWindow="36" windowWidth="16260" windowHeight="5832" firstSheet="2" activeTab="6"/>
  </bookViews>
  <sheets>
    <sheet name="Original" sheetId="1" r:id="rId1"/>
    <sheet name="Per Id" sheetId="2" r:id="rId2"/>
    <sheet name="Per Data+Id" sheetId="3" r:id="rId3"/>
    <sheet name="CàlculTCompres" sheetId="5" r:id="rId4"/>
    <sheet name="Fons" sheetId="6" r:id="rId5"/>
    <sheet name="Comprovació Saldos" sheetId="7" r:id="rId6"/>
    <sheet name="Contra Split" sheetId="8" r:id="rId7"/>
    <sheet name="PiG" sheetId="9" r:id="rId8"/>
    <sheet name="PiG2" sheetId="10" r:id="rId9"/>
  </sheets>
  <definedNames>
    <definedName name="NouPreuUnitPonderat">'Per Data+Id'!$K$26</definedName>
    <definedName name="NumPartCompra">'Per Data+Id'!$K$25</definedName>
    <definedName name="NumPartVenda">'Per Data+Id'!$K$23</definedName>
    <definedName name="PreuUnitOrig">'Per Data+Id'!$K$24</definedName>
  </definedNames>
  <calcPr calcId="125725"/>
</workbook>
</file>

<file path=xl/calcChain.xml><?xml version="1.0" encoding="utf-8"?>
<calcChain xmlns="http://schemas.openxmlformats.org/spreadsheetml/2006/main">
  <c r="K34" i="8"/>
  <c r="G34"/>
  <c r="G32"/>
  <c r="G33" s="1"/>
  <c r="G31"/>
  <c r="J34"/>
  <c r="I34"/>
  <c r="J46"/>
  <c r="I47"/>
  <c r="I45"/>
  <c r="I46"/>
  <c r="I42"/>
  <c r="F40"/>
  <c r="G40" s="1"/>
  <c r="G41" s="1"/>
  <c r="G42" s="1"/>
  <c r="G43" s="1"/>
  <c r="S100" i="9"/>
  <c r="S98"/>
  <c r="S99"/>
  <c r="S96"/>
  <c r="S97"/>
  <c r="S93"/>
  <c r="S94"/>
  <c r="P75"/>
  <c r="P85" s="1"/>
  <c r="P90"/>
  <c r="O69"/>
  <c r="O70" s="1"/>
  <c r="O71" s="1"/>
  <c r="O72" s="1"/>
  <c r="O73" s="1"/>
  <c r="O74" s="1"/>
  <c r="O75" s="1"/>
  <c r="O76" s="1"/>
  <c r="O77" s="1"/>
  <c r="O78" s="1"/>
  <c r="O79" s="1"/>
  <c r="O80" s="1"/>
  <c r="O81" s="1"/>
  <c r="O82" s="1"/>
  <c r="O83" s="1"/>
  <c r="O68"/>
  <c r="O67"/>
  <c r="P83"/>
  <c r="P82"/>
  <c r="P81"/>
  <c r="P80"/>
  <c r="P79"/>
  <c r="P78"/>
  <c r="P77"/>
  <c r="P76"/>
  <c r="B52" i="10"/>
  <c r="M3" i="9"/>
  <c r="M10" s="1"/>
  <c r="M4"/>
  <c r="M5"/>
  <c r="M6"/>
  <c r="M7"/>
  <c r="M8"/>
  <c r="N8" s="1"/>
  <c r="M93"/>
  <c r="M92"/>
  <c r="M91"/>
  <c r="M90"/>
  <c r="M89"/>
  <c r="M88"/>
  <c r="M87"/>
  <c r="M86"/>
  <c r="M85"/>
  <c r="M84"/>
  <c r="M83"/>
  <c r="M82"/>
  <c r="M81"/>
  <c r="M80"/>
  <c r="M79"/>
  <c r="M78"/>
  <c r="M77"/>
  <c r="M75"/>
  <c r="M74"/>
  <c r="M73"/>
  <c r="M72"/>
  <c r="M71"/>
  <c r="M70"/>
  <c r="M69"/>
  <c r="M68"/>
  <c r="M67"/>
  <c r="M76"/>
  <c r="B25" i="10"/>
  <c r="N93" i="9"/>
  <c r="N92"/>
  <c r="N91"/>
  <c r="N90"/>
  <c r="N89"/>
  <c r="N88"/>
  <c r="N110"/>
  <c r="M110"/>
  <c r="N87"/>
  <c r="N86"/>
  <c r="N85"/>
  <c r="N109"/>
  <c r="M109"/>
  <c r="N84"/>
  <c r="N108"/>
  <c r="M108"/>
  <c r="N83"/>
  <c r="N82"/>
  <c r="N81"/>
  <c r="N80"/>
  <c r="N79"/>
  <c r="N78"/>
  <c r="N77"/>
  <c r="N76"/>
  <c r="N75"/>
  <c r="N74"/>
  <c r="N107"/>
  <c r="M107"/>
  <c r="N106"/>
  <c r="M106"/>
  <c r="N105"/>
  <c r="M105"/>
  <c r="N104"/>
  <c r="M104"/>
  <c r="N103"/>
  <c r="M103"/>
  <c r="N73"/>
  <c r="N102"/>
  <c r="M102"/>
  <c r="N72"/>
  <c r="N101"/>
  <c r="M101"/>
  <c r="N71"/>
  <c r="N100"/>
  <c r="M100"/>
  <c r="N70"/>
  <c r="N99"/>
  <c r="M99"/>
  <c r="N69"/>
  <c r="N98"/>
  <c r="M98"/>
  <c r="N97"/>
  <c r="M97"/>
  <c r="N68"/>
  <c r="N94" s="1"/>
  <c r="N96"/>
  <c r="M96"/>
  <c r="N67"/>
  <c r="N6"/>
  <c r="N10" s="1"/>
  <c r="I9"/>
  <c r="H9"/>
  <c r="M46"/>
  <c r="N46" s="1"/>
  <c r="M41"/>
  <c r="M47" s="1"/>
  <c r="N45"/>
  <c r="M45"/>
  <c r="N44"/>
  <c r="M44"/>
  <c r="N43"/>
  <c r="M43"/>
  <c r="N42"/>
  <c r="M42"/>
  <c r="N41"/>
  <c r="H46"/>
  <c r="H38"/>
  <c r="M38" s="1"/>
  <c r="N38" s="1"/>
  <c r="N37"/>
  <c r="M37"/>
  <c r="N36"/>
  <c r="M36"/>
  <c r="N35"/>
  <c r="M35"/>
  <c r="N34"/>
  <c r="N39" s="1"/>
  <c r="M34"/>
  <c r="M39" s="1"/>
  <c r="N30"/>
  <c r="M30"/>
  <c r="N29"/>
  <c r="M29"/>
  <c r="N28"/>
  <c r="M28"/>
  <c r="H31"/>
  <c r="M31" s="1"/>
  <c r="N31" s="1"/>
  <c r="N24"/>
  <c r="M24"/>
  <c r="N23"/>
  <c r="M23"/>
  <c r="N22"/>
  <c r="M22"/>
  <c r="N21"/>
  <c r="M21"/>
  <c r="N20"/>
  <c r="M20"/>
  <c r="N19"/>
  <c r="M19"/>
  <c r="N18"/>
  <c r="M18"/>
  <c r="N17"/>
  <c r="M17"/>
  <c r="M26" s="1"/>
  <c r="N15"/>
  <c r="M15"/>
  <c r="N13"/>
  <c r="M13"/>
  <c r="N12"/>
  <c r="M12"/>
  <c r="N11"/>
  <c r="M11"/>
  <c r="N7"/>
  <c r="N5"/>
  <c r="N4"/>
  <c r="N3"/>
  <c r="H25"/>
  <c r="M25" s="1"/>
  <c r="N25" s="1"/>
  <c r="H14"/>
  <c r="H8"/>
  <c r="E11" i="8"/>
  <c r="F55"/>
  <c r="I55"/>
  <c r="J55"/>
  <c r="J52"/>
  <c r="I52"/>
  <c r="F52"/>
  <c r="F51"/>
  <c r="G51" s="1"/>
  <c r="J41"/>
  <c r="I41"/>
  <c r="G24"/>
  <c r="G25" s="1"/>
  <c r="N2"/>
  <c r="M2"/>
  <c r="L2"/>
  <c r="G2"/>
  <c r="G3" s="1"/>
  <c r="G4" s="1"/>
  <c r="G5" s="1"/>
  <c r="G6" s="1"/>
  <c r="G7" s="1"/>
  <c r="G8" s="1"/>
  <c r="G9" s="1"/>
  <c r="G10" s="1"/>
  <c r="O62" i="7"/>
  <c r="M31"/>
  <c r="M37"/>
  <c r="M40"/>
  <c r="M41"/>
  <c r="M45"/>
  <c r="M51"/>
  <c r="M54"/>
  <c r="M55"/>
  <c r="M59"/>
  <c r="O55"/>
  <c r="O35"/>
  <c r="I79"/>
  <c r="I80" s="1"/>
  <c r="I81" s="1"/>
  <c r="I82" s="1"/>
  <c r="I83" s="1"/>
  <c r="I84" s="1"/>
  <c r="I85" s="1"/>
  <c r="I86" s="1"/>
  <c r="I87" s="1"/>
  <c r="I88" s="1"/>
  <c r="I89" s="1"/>
  <c r="I90" s="1"/>
  <c r="I91" s="1"/>
  <c r="I92" s="1"/>
  <c r="I93" s="1"/>
  <c r="I94" s="1"/>
  <c r="I95" s="1"/>
  <c r="I96" s="1"/>
  <c r="I97" s="1"/>
  <c r="I98" s="1"/>
  <c r="I99" s="1"/>
  <c r="I100" s="1"/>
  <c r="I101" s="1"/>
  <c r="I102" s="1"/>
  <c r="I103" s="1"/>
  <c r="I104" s="1"/>
  <c r="I105" s="1"/>
  <c r="N52"/>
  <c r="N49"/>
  <c r="N24"/>
  <c r="M23"/>
  <c r="M22"/>
  <c r="N18"/>
  <c r="N17"/>
  <c r="N16"/>
  <c r="N61" s="1"/>
  <c r="M15"/>
  <c r="M14"/>
  <c r="M13"/>
  <c r="I13"/>
  <c r="I14" s="1"/>
  <c r="I15" s="1"/>
  <c r="I16" s="1"/>
  <c r="I17" s="1"/>
  <c r="I18" s="1"/>
  <c r="M9"/>
  <c r="M3"/>
  <c r="M61" s="1"/>
  <c r="I3"/>
  <c r="L96" i="6"/>
  <c r="L97" s="1"/>
  <c r="L98" s="1"/>
  <c r="L99" s="1"/>
  <c r="L100" s="1"/>
  <c r="L101" s="1"/>
  <c r="L102" s="1"/>
  <c r="L103" s="1"/>
  <c r="L104" s="1"/>
  <c r="L105" s="1"/>
  <c r="L106" s="1"/>
  <c r="L107" s="1"/>
  <c r="L108" s="1"/>
  <c r="L109" s="1"/>
  <c r="L110" s="1"/>
  <c r="L111" s="1"/>
  <c r="L112" s="1"/>
  <c r="L95"/>
  <c r="L89"/>
  <c r="L90" s="1"/>
  <c r="L91" s="1"/>
  <c r="L92" s="1"/>
  <c r="L93" s="1"/>
  <c r="L94" s="1"/>
  <c r="L88"/>
  <c r="L87"/>
  <c r="L86"/>
  <c r="N136"/>
  <c r="M136"/>
  <c r="N145"/>
  <c r="O145" s="1"/>
  <c r="M145"/>
  <c r="N142"/>
  <c r="O142" s="1"/>
  <c r="M142"/>
  <c r="N141"/>
  <c r="M141"/>
  <c r="O141" s="1"/>
  <c r="O130"/>
  <c r="N80"/>
  <c r="O80" s="1"/>
  <c r="M80"/>
  <c r="N129"/>
  <c r="O129" s="1"/>
  <c r="M129"/>
  <c r="N126"/>
  <c r="O126" s="1"/>
  <c r="M126"/>
  <c r="O123"/>
  <c r="N123"/>
  <c r="M123"/>
  <c r="N119"/>
  <c r="O119" s="1"/>
  <c r="M119"/>
  <c r="N115"/>
  <c r="O115" s="1"/>
  <c r="M115"/>
  <c r="O112"/>
  <c r="N112"/>
  <c r="M112"/>
  <c r="O110"/>
  <c r="N110"/>
  <c r="M110"/>
  <c r="O108"/>
  <c r="N108"/>
  <c r="M108"/>
  <c r="O107"/>
  <c r="N107"/>
  <c r="M107"/>
  <c r="N104"/>
  <c r="O104" s="1"/>
  <c r="M104"/>
  <c r="O99"/>
  <c r="N99"/>
  <c r="M99"/>
  <c r="O96"/>
  <c r="N96"/>
  <c r="M96"/>
  <c r="N95"/>
  <c r="O95" s="1"/>
  <c r="M95"/>
  <c r="N84"/>
  <c r="O84" s="1"/>
  <c r="M84"/>
  <c r="N79"/>
  <c r="O79" s="1"/>
  <c r="M79"/>
  <c r="O77"/>
  <c r="N77"/>
  <c r="M77"/>
  <c r="O73"/>
  <c r="N73"/>
  <c r="M73"/>
  <c r="O75"/>
  <c r="N75"/>
  <c r="M75"/>
  <c r="M24"/>
  <c r="O67"/>
  <c r="N67"/>
  <c r="M67"/>
  <c r="O63"/>
  <c r="N63"/>
  <c r="M63"/>
  <c r="O61"/>
  <c r="N61"/>
  <c r="M61"/>
  <c r="O59"/>
  <c r="N59"/>
  <c r="M59"/>
  <c r="N39"/>
  <c r="O39" s="1"/>
  <c r="M39"/>
  <c r="O56"/>
  <c r="N56"/>
  <c r="M56"/>
  <c r="O53"/>
  <c r="N53"/>
  <c r="M53"/>
  <c r="N28"/>
  <c r="O28" s="1"/>
  <c r="M28"/>
  <c r="O20"/>
  <c r="N20"/>
  <c r="M20"/>
  <c r="N21"/>
  <c r="O21" s="1"/>
  <c r="M21"/>
  <c r="L7"/>
  <c r="L67"/>
  <c r="L56"/>
  <c r="L53"/>
  <c r="L50"/>
  <c r="L47"/>
  <c r="L42"/>
  <c r="L37"/>
  <c r="L33"/>
  <c r="L31"/>
  <c r="L32" s="1"/>
  <c r="L28"/>
  <c r="L24"/>
  <c r="L22"/>
  <c r="L23" s="1"/>
  <c r="L21"/>
  <c r="L20"/>
  <c r="L15"/>
  <c r="L14"/>
  <c r="L63"/>
  <c r="L61"/>
  <c r="L59"/>
  <c r="L58"/>
  <c r="L55"/>
  <c r="L52"/>
  <c r="L49"/>
  <c r="L46"/>
  <c r="L45"/>
  <c r="L44"/>
  <c r="L41"/>
  <c r="L39"/>
  <c r="L38"/>
  <c r="L36"/>
  <c r="L35"/>
  <c r="L30"/>
  <c r="L27"/>
  <c r="L26"/>
  <c r="L19"/>
  <c r="L18"/>
  <c r="L17"/>
  <c r="L13"/>
  <c r="L8"/>
  <c r="L9" s="1"/>
  <c r="L10" s="1"/>
  <c r="L11" s="1"/>
  <c r="I37"/>
  <c r="H14" i="3"/>
  <c r="H12"/>
  <c r="G13" i="5"/>
  <c r="G11"/>
  <c r="G6"/>
  <c r="G4"/>
  <c r="G18"/>
  <c r="H20" i="3"/>
  <c r="H5"/>
  <c r="K23"/>
  <c r="H6"/>
  <c r="K25"/>
  <c r="H9"/>
  <c r="H4"/>
  <c r="H3"/>
  <c r="K24" s="1"/>
  <c r="H2"/>
  <c r="J46"/>
  <c r="M94" i="9" l="1"/>
  <c r="N26"/>
  <c r="N32"/>
  <c r="M32"/>
  <c r="N47"/>
  <c r="N9"/>
  <c r="M9"/>
  <c r="G52" i="8"/>
  <c r="G53" s="1"/>
  <c r="G54" s="1"/>
  <c r="G55" s="1"/>
  <c r="G26"/>
  <c r="I31" i="7"/>
  <c r="O136" i="6"/>
  <c r="O146" s="1"/>
  <c r="O147" s="1"/>
  <c r="O24"/>
  <c r="O64" s="1"/>
  <c r="O131" s="1"/>
  <c r="H7" i="3"/>
  <c r="H8" s="1"/>
  <c r="H10" s="1"/>
  <c r="H11" s="1"/>
  <c r="H13" s="1"/>
  <c r="H15" s="1"/>
  <c r="H16" s="1"/>
  <c r="H17" s="1"/>
  <c r="K26"/>
  <c r="I47"/>
  <c r="F48"/>
  <c r="E46"/>
  <c r="E44"/>
  <c r="E43"/>
  <c r="G44" i="8" l="1"/>
  <c r="G45" s="1"/>
  <c r="G46" s="1"/>
  <c r="I22" i="7"/>
  <c r="I23" s="1"/>
  <c r="I24" s="1"/>
  <c r="I46" i="3"/>
  <c r="G64" s="1"/>
  <c r="G65" s="1"/>
  <c r="G66" s="1"/>
  <c r="G41"/>
  <c r="G40"/>
  <c r="E45"/>
  <c r="J45" s="1"/>
  <c r="J44" s="1"/>
  <c r="J43" s="1"/>
  <c r="J42" s="1"/>
  <c r="J41" s="1"/>
  <c r="E42"/>
  <c r="E41"/>
  <c r="F67"/>
  <c r="J3"/>
  <c r="J4"/>
  <c r="J5"/>
  <c r="J6"/>
  <c r="J7"/>
  <c r="J8"/>
  <c r="J9"/>
  <c r="J10"/>
  <c r="J11"/>
  <c r="J12"/>
  <c r="J13"/>
  <c r="J14"/>
  <c r="J15"/>
  <c r="J16"/>
  <c r="J17"/>
  <c r="J2"/>
  <c r="G22"/>
  <c r="G23"/>
  <c r="G28"/>
  <c r="G21"/>
  <c r="G24" s="1"/>
  <c r="G25" s="1"/>
  <c r="K17"/>
  <c r="K9"/>
  <c r="K11" s="1"/>
  <c r="K12" s="1"/>
  <c r="K15" s="1"/>
  <c r="K16" s="1"/>
  <c r="K8"/>
  <c r="K10" s="1"/>
  <c r="K13" s="1"/>
  <c r="K14" s="1"/>
  <c r="K3"/>
  <c r="K4" s="1"/>
  <c r="K6" s="1"/>
  <c r="K7" s="1"/>
  <c r="K2"/>
  <c r="G47" i="8" l="1"/>
  <c r="O24" i="7"/>
  <c r="I37"/>
  <c r="I45" i="3"/>
  <c r="I44" s="1"/>
  <c r="I43" s="1"/>
  <c r="I42" s="1"/>
  <c r="I41" s="1"/>
  <c r="K41" s="1"/>
  <c r="F41"/>
  <c r="F42" s="1"/>
  <c r="G67"/>
  <c r="G68" s="1"/>
  <c r="G69" s="1"/>
  <c r="G70" s="1"/>
  <c r="G71" s="1"/>
  <c r="G72" s="1"/>
  <c r="G73" s="1"/>
  <c r="G74" s="1"/>
  <c r="G75" s="1"/>
  <c r="G76" s="1"/>
  <c r="G26"/>
  <c r="G27" s="1"/>
  <c r="G29" s="1"/>
  <c r="G30" s="1"/>
  <c r="G31" s="1"/>
  <c r="G32" s="1"/>
  <c r="G33" s="1"/>
  <c r="G34" s="1"/>
  <c r="G35" s="1"/>
  <c r="G36" s="1"/>
  <c r="G37" s="1"/>
  <c r="I40" i="7" l="1"/>
  <c r="I41" s="1"/>
  <c r="F43" i="3"/>
  <c r="I38" i="7" l="1"/>
  <c r="O38" s="1"/>
  <c r="F44" i="3"/>
  <c r="I42" i="7" l="1"/>
  <c r="I43" s="1"/>
  <c r="F45" i="3"/>
  <c r="O43" i="7" l="1"/>
  <c r="I26"/>
  <c r="I27" s="1"/>
  <c r="F46" i="3"/>
  <c r="I28" i="7" l="1"/>
  <c r="I4"/>
  <c r="I5" s="1"/>
  <c r="I45" l="1"/>
  <c r="I46" s="1"/>
  <c r="O46" l="1"/>
  <c r="I48"/>
  <c r="I51" l="1"/>
  <c r="I52" s="1"/>
  <c r="O52" l="1"/>
  <c r="I9"/>
  <c r="I10" s="1"/>
  <c r="I32" l="1"/>
  <c r="I33" s="1"/>
  <c r="I19" l="1"/>
  <c r="I49" l="1"/>
  <c r="O49" l="1"/>
  <c r="I29"/>
  <c r="O29" l="1"/>
  <c r="I6"/>
  <c r="I20" l="1"/>
  <c r="O20" l="1"/>
  <c r="I34"/>
  <c r="I54" l="1"/>
  <c r="I7" l="1"/>
  <c r="O7" l="1"/>
  <c r="I57"/>
  <c r="O57" l="1"/>
  <c r="I11"/>
  <c r="O11" l="1"/>
  <c r="I35"/>
  <c r="I59" s="1"/>
  <c r="O61" l="1"/>
  <c r="O59"/>
  <c r="I55"/>
</calcChain>
</file>

<file path=xl/comments1.xml><?xml version="1.0" encoding="utf-8"?>
<comments xmlns="http://schemas.openxmlformats.org/spreadsheetml/2006/main">
  <authors>
    <author>joanp</author>
  </authors>
  <commentList>
    <comment ref="H1" authorId="0">
      <text>
        <r>
          <rPr>
            <b/>
            <sz val="9"/>
            <color indexed="81"/>
            <rFont val="Tahoma"/>
            <charset val="1"/>
          </rPr>
          <t>Si és una Compra, és el  mateix que "Preu U.", si és un traspàs de compra és el preu unitari de la compra original ponderat (Si PU=100 i en el nou fons te dues participacions, P.U. Orig=50)</t>
        </r>
      </text>
    </comment>
    <comment ref="H8" authorId="0">
      <text>
        <r>
          <rPr>
            <b/>
            <sz val="9"/>
            <color indexed="81"/>
            <rFont val="Tahoma"/>
            <family val="2"/>
          </rPr>
          <t>Aquí calculo el nou preu unitari ponderat.</t>
        </r>
      </text>
    </comment>
    <comment ref="F39" authorId="0">
      <text>
        <r>
          <rPr>
            <b/>
            <sz val="9"/>
            <color indexed="81"/>
            <rFont val="Tahoma"/>
            <family val="2"/>
          </rPr>
          <t>Partici,acions calculades a partir del valor de F39 i aplicant el "Rati C/V"</t>
        </r>
      </text>
    </comment>
    <comment ref="J46" authorId="0">
      <text>
        <r>
          <rPr>
            <b/>
            <sz val="9"/>
            <color indexed="81"/>
            <rFont val="Tahoma"/>
            <charset val="1"/>
          </rPr>
          <t>S</t>
        </r>
        <r>
          <rPr>
            <sz val="9"/>
            <color indexed="81"/>
            <rFont val="Tahoma"/>
            <charset val="1"/>
          </rPr>
          <t>uma compres: 
Total Return N Acc €-H1</t>
        </r>
      </text>
    </comment>
  </commentList>
</comments>
</file>

<file path=xl/sharedStrings.xml><?xml version="1.0" encoding="utf-8"?>
<sst xmlns="http://schemas.openxmlformats.org/spreadsheetml/2006/main" count="1852" uniqueCount="183">
  <si>
    <t>DWS Aktien Strategie Deutschland</t>
  </si>
  <si>
    <t>Traspàs C</t>
  </si>
  <si>
    <t>Optimal Income A-H Grs Acc Hdg EUR</t>
  </si>
  <si>
    <t>Id</t>
  </si>
  <si>
    <t>Num Part</t>
  </si>
  <si>
    <t>Preu U.</t>
  </si>
  <si>
    <t>Traspassat De:</t>
  </si>
  <si>
    <t>Traspassat A:</t>
  </si>
  <si>
    <t>Compra</t>
  </si>
  <si>
    <t>Deutschland</t>
  </si>
  <si>
    <t>Traspàs V</t>
  </si>
  <si>
    <t>Total Return N Acc €-H1</t>
  </si>
  <si>
    <t>Bolsa Tecnología y Telecomunicaciones FI</t>
  </si>
  <si>
    <t>Data</t>
  </si>
  <si>
    <t>Moviment</t>
  </si>
  <si>
    <t>Fons</t>
  </si>
  <si>
    <t>Saldo Part</t>
  </si>
  <si>
    <t>C</t>
  </si>
  <si>
    <t>V</t>
  </si>
  <si>
    <t>92</t>
  </si>
  <si>
    <t>31</t>
  </si>
  <si>
    <t>26</t>
  </si>
  <si>
    <t>24,17, 16</t>
  </si>
  <si>
    <t>29, 27</t>
  </si>
  <si>
    <t>15</t>
  </si>
  <si>
    <t>Parcial</t>
  </si>
  <si>
    <t>Total</t>
  </si>
  <si>
    <t>P.Cost U.</t>
  </si>
  <si>
    <t>Participacions</t>
  </si>
  <si>
    <t>Cada fons ha de donar les PiG propies, sense tenir en compte si es traspàs o no.</t>
  </si>
  <si>
    <t>Només en cas de venda real, s'ha d'anar a buscar la compra del fons inicial.</t>
  </si>
  <si>
    <t>Part</t>
  </si>
  <si>
    <t>Rati C/V</t>
  </si>
  <si>
    <t>Ref</t>
  </si>
  <si>
    <t>P.U.Orig.</t>
  </si>
  <si>
    <t>&lt;-Num Part Venda</t>
  </si>
  <si>
    <t>&lt;-Preu Unit Orig</t>
  </si>
  <si>
    <t>&lt;-Num Part Compra</t>
  </si>
  <si>
    <t>Càlcul del nou Preu Unit. Ponderat</t>
  </si>
  <si>
    <t>&lt;-Nou P.U. Orig. Ponderat</t>
  </si>
  <si>
    <t>Traspàs C.</t>
  </si>
  <si>
    <t>Venda</t>
  </si>
  <si>
    <t>Traspàs V.</t>
  </si>
  <si>
    <t>P.U. Orig = Preu U.</t>
  </si>
  <si>
    <t>P.U. Orig = Preu U. Venda Ponderat. Sempre està lligat a una sola venda.</t>
  </si>
  <si>
    <t>Mitjana del P.U. Orig de les unitats de les compres afectades</t>
  </si>
  <si>
    <t>Igual a la Venda</t>
  </si>
  <si>
    <t>PU</t>
  </si>
  <si>
    <t>PU Orig</t>
  </si>
  <si>
    <t>European Growth N Acc ?</t>
  </si>
  <si>
    <t>Biotechnology C USD Acc</t>
  </si>
  <si>
    <t>Traspàs a Dexia</t>
  </si>
  <si>
    <t>Asian Smaller Companies Fund</t>
  </si>
  <si>
    <t>Indonesia Fund A-USD</t>
  </si>
  <si>
    <t>American Extended Alpha R USD Acc</t>
  </si>
  <si>
    <t>De</t>
  </si>
  <si>
    <t>A</t>
  </si>
  <si>
    <t>C1</t>
  </si>
  <si>
    <t>C2</t>
  </si>
  <si>
    <t>C3</t>
  </si>
  <si>
    <t xml:space="preserve">V </t>
  </si>
  <si>
    <t>C1-7</t>
  </si>
  <si>
    <t>C1-3, C2-1</t>
  </si>
  <si>
    <t>Mov</t>
  </si>
  <si>
    <t>Particip</t>
  </si>
  <si>
    <t>IdUsu</t>
  </si>
  <si>
    <t>ProdId</t>
  </si>
  <si>
    <t>Nom Fons</t>
  </si>
  <si>
    <t>IdMov</t>
  </si>
  <si>
    <t>DataHora</t>
  </si>
  <si>
    <t>Tipus Mov</t>
  </si>
  <si>
    <t>PUOrig</t>
  </si>
  <si>
    <t>ProdTraId</t>
  </si>
  <si>
    <t>IdRefVen</t>
  </si>
  <si>
    <t>ValorCompOrig</t>
  </si>
  <si>
    <t>NULL</t>
  </si>
  <si>
    <t>NB Capital Plus FI</t>
  </si>
  <si>
    <t>Patrimoine A EUR Acc</t>
  </si>
  <si>
    <t>Templeton Emerging Mkts Sm Cos N Acc $</t>
  </si>
  <si>
    <t>Thailand A-USD</t>
  </si>
  <si>
    <t>T.Compra</t>
  </si>
  <si>
    <t>T.Venda</t>
  </si>
  <si>
    <t>Saldo Part.</t>
  </si>
  <si>
    <t>PU Act.</t>
  </si>
  <si>
    <t>Imp. Venda</t>
  </si>
  <si>
    <t>Imp. compra</t>
  </si>
  <si>
    <t>Saldo</t>
  </si>
  <si>
    <t>Arcelor Mittal Steel</t>
  </si>
  <si>
    <t>Santander</t>
  </si>
  <si>
    <t>Telefònica</t>
  </si>
  <si>
    <t>PROSHARES ULTRA NASDAQ BIOTECH US74347R2141</t>
  </si>
  <si>
    <t>IShares MDAX UETF T Xetra DE0005933923-EXS3</t>
  </si>
  <si>
    <t>Inditex</t>
  </si>
  <si>
    <t>ISHS MSCI EM MK</t>
  </si>
  <si>
    <t>VANGUARD S&amp;P500</t>
  </si>
  <si>
    <t>Sabadell</t>
  </si>
  <si>
    <t>ACCIONS</t>
  </si>
  <si>
    <t xml:space="preserve">      </t>
  </si>
  <si>
    <t>Total Compra</t>
  </si>
  <si>
    <t>Total Venda</t>
  </si>
  <si>
    <t>Total en Cartera</t>
  </si>
  <si>
    <t>Comparació dels preus de compra respecte a les vendes i la cartera actual calculat amb els preu Origen</t>
  </si>
  <si>
    <t>Usuari</t>
  </si>
  <si>
    <t>Partic.</t>
  </si>
  <si>
    <t>Preu U O</t>
  </si>
  <si>
    <t>Preu U</t>
  </si>
  <si>
    <t>Despeses</t>
  </si>
  <si>
    <t>Saldo P</t>
  </si>
  <si>
    <t>Divideixo la compra en dos, la part no venuda faig split/contrasplit</t>
  </si>
  <si>
    <t>No faig res</t>
  </si>
  <si>
    <t>Marco com split/contrasplit</t>
  </si>
  <si>
    <t>Nou moviment amb split/contrasplit fet</t>
  </si>
  <si>
    <t>Part no venuda de mov 94 amb Split/Contrasplit fet</t>
  </si>
  <si>
    <t>Part venuda del mov 94, NO faig split/contrasplit</t>
  </si>
  <si>
    <t>Split</t>
  </si>
  <si>
    <t>Accio sobrant</t>
  </si>
  <si>
    <t>Venda de les acions sobrants de la divisió</t>
  </si>
  <si>
    <t>Tip.Mov.</t>
  </si>
  <si>
    <t>ProdT</t>
  </si>
  <si>
    <t>RefVenda</t>
  </si>
  <si>
    <t>Canvi</t>
  </si>
  <si>
    <t>Desp.</t>
  </si>
  <si>
    <t>Actualment</t>
  </si>
  <si>
    <t>Amb Preu Orig</t>
  </si>
  <si>
    <t>Amb Preu Unit</t>
  </si>
  <si>
    <t>Thailand</t>
  </si>
  <si>
    <t>Deuschland</t>
  </si>
  <si>
    <t>Biotechnology</t>
  </si>
  <si>
    <t>Producte: 10-Bolsa Tecnología y Telecomunicaciones FI</t>
  </si>
  <si>
    <t>Producte: 11-Total Return N Acc €-H1</t>
  </si>
  <si>
    <t>Producte: 12-American Extended Alpha R USD Acc</t>
  </si>
  <si>
    <t>Producte: 13-Indonesia Fund A-USD</t>
  </si>
  <si>
    <t>Producte: 14-Patrimoine A EUR Acc</t>
  </si>
  <si>
    <t>Producte: 15-Templeton Emerging Mkts Sm Cos N Acc $</t>
  </si>
  <si>
    <t>Producte: 16-DWS Aktien Strategie Deutschland</t>
  </si>
  <si>
    <t>Producte: 19-NB Capital Plus FI</t>
  </si>
  <si>
    <t>Producte: 22-Sabadell</t>
  </si>
  <si>
    <t>Producte: 23-Inditex</t>
  </si>
  <si>
    <t>Producte: 17-PROSHARES ULTRA NASDAQ BIOTECH US74347R2141</t>
  </si>
  <si>
    <t>Producte: 24-ISHS MSCI EM MK</t>
  </si>
  <si>
    <t>Producte: 25-VANGUARD S&amp;P500</t>
  </si>
  <si>
    <t>Producte: 18-IShares MDAX UETF T Xetra DE0005933923-EXS3</t>
  </si>
  <si>
    <t>Saldo Total</t>
  </si>
  <si>
    <t>Producte: 1-Optimal Income A-H Grs Acc Hdg EUR</t>
  </si>
  <si>
    <t>Producte: 2-European Growth N Acc ?</t>
  </si>
  <si>
    <t>Producte: 3-Asian Smaller Companies Fund</t>
  </si>
  <si>
    <t>Producte: 4-Thailand A-USD</t>
  </si>
  <si>
    <t>Producte: 5-Deutschland</t>
  </si>
  <si>
    <t>Producte: 6-Biotechnology C USD Acc</t>
  </si>
  <si>
    <t>Producte: 7-Arcelor Mittal Steel</t>
  </si>
  <si>
    <t>Producte: 8-Santander</t>
  </si>
  <si>
    <t>Producte: 9-Telefònica</t>
  </si>
  <si>
    <t>Telefónica</t>
  </si>
  <si>
    <t>Telefónica. Dividents.</t>
  </si>
  <si>
    <t>Tributen</t>
  </si>
  <si>
    <t>Valor Ini</t>
  </si>
  <si>
    <t>Valor compres</t>
  </si>
  <si>
    <t>Valor Vendes</t>
  </si>
  <si>
    <t>Valor fi</t>
  </si>
  <si>
    <t>Any: 2000</t>
  </si>
  <si>
    <t>Any: 2001</t>
  </si>
  <si>
    <t>Any: 2002</t>
  </si>
  <si>
    <t>Any: 2003</t>
  </si>
  <si>
    <t>Any: 2004</t>
  </si>
  <si>
    <t>Any: 2005</t>
  </si>
  <si>
    <t>Any: 2006</t>
  </si>
  <si>
    <t>Any: 2007</t>
  </si>
  <si>
    <t>Any: 2008</t>
  </si>
  <si>
    <t>Any: 2009</t>
  </si>
  <si>
    <t>Any: 2010</t>
  </si>
  <si>
    <t>Any: 2011</t>
  </si>
  <si>
    <t>Any: 2012</t>
  </si>
  <si>
    <t>Any: 2013</t>
  </si>
  <si>
    <t>Any: 2014</t>
  </si>
  <si>
    <t>Any: 2015</t>
  </si>
  <si>
    <t>Any: 2016</t>
  </si>
  <si>
    <t>Any: 2017</t>
  </si>
  <si>
    <t>Moviments originals</t>
  </si>
  <si>
    <t>Contrasplit Prova</t>
  </si>
  <si>
    <t>Contrasplit real</t>
  </si>
  <si>
    <t>Compra de les acions sobrants de la divisió</t>
  </si>
  <si>
    <t>Marco com contrasplit</t>
  </si>
  <si>
    <t>Nou moviment amb contrasplit fet</t>
  </si>
</sst>
</file>

<file path=xl/styles.xml><?xml version="1.0" encoding="utf-8"?>
<styleSheet xmlns="http://schemas.openxmlformats.org/spreadsheetml/2006/main">
  <numFmts count="8">
    <numFmt numFmtId="8" formatCode="#,##0.00\ &quot;€&quot;;[Red]\-#,##0.00\ &quot;€&quot;"/>
    <numFmt numFmtId="164" formatCode="#,##0.000"/>
    <numFmt numFmtId="165" formatCode="#,##0.00000"/>
    <numFmt numFmtId="166" formatCode="#,##0.000\ &quot;€&quot;;[Red]\-#,##0.000\ &quot;€&quot;"/>
    <numFmt numFmtId="167" formatCode="0.000"/>
    <numFmt numFmtId="168" formatCode="#,##0.00\ &quot;€&quot;"/>
    <numFmt numFmtId="169" formatCode="#,##0.000\ &quot;€&quot;"/>
    <numFmt numFmtId="170" formatCode="#,##0.0000\ &quot;€&quot;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9C65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</fills>
  <borders count="2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/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6">
    <xf numFmtId="0" fontId="0" fillId="0" borderId="0"/>
    <xf numFmtId="0" fontId="2" fillId="2" borderId="1" applyNumberFormat="0" applyAlignment="0" applyProtection="0"/>
    <xf numFmtId="0" fontId="3" fillId="3" borderId="3" applyNumberFormat="0" applyAlignment="0" applyProtection="0"/>
    <xf numFmtId="0" fontId="7" fillId="4" borderId="0" applyNumberFormat="0" applyBorder="0" applyAlignment="0" applyProtection="0"/>
    <xf numFmtId="0" fontId="10" fillId="6" borderId="1" applyNumberFormat="0" applyAlignment="0" applyProtection="0"/>
    <xf numFmtId="0" fontId="11" fillId="2" borderId="12" applyNumberFormat="0" applyAlignment="0" applyProtection="0"/>
  </cellStyleXfs>
  <cellXfs count="111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8" fontId="0" fillId="0" borderId="0" xfId="0" applyNumberFormat="1" applyAlignment="1">
      <alignment wrapText="1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wrapText="1"/>
    </xf>
    <xf numFmtId="4" fontId="0" fillId="0" borderId="0" xfId="0" applyNumberFormat="1"/>
    <xf numFmtId="4" fontId="1" fillId="0" borderId="0" xfId="0" applyNumberFormat="1" applyFont="1" applyAlignment="1">
      <alignment horizontal="center"/>
    </xf>
    <xf numFmtId="4" fontId="2" fillId="2" borderId="1" xfId="1" applyNumberFormat="1" applyAlignment="1">
      <alignment wrapText="1"/>
    </xf>
    <xf numFmtId="164" fontId="0" fillId="0" borderId="0" xfId="0" applyNumberFormat="1"/>
    <xf numFmtId="0" fontId="1" fillId="0" borderId="0" xfId="0" applyFont="1"/>
    <xf numFmtId="4" fontId="1" fillId="0" borderId="0" xfId="0" applyNumberFormat="1" applyFont="1"/>
    <xf numFmtId="0" fontId="0" fillId="0" borderId="0" xfId="0" quotePrefix="1"/>
    <xf numFmtId="8" fontId="0" fillId="0" borderId="0" xfId="0" quotePrefix="1" applyNumberFormat="1"/>
    <xf numFmtId="8" fontId="2" fillId="2" borderId="1" xfId="1" quotePrefix="1" applyNumberFormat="1"/>
    <xf numFmtId="8" fontId="0" fillId="0" borderId="0" xfId="0" applyNumberFormat="1"/>
    <xf numFmtId="0" fontId="1" fillId="0" borderId="2" xfId="0" applyFont="1" applyBorder="1" applyAlignment="1">
      <alignment horizontal="center"/>
    </xf>
    <xf numFmtId="4" fontId="0" fillId="0" borderId="2" xfId="0" applyNumberFormat="1" applyBorder="1" applyAlignment="1">
      <alignment wrapText="1"/>
    </xf>
    <xf numFmtId="0" fontId="1" fillId="0" borderId="2" xfId="0" applyFont="1" applyBorder="1" applyAlignment="1">
      <alignment horizontal="center" wrapText="1"/>
    </xf>
    <xf numFmtId="8" fontId="1" fillId="0" borderId="0" xfId="0" applyNumberFormat="1" applyFont="1" applyAlignment="1">
      <alignment horizontal="center"/>
    </xf>
    <xf numFmtId="165" fontId="0" fillId="0" borderId="0" xfId="0" applyNumberFormat="1"/>
    <xf numFmtId="165" fontId="3" fillId="3" borderId="3" xfId="2" applyNumberFormat="1"/>
    <xf numFmtId="4" fontId="3" fillId="3" borderId="3" xfId="2" applyNumberFormat="1"/>
    <xf numFmtId="0" fontId="0" fillId="0" borderId="0" xfId="0" applyBorder="1"/>
    <xf numFmtId="0" fontId="0" fillId="0" borderId="5" xfId="0" applyBorder="1"/>
    <xf numFmtId="4" fontId="1" fillId="0" borderId="7" xfId="0" applyNumberFormat="1" applyFont="1" applyBorder="1"/>
    <xf numFmtId="4" fontId="0" fillId="0" borderId="8" xfId="0" applyNumberFormat="1" applyBorder="1"/>
    <xf numFmtId="8" fontId="0" fillId="0" borderId="9" xfId="0" applyNumberFormat="1" applyBorder="1"/>
    <xf numFmtId="0" fontId="0" fillId="0" borderId="8" xfId="0" applyBorder="1"/>
    <xf numFmtId="0" fontId="0" fillId="0" borderId="9" xfId="0" applyBorder="1"/>
    <xf numFmtId="0" fontId="2" fillId="2" borderId="11" xfId="1" applyBorder="1"/>
    <xf numFmtId="166" fontId="2" fillId="2" borderId="1" xfId="1" applyNumberFormat="1" applyAlignment="1">
      <alignment wrapText="1"/>
    </xf>
    <xf numFmtId="164" fontId="2" fillId="2" borderId="6" xfId="1" applyNumberFormat="1" applyBorder="1"/>
    <xf numFmtId="164" fontId="2" fillId="2" borderId="4" xfId="1" applyNumberFormat="1" applyBorder="1"/>
    <xf numFmtId="164" fontId="2" fillId="2" borderId="10" xfId="1" applyNumberFormat="1" applyBorder="1"/>
    <xf numFmtId="166" fontId="0" fillId="0" borderId="0" xfId="0" applyNumberFormat="1" applyAlignment="1">
      <alignment wrapText="1"/>
    </xf>
    <xf numFmtId="166" fontId="7" fillId="4" borderId="0" xfId="3" applyNumberFormat="1" applyAlignment="1">
      <alignment wrapText="1"/>
    </xf>
    <xf numFmtId="0" fontId="1" fillId="0" borderId="0" xfId="0" applyFont="1" applyAlignment="1"/>
    <xf numFmtId="4" fontId="0" fillId="0" borderId="0" xfId="0" applyNumberFormat="1" applyBorder="1" applyAlignment="1">
      <alignment wrapText="1"/>
    </xf>
    <xf numFmtId="0" fontId="0" fillId="5" borderId="0" xfId="0" applyFill="1" applyAlignment="1">
      <alignment wrapText="1"/>
    </xf>
    <xf numFmtId="14" fontId="0" fillId="5" borderId="0" xfId="0" applyNumberFormat="1" applyFill="1" applyAlignment="1">
      <alignment wrapText="1"/>
    </xf>
    <xf numFmtId="8" fontId="0" fillId="5" borderId="0" xfId="0" applyNumberFormat="1" applyFill="1" applyAlignment="1">
      <alignment wrapText="1"/>
    </xf>
    <xf numFmtId="166" fontId="1" fillId="0" borderId="0" xfId="0" applyNumberFormat="1" applyFont="1" applyBorder="1" applyAlignment="1">
      <alignment horizontal="center"/>
    </xf>
    <xf numFmtId="166" fontId="0" fillId="5" borderId="0" xfId="0" applyNumberFormat="1" applyFill="1"/>
    <xf numFmtId="22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7" fontId="0" fillId="0" borderId="0" xfId="0" applyNumberFormat="1"/>
    <xf numFmtId="2" fontId="0" fillId="0" borderId="0" xfId="0" applyNumberFormat="1"/>
    <xf numFmtId="168" fontId="0" fillId="0" borderId="0" xfId="0" applyNumberFormat="1"/>
    <xf numFmtId="8" fontId="0" fillId="0" borderId="0" xfId="0" applyNumberFormat="1" applyAlignment="1">
      <alignment horizontal="center"/>
    </xf>
    <xf numFmtId="14" fontId="8" fillId="0" borderId="0" xfId="0" applyNumberFormat="1" applyFont="1" applyAlignment="1">
      <alignment horizontal="center"/>
    </xf>
    <xf numFmtId="8" fontId="1" fillId="0" borderId="0" xfId="0" applyNumberFormat="1" applyFont="1"/>
    <xf numFmtId="0" fontId="9" fillId="0" borderId="0" xfId="0" applyFont="1"/>
    <xf numFmtId="169" fontId="0" fillId="0" borderId="0" xfId="0" applyNumberFormat="1"/>
    <xf numFmtId="169" fontId="0" fillId="0" borderId="0" xfId="0" applyNumberFormat="1" applyAlignment="1">
      <alignment horizontal="center"/>
    </xf>
    <xf numFmtId="169" fontId="0" fillId="0" borderId="0" xfId="0" applyNumberFormat="1" applyAlignment="1">
      <alignment wrapText="1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9" fontId="10" fillId="6" borderId="1" xfId="4" applyNumberFormat="1"/>
    <xf numFmtId="169" fontId="11" fillId="2" borderId="12" xfId="5" applyNumberFormat="1"/>
    <xf numFmtId="169" fontId="1" fillId="0" borderId="0" xfId="0" applyNumberFormat="1" applyFont="1"/>
    <xf numFmtId="0" fontId="12" fillId="0" borderId="0" xfId="0" applyFont="1"/>
    <xf numFmtId="0" fontId="7" fillId="4" borderId="0" xfId="3"/>
    <xf numFmtId="0" fontId="7" fillId="4" borderId="0" xfId="3" applyAlignment="1">
      <alignment horizontal="center"/>
    </xf>
    <xf numFmtId="167" fontId="7" fillId="4" borderId="0" xfId="3" applyNumberFormat="1"/>
    <xf numFmtId="164" fontId="7" fillId="4" borderId="0" xfId="3" applyNumberFormat="1"/>
    <xf numFmtId="167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70" fontId="0" fillId="0" borderId="0" xfId="0" applyNumberFormat="1"/>
    <xf numFmtId="0" fontId="1" fillId="0" borderId="0" xfId="0" applyFont="1" applyAlignment="1">
      <alignment horizontal="center"/>
    </xf>
    <xf numFmtId="0" fontId="0" fillId="0" borderId="13" xfId="0" applyBorder="1"/>
    <xf numFmtId="0" fontId="0" fillId="0" borderId="14" xfId="0" applyBorder="1"/>
    <xf numFmtId="22" fontId="0" fillId="0" borderId="14" xfId="0" applyNumberFormat="1" applyBorder="1"/>
    <xf numFmtId="0" fontId="7" fillId="4" borderId="14" xfId="3" applyBorder="1"/>
    <xf numFmtId="169" fontId="0" fillId="0" borderId="14" xfId="0" applyNumberFormat="1" applyBorder="1"/>
    <xf numFmtId="169" fontId="0" fillId="0" borderId="15" xfId="0" applyNumberFormat="1" applyBorder="1"/>
    <xf numFmtId="0" fontId="0" fillId="0" borderId="16" xfId="0" applyBorder="1"/>
    <xf numFmtId="0" fontId="0" fillId="0" borderId="17" xfId="0" applyBorder="1"/>
    <xf numFmtId="22" fontId="0" fillId="0" borderId="17" xfId="0" applyNumberFormat="1" applyBorder="1"/>
    <xf numFmtId="0" fontId="7" fillId="4" borderId="17" xfId="3" applyBorder="1"/>
    <xf numFmtId="169" fontId="0" fillId="0" borderId="17" xfId="0" applyNumberFormat="1" applyBorder="1"/>
    <xf numFmtId="169" fontId="0" fillId="0" borderId="18" xfId="0" applyNumberFormat="1" applyBorder="1"/>
    <xf numFmtId="0" fontId="0" fillId="0" borderId="19" xfId="0" applyBorder="1"/>
    <xf numFmtId="0" fontId="0" fillId="0" borderId="20" xfId="0" applyBorder="1"/>
    <xf numFmtId="22" fontId="0" fillId="0" borderId="20" xfId="0" applyNumberFormat="1" applyBorder="1"/>
    <xf numFmtId="0" fontId="7" fillId="4" borderId="20" xfId="3" applyBorder="1"/>
    <xf numFmtId="169" fontId="0" fillId="0" borderId="20" xfId="0" applyNumberFormat="1" applyBorder="1"/>
    <xf numFmtId="169" fontId="0" fillId="0" borderId="21" xfId="0" applyNumberFormat="1" applyBorder="1"/>
    <xf numFmtId="0" fontId="0" fillId="0" borderId="0" xfId="0" applyFill="1" applyBorder="1"/>
    <xf numFmtId="0" fontId="2" fillId="2" borderId="1" xfId="1"/>
    <xf numFmtId="167" fontId="0" fillId="0" borderId="0" xfId="0" applyNumberFormat="1" applyFill="1" applyBorder="1"/>
    <xf numFmtId="0" fontId="1" fillId="0" borderId="0" xfId="0" applyFont="1" applyAlignment="1">
      <alignment horizontal="center"/>
    </xf>
    <xf numFmtId="0" fontId="0" fillId="0" borderId="0" xfId="0" applyNumberFormat="1"/>
    <xf numFmtId="170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70" fontId="1" fillId="0" borderId="0" xfId="0" applyNumberFormat="1" applyFont="1"/>
    <xf numFmtId="170" fontId="0" fillId="0" borderId="0" xfId="0" applyNumberFormat="1" applyAlignment="1">
      <alignment horizontal="left" indent="1"/>
    </xf>
    <xf numFmtId="168" fontId="1" fillId="0" borderId="0" xfId="0" applyNumberFormat="1" applyFont="1"/>
    <xf numFmtId="22" fontId="2" fillId="2" borderId="1" xfId="1" applyNumberFormat="1"/>
    <xf numFmtId="167" fontId="2" fillId="2" borderId="1" xfId="1" applyNumberFormat="1"/>
    <xf numFmtId="170" fontId="2" fillId="2" borderId="1" xfId="1" applyNumberFormat="1"/>
    <xf numFmtId="169" fontId="2" fillId="2" borderId="1" xfId="1" applyNumberFormat="1"/>
    <xf numFmtId="0" fontId="0" fillId="0" borderId="0" xfId="0" applyFont="1"/>
    <xf numFmtId="0" fontId="7" fillId="4" borderId="0" xfId="3" applyBorder="1"/>
    <xf numFmtId="169" fontId="0" fillId="0" borderId="0" xfId="0" applyNumberFormat="1" applyBorder="1"/>
    <xf numFmtId="169" fontId="0" fillId="0" borderId="0" xfId="0" applyNumberFormat="1" applyFill="1" applyBorder="1"/>
    <xf numFmtId="0" fontId="2" fillId="2" borderId="22" xfId="1" applyBorder="1"/>
    <xf numFmtId="0" fontId="1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/>
    </xf>
  </cellXfs>
  <cellStyles count="6">
    <cellStyle name="Calculation" xfId="1" builtinId="22"/>
    <cellStyle name="Check Cell" xfId="2" builtinId="23"/>
    <cellStyle name="Input" xfId="4" builtinId="20"/>
    <cellStyle name="Neutral" xfId="3" builtinId="28"/>
    <cellStyle name="Normal" xfId="0" builtinId="0"/>
    <cellStyle name="Output" xfId="5" builtinId="2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>
      <pane ySplit="1" topLeftCell="A2" activePane="bottomLeft" state="frozen"/>
      <selection pane="bottomLeft" activeCell="K2" sqref="K2"/>
    </sheetView>
  </sheetViews>
  <sheetFormatPr defaultRowHeight="14.4"/>
  <cols>
    <col min="2" max="2" width="35.88671875" customWidth="1"/>
    <col min="3" max="3" width="12.44140625" customWidth="1"/>
    <col min="4" max="4" width="11.33203125" customWidth="1"/>
    <col min="7" max="7" width="10.77734375" hidden="1" customWidth="1"/>
    <col min="8" max="8" width="10.6640625" hidden="1" customWidth="1"/>
    <col min="9" max="10" width="0" hidden="1" customWidth="1"/>
    <col min="11" max="11" width="44.77734375" customWidth="1"/>
    <col min="12" max="12" width="40.5546875" customWidth="1"/>
    <col min="13" max="13" width="41.6640625" customWidth="1"/>
  </cols>
  <sheetData>
    <row r="1" spans="1:12">
      <c r="A1" s="4" t="s">
        <v>3</v>
      </c>
      <c r="B1" s="4" t="s">
        <v>15</v>
      </c>
      <c r="C1" s="4" t="s">
        <v>14</v>
      </c>
      <c r="D1" s="4" t="s">
        <v>13</v>
      </c>
      <c r="E1" s="4" t="s">
        <v>4</v>
      </c>
      <c r="F1" s="4" t="s">
        <v>5</v>
      </c>
      <c r="G1" s="4"/>
      <c r="H1" s="4"/>
      <c r="I1" s="4"/>
      <c r="J1" s="4"/>
      <c r="K1" s="4" t="s">
        <v>6</v>
      </c>
      <c r="L1" s="4" t="s">
        <v>7</v>
      </c>
    </row>
    <row r="2" spans="1:12">
      <c r="A2" s="1">
        <v>101</v>
      </c>
      <c r="B2" s="1" t="s">
        <v>0</v>
      </c>
      <c r="C2" s="1" t="s">
        <v>1</v>
      </c>
      <c r="D2" s="2">
        <v>42279</v>
      </c>
      <c r="E2" s="1">
        <v>160.75280000000001</v>
      </c>
      <c r="F2" s="3">
        <v>323.52999999999997</v>
      </c>
      <c r="G2" s="3">
        <v>52008.35</v>
      </c>
      <c r="H2" s="3">
        <v>52008.35</v>
      </c>
      <c r="I2" s="1">
        <v>1</v>
      </c>
      <c r="J2" s="1"/>
      <c r="K2" s="1" t="s">
        <v>2</v>
      </c>
    </row>
    <row r="4" spans="1:12">
      <c r="A4" s="1">
        <v>27</v>
      </c>
      <c r="B4" s="1" t="s">
        <v>2</v>
      </c>
      <c r="C4" s="1" t="s">
        <v>8</v>
      </c>
      <c r="D4" s="2">
        <v>41521</v>
      </c>
      <c r="E4" s="1">
        <v>58.502000000000002</v>
      </c>
      <c r="F4" s="3">
        <v>17.093</v>
      </c>
      <c r="G4" s="3">
        <v>999.99</v>
      </c>
      <c r="H4" s="3">
        <v>999.99</v>
      </c>
      <c r="I4" s="1">
        <v>1</v>
      </c>
      <c r="J4" s="1"/>
      <c r="K4" s="1"/>
      <c r="L4" s="1"/>
    </row>
    <row r="5" spans="1:12">
      <c r="A5" s="1">
        <v>29</v>
      </c>
      <c r="B5" s="1" t="s">
        <v>2</v>
      </c>
      <c r="C5" s="1" t="s">
        <v>1</v>
      </c>
      <c r="D5" s="2">
        <v>41794</v>
      </c>
      <c r="E5" s="5">
        <v>2347.326</v>
      </c>
      <c r="F5" s="3">
        <v>18.25</v>
      </c>
      <c r="G5" s="3">
        <v>42837.96</v>
      </c>
      <c r="H5" s="3">
        <v>42837.96</v>
      </c>
      <c r="I5" s="1">
        <v>1</v>
      </c>
      <c r="J5" s="1"/>
      <c r="K5" s="1" t="s">
        <v>9</v>
      </c>
      <c r="L5" s="1"/>
    </row>
    <row r="6" spans="1:12">
      <c r="A6" s="1">
        <v>30</v>
      </c>
      <c r="B6" s="1" t="s">
        <v>2</v>
      </c>
      <c r="C6" s="1" t="s">
        <v>10</v>
      </c>
      <c r="D6" s="2">
        <v>41971</v>
      </c>
      <c r="E6" s="5">
        <v>2404</v>
      </c>
      <c r="F6" s="3">
        <v>18.524999999999999</v>
      </c>
      <c r="G6" s="3">
        <v>44532.91</v>
      </c>
      <c r="H6" s="3">
        <v>44532.91</v>
      </c>
      <c r="I6" s="1">
        <v>1</v>
      </c>
      <c r="J6" s="1"/>
      <c r="K6" s="1"/>
      <c r="L6" s="1" t="s">
        <v>9</v>
      </c>
    </row>
    <row r="7" spans="1:12">
      <c r="A7" s="1">
        <v>92</v>
      </c>
      <c r="B7" s="1" t="s">
        <v>2</v>
      </c>
      <c r="C7" s="1" t="s">
        <v>1</v>
      </c>
      <c r="D7" s="2">
        <v>42202</v>
      </c>
      <c r="E7" s="5">
        <v>2922.36</v>
      </c>
      <c r="F7" s="3">
        <v>18.393000000000001</v>
      </c>
      <c r="G7" s="3">
        <v>53751.26</v>
      </c>
      <c r="H7" s="3">
        <v>53751.26</v>
      </c>
      <c r="I7" s="1">
        <v>1</v>
      </c>
      <c r="J7" s="1"/>
      <c r="K7" s="1" t="s">
        <v>9</v>
      </c>
      <c r="L7" s="1"/>
    </row>
    <row r="8" spans="1:12">
      <c r="A8" s="1">
        <v>100</v>
      </c>
      <c r="B8" s="1" t="s">
        <v>2</v>
      </c>
      <c r="C8" s="1" t="s">
        <v>10</v>
      </c>
      <c r="D8" s="2">
        <v>42279</v>
      </c>
      <c r="E8" s="5">
        <v>2879.2429999999999</v>
      </c>
      <c r="F8" s="3">
        <v>18.062999999999999</v>
      </c>
      <c r="G8" s="3">
        <v>52008.35</v>
      </c>
      <c r="H8" s="3">
        <v>52008.35</v>
      </c>
      <c r="I8" s="1">
        <v>1</v>
      </c>
      <c r="J8" s="1"/>
      <c r="K8" s="1"/>
      <c r="L8" s="1" t="s">
        <v>0</v>
      </c>
    </row>
    <row r="10" spans="1:12">
      <c r="A10" s="1">
        <v>26</v>
      </c>
      <c r="B10" s="1" t="s">
        <v>9</v>
      </c>
      <c r="C10" s="1" t="s">
        <v>1</v>
      </c>
      <c r="D10" s="2">
        <v>41439</v>
      </c>
      <c r="E10" s="1">
        <v>249.34710000000001</v>
      </c>
      <c r="F10" s="3">
        <v>139.71</v>
      </c>
      <c r="G10" s="3">
        <v>34836.28</v>
      </c>
      <c r="H10" s="3">
        <v>34836.28</v>
      </c>
      <c r="I10" s="1">
        <v>1</v>
      </c>
      <c r="J10" s="1"/>
      <c r="K10" s="1" t="s">
        <v>11</v>
      </c>
      <c r="L10" s="1"/>
    </row>
    <row r="11" spans="1:12">
      <c r="A11" s="1">
        <v>28</v>
      </c>
      <c r="B11" s="1" t="s">
        <v>9</v>
      </c>
      <c r="C11" s="1" t="s">
        <v>10</v>
      </c>
      <c r="D11" s="2">
        <v>41794</v>
      </c>
      <c r="E11" s="1">
        <v>249</v>
      </c>
      <c r="F11" s="3">
        <v>172.04</v>
      </c>
      <c r="G11" s="3">
        <v>42837.96</v>
      </c>
      <c r="H11" s="3">
        <v>42837.96</v>
      </c>
      <c r="I11" s="1">
        <v>1</v>
      </c>
      <c r="J11" s="1"/>
      <c r="K11" s="1"/>
      <c r="L11" s="1" t="s">
        <v>2</v>
      </c>
    </row>
    <row r="12" spans="1:12">
      <c r="A12" s="1">
        <v>31</v>
      </c>
      <c r="B12" s="1" t="s">
        <v>9</v>
      </c>
      <c r="C12" s="1" t="s">
        <v>1</v>
      </c>
      <c r="D12" s="2">
        <v>41976</v>
      </c>
      <c r="E12" s="1">
        <v>264.18049999999999</v>
      </c>
      <c r="F12" s="3">
        <v>168.57</v>
      </c>
      <c r="G12" s="3">
        <v>44532.91</v>
      </c>
      <c r="H12" s="3">
        <v>44532.91</v>
      </c>
      <c r="I12" s="1">
        <v>1</v>
      </c>
      <c r="J12" s="1"/>
      <c r="K12" s="1" t="s">
        <v>2</v>
      </c>
      <c r="L12" s="1"/>
    </row>
    <row r="13" spans="1:12">
      <c r="A13" s="1">
        <v>91</v>
      </c>
      <c r="B13" s="1" t="s">
        <v>9</v>
      </c>
      <c r="C13" s="1" t="s">
        <v>10</v>
      </c>
      <c r="D13" s="2">
        <v>42201</v>
      </c>
      <c r="E13" s="1">
        <v>259.52999999999997</v>
      </c>
      <c r="F13" s="3">
        <v>207.11</v>
      </c>
      <c r="G13" s="3">
        <v>53751.26</v>
      </c>
      <c r="H13" s="3">
        <v>53751.26</v>
      </c>
      <c r="I13" s="1">
        <v>1</v>
      </c>
      <c r="J13" s="1"/>
      <c r="K13" s="1"/>
      <c r="L13" s="1" t="s">
        <v>2</v>
      </c>
    </row>
    <row r="15" spans="1:12">
      <c r="A15" s="1">
        <v>16</v>
      </c>
      <c r="B15" s="1" t="s">
        <v>11</v>
      </c>
      <c r="C15" s="1" t="s">
        <v>8</v>
      </c>
      <c r="D15" s="2">
        <v>41166</v>
      </c>
      <c r="E15" s="1">
        <v>547.64509999999996</v>
      </c>
      <c r="F15" s="3">
        <v>18.260000000000002</v>
      </c>
      <c r="G15" s="3">
        <v>10000</v>
      </c>
      <c r="H15" s="3">
        <v>10000</v>
      </c>
      <c r="I15" s="1">
        <v>1</v>
      </c>
      <c r="J15" s="1"/>
      <c r="K15" s="1"/>
      <c r="L15" s="1"/>
    </row>
    <row r="16" spans="1:12">
      <c r="A16" s="1">
        <v>17</v>
      </c>
      <c r="B16" s="1" t="s">
        <v>11</v>
      </c>
      <c r="C16" s="1" t="s">
        <v>8</v>
      </c>
      <c r="D16" s="2">
        <v>41377</v>
      </c>
      <c r="E16" s="5">
        <v>1010.611</v>
      </c>
      <c r="F16" s="3">
        <v>19.79</v>
      </c>
      <c r="G16" s="3">
        <v>19999.990000000002</v>
      </c>
      <c r="H16" s="3">
        <v>19999.990000000002</v>
      </c>
      <c r="I16" s="1">
        <v>1</v>
      </c>
      <c r="J16" s="1"/>
      <c r="K16" s="1"/>
      <c r="L16" s="1"/>
    </row>
    <row r="17" spans="1:12">
      <c r="A17" s="1">
        <v>24</v>
      </c>
      <c r="B17" s="1" t="s">
        <v>11</v>
      </c>
      <c r="C17" s="1" t="s">
        <v>1</v>
      </c>
      <c r="D17" s="2">
        <v>41383</v>
      </c>
      <c r="E17" s="1">
        <v>280.07</v>
      </c>
      <c r="F17" s="3">
        <v>19.68</v>
      </c>
      <c r="G17" s="3">
        <v>5511.77</v>
      </c>
      <c r="H17" s="3">
        <v>5511.77</v>
      </c>
      <c r="I17" s="1">
        <v>1</v>
      </c>
      <c r="J17" s="1"/>
      <c r="K17" s="1" t="s">
        <v>12</v>
      </c>
      <c r="L17" s="1"/>
    </row>
    <row r="18" spans="1:12">
      <c r="A18" s="1">
        <v>25</v>
      </c>
      <c r="B18" s="1" t="s">
        <v>11</v>
      </c>
      <c r="C18" s="1" t="s">
        <v>10</v>
      </c>
      <c r="D18" s="2">
        <v>41439</v>
      </c>
      <c r="E18" s="5">
        <v>1838.3261</v>
      </c>
      <c r="F18" s="3">
        <v>18.95</v>
      </c>
      <c r="G18" s="3">
        <v>34836.28</v>
      </c>
      <c r="H18" s="3">
        <v>34836.28</v>
      </c>
      <c r="I18" s="1">
        <v>1</v>
      </c>
      <c r="J18" s="1"/>
      <c r="K18" s="1"/>
      <c r="L18" s="1" t="s">
        <v>9</v>
      </c>
    </row>
    <row r="20" spans="1:12">
      <c r="A20" s="1">
        <v>15</v>
      </c>
      <c r="B20" s="1" t="s">
        <v>12</v>
      </c>
      <c r="C20" s="1" t="s">
        <v>8</v>
      </c>
      <c r="D20" s="2">
        <v>36841</v>
      </c>
      <c r="E20" s="1">
        <v>679.64</v>
      </c>
      <c r="F20" s="3">
        <v>22.992000000000001</v>
      </c>
      <c r="G20" s="3">
        <v>15626.31</v>
      </c>
      <c r="H20" s="3">
        <v>15626.31</v>
      </c>
      <c r="I20" s="1">
        <v>1</v>
      </c>
      <c r="J20" s="1"/>
      <c r="K20" s="1"/>
    </row>
    <row r="21" spans="1:12">
      <c r="A21" s="1">
        <v>23</v>
      </c>
      <c r="B21" s="1" t="s">
        <v>12</v>
      </c>
      <c r="C21" s="1" t="s">
        <v>10</v>
      </c>
      <c r="D21" s="2">
        <v>41383</v>
      </c>
      <c r="E21" s="1">
        <v>679.64</v>
      </c>
      <c r="F21" s="3">
        <v>8.11</v>
      </c>
      <c r="G21" s="3">
        <v>5511.77</v>
      </c>
      <c r="H21" s="3">
        <v>5511.77</v>
      </c>
      <c r="I21" s="1">
        <v>1</v>
      </c>
      <c r="J21" s="1"/>
      <c r="K21" s="1" t="s">
        <v>11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 activeCell="K17" sqref="K17"/>
    </sheetView>
  </sheetViews>
  <sheetFormatPr defaultRowHeight="14.4"/>
  <cols>
    <col min="2" max="2" width="35.88671875" customWidth="1"/>
    <col min="3" max="3" width="12.44140625" customWidth="1"/>
    <col min="4" max="4" width="11.33203125" customWidth="1"/>
    <col min="7" max="7" width="10.77734375" hidden="1" customWidth="1"/>
    <col min="8" max="8" width="10.6640625" hidden="1" customWidth="1"/>
    <col min="9" max="10" width="0" hidden="1" customWidth="1"/>
    <col min="11" max="11" width="44.77734375" customWidth="1"/>
    <col min="12" max="12" width="40.5546875" customWidth="1"/>
    <col min="13" max="13" width="41.6640625" customWidth="1"/>
  </cols>
  <sheetData>
    <row r="1" spans="1:12">
      <c r="A1" s="4" t="s">
        <v>3</v>
      </c>
      <c r="B1" s="4" t="s">
        <v>15</v>
      </c>
      <c r="C1" s="4" t="s">
        <v>14</v>
      </c>
      <c r="D1" s="4" t="s">
        <v>13</v>
      </c>
      <c r="E1" s="4" t="s">
        <v>4</v>
      </c>
      <c r="F1" s="4" t="s">
        <v>5</v>
      </c>
      <c r="G1" s="4"/>
      <c r="H1" s="4"/>
      <c r="I1" s="4"/>
      <c r="J1" s="4"/>
      <c r="K1" s="4" t="s">
        <v>6</v>
      </c>
      <c r="L1" s="4" t="s">
        <v>7</v>
      </c>
    </row>
    <row r="2" spans="1:12">
      <c r="A2" s="1">
        <v>15</v>
      </c>
      <c r="B2" s="1" t="s">
        <v>12</v>
      </c>
      <c r="C2" s="1" t="s">
        <v>8</v>
      </c>
      <c r="D2" s="2">
        <v>36841</v>
      </c>
      <c r="E2" s="1">
        <v>679.64</v>
      </c>
      <c r="F2" s="3">
        <v>22.992000000000001</v>
      </c>
      <c r="G2" s="3">
        <v>15626.31</v>
      </c>
      <c r="H2" s="3">
        <v>15626.31</v>
      </c>
      <c r="I2" s="1">
        <v>1</v>
      </c>
      <c r="J2" s="1"/>
      <c r="K2" s="1"/>
    </row>
    <row r="3" spans="1:12">
      <c r="A3" s="1">
        <v>16</v>
      </c>
      <c r="B3" s="1" t="s">
        <v>11</v>
      </c>
      <c r="C3" s="1" t="s">
        <v>8</v>
      </c>
      <c r="D3" s="2">
        <v>41166</v>
      </c>
      <c r="E3" s="1">
        <v>547.64509999999996</v>
      </c>
      <c r="F3" s="3">
        <v>18.260000000000002</v>
      </c>
      <c r="G3" s="3">
        <v>10000</v>
      </c>
      <c r="H3" s="3">
        <v>10000</v>
      </c>
      <c r="I3" s="1">
        <v>1</v>
      </c>
      <c r="J3" s="1"/>
      <c r="K3" s="1"/>
      <c r="L3" s="1"/>
    </row>
    <row r="4" spans="1:12">
      <c r="A4" s="1">
        <v>17</v>
      </c>
      <c r="B4" s="1" t="s">
        <v>11</v>
      </c>
      <c r="C4" s="1" t="s">
        <v>8</v>
      </c>
      <c r="D4" s="2">
        <v>41377</v>
      </c>
      <c r="E4" s="5">
        <v>1010.611</v>
      </c>
      <c r="F4" s="3">
        <v>19.79</v>
      </c>
      <c r="G4" s="3">
        <v>19999.990000000002</v>
      </c>
      <c r="H4" s="3">
        <v>19999.990000000002</v>
      </c>
      <c r="I4" s="1">
        <v>1</v>
      </c>
      <c r="J4" s="1"/>
      <c r="K4" s="1"/>
      <c r="L4" s="1"/>
    </row>
    <row r="5" spans="1:12">
      <c r="A5" s="1">
        <v>23</v>
      </c>
      <c r="B5" s="1" t="s">
        <v>12</v>
      </c>
      <c r="C5" s="1" t="s">
        <v>10</v>
      </c>
      <c r="D5" s="2">
        <v>41383</v>
      </c>
      <c r="E5" s="1">
        <v>679.64</v>
      </c>
      <c r="F5" s="3">
        <v>8.11</v>
      </c>
      <c r="G5" s="3">
        <v>5511.77</v>
      </c>
      <c r="H5" s="3">
        <v>5511.77</v>
      </c>
      <c r="I5" s="1">
        <v>1</v>
      </c>
      <c r="J5" s="1"/>
      <c r="K5" s="1" t="s">
        <v>11</v>
      </c>
    </row>
    <row r="6" spans="1:12">
      <c r="A6" s="1">
        <v>24</v>
      </c>
      <c r="B6" s="1" t="s">
        <v>11</v>
      </c>
      <c r="C6" s="1" t="s">
        <v>1</v>
      </c>
      <c r="D6" s="2">
        <v>41383</v>
      </c>
      <c r="E6" s="1">
        <v>280.07</v>
      </c>
      <c r="F6" s="3">
        <v>19.68</v>
      </c>
      <c r="G6" s="3">
        <v>5511.77</v>
      </c>
      <c r="H6" s="3">
        <v>5511.77</v>
      </c>
      <c r="I6" s="1">
        <v>1</v>
      </c>
      <c r="J6" s="1"/>
      <c r="K6" s="1" t="s">
        <v>12</v>
      </c>
      <c r="L6" s="1"/>
    </row>
    <row r="7" spans="1:12">
      <c r="A7" s="1">
        <v>25</v>
      </c>
      <c r="B7" s="1" t="s">
        <v>11</v>
      </c>
      <c r="C7" s="1" t="s">
        <v>10</v>
      </c>
      <c r="D7" s="2">
        <v>41439</v>
      </c>
      <c r="E7" s="5">
        <v>1838.3261</v>
      </c>
      <c r="F7" s="3">
        <v>18.95</v>
      </c>
      <c r="G7" s="3">
        <v>34836.28</v>
      </c>
      <c r="H7" s="3">
        <v>34836.28</v>
      </c>
      <c r="I7" s="1">
        <v>1</v>
      </c>
      <c r="J7" s="1"/>
      <c r="K7" s="1"/>
      <c r="L7" s="1" t="s">
        <v>9</v>
      </c>
    </row>
    <row r="8" spans="1:12">
      <c r="A8" s="1">
        <v>26</v>
      </c>
      <c r="B8" s="1" t="s">
        <v>9</v>
      </c>
      <c r="C8" s="1" t="s">
        <v>1</v>
      </c>
      <c r="D8" s="2">
        <v>41439</v>
      </c>
      <c r="E8" s="1">
        <v>249.34710000000001</v>
      </c>
      <c r="F8" s="3">
        <v>139.71</v>
      </c>
      <c r="G8" s="3">
        <v>34836.28</v>
      </c>
      <c r="H8" s="3">
        <v>34836.28</v>
      </c>
      <c r="I8" s="1">
        <v>1</v>
      </c>
      <c r="J8" s="1"/>
      <c r="K8" s="1" t="s">
        <v>11</v>
      </c>
      <c r="L8" s="1"/>
    </row>
    <row r="9" spans="1:12">
      <c r="A9" s="1">
        <v>27</v>
      </c>
      <c r="B9" s="1" t="s">
        <v>2</v>
      </c>
      <c r="C9" s="1" t="s">
        <v>8</v>
      </c>
      <c r="D9" s="2">
        <v>41521</v>
      </c>
      <c r="E9" s="1">
        <v>58.502000000000002</v>
      </c>
      <c r="F9" s="3">
        <v>17.093</v>
      </c>
      <c r="G9" s="3">
        <v>999.99</v>
      </c>
      <c r="H9" s="3">
        <v>999.99</v>
      </c>
      <c r="I9" s="1">
        <v>1</v>
      </c>
      <c r="J9" s="1"/>
      <c r="K9" s="1"/>
      <c r="L9" s="1"/>
    </row>
    <row r="10" spans="1:12">
      <c r="A10" s="1">
        <v>28</v>
      </c>
      <c r="B10" s="1" t="s">
        <v>9</v>
      </c>
      <c r="C10" s="1" t="s">
        <v>10</v>
      </c>
      <c r="D10" s="2">
        <v>41794</v>
      </c>
      <c r="E10" s="1">
        <v>249</v>
      </c>
      <c r="F10" s="3">
        <v>172.04</v>
      </c>
      <c r="G10" s="3">
        <v>42837.96</v>
      </c>
      <c r="H10" s="3">
        <v>42837.96</v>
      </c>
      <c r="I10" s="1">
        <v>1</v>
      </c>
      <c r="J10" s="1"/>
      <c r="K10" s="1"/>
      <c r="L10" s="1" t="s">
        <v>2</v>
      </c>
    </row>
    <row r="11" spans="1:12">
      <c r="A11" s="1">
        <v>29</v>
      </c>
      <c r="B11" s="1" t="s">
        <v>2</v>
      </c>
      <c r="C11" s="1" t="s">
        <v>1</v>
      </c>
      <c r="D11" s="2">
        <v>41794</v>
      </c>
      <c r="E11" s="5">
        <v>2347.326</v>
      </c>
      <c r="F11" s="3">
        <v>18.25</v>
      </c>
      <c r="G11" s="3">
        <v>42837.96</v>
      </c>
      <c r="H11" s="3">
        <v>42837.96</v>
      </c>
      <c r="I11" s="1">
        <v>1</v>
      </c>
      <c r="J11" s="1"/>
      <c r="K11" s="1" t="s">
        <v>9</v>
      </c>
      <c r="L11" s="1"/>
    </row>
    <row r="12" spans="1:12">
      <c r="A12" s="1">
        <v>30</v>
      </c>
      <c r="B12" s="1" t="s">
        <v>2</v>
      </c>
      <c r="C12" s="1" t="s">
        <v>10</v>
      </c>
      <c r="D12" s="2">
        <v>41971</v>
      </c>
      <c r="E12" s="5">
        <v>2404</v>
      </c>
      <c r="F12" s="3">
        <v>18.524999999999999</v>
      </c>
      <c r="G12" s="3">
        <v>44532.91</v>
      </c>
      <c r="H12" s="3">
        <v>44532.91</v>
      </c>
      <c r="I12" s="1">
        <v>1</v>
      </c>
      <c r="J12" s="1"/>
      <c r="K12" s="1"/>
      <c r="L12" s="1" t="s">
        <v>9</v>
      </c>
    </row>
    <row r="13" spans="1:12">
      <c r="A13" s="1">
        <v>31</v>
      </c>
      <c r="B13" s="1" t="s">
        <v>9</v>
      </c>
      <c r="C13" s="1" t="s">
        <v>1</v>
      </c>
      <c r="D13" s="2">
        <v>41976</v>
      </c>
      <c r="E13" s="1">
        <v>264.18049999999999</v>
      </c>
      <c r="F13" s="3">
        <v>168.57</v>
      </c>
      <c r="G13" s="3">
        <v>44532.91</v>
      </c>
      <c r="H13" s="3">
        <v>44532.91</v>
      </c>
      <c r="I13" s="1">
        <v>1</v>
      </c>
      <c r="J13" s="1"/>
      <c r="K13" s="1" t="s">
        <v>2</v>
      </c>
      <c r="L13" s="1"/>
    </row>
    <row r="14" spans="1:12">
      <c r="A14" s="1">
        <v>91</v>
      </c>
      <c r="B14" s="1" t="s">
        <v>9</v>
      </c>
      <c r="C14" s="1" t="s">
        <v>10</v>
      </c>
      <c r="D14" s="2">
        <v>42201</v>
      </c>
      <c r="E14" s="1">
        <v>259.52999999999997</v>
      </c>
      <c r="F14" s="3">
        <v>207.11</v>
      </c>
      <c r="G14" s="3">
        <v>53751.26</v>
      </c>
      <c r="H14" s="3">
        <v>53751.26</v>
      </c>
      <c r="I14" s="1">
        <v>1</v>
      </c>
      <c r="J14" s="1"/>
      <c r="K14" s="1"/>
      <c r="L14" s="1" t="s">
        <v>2</v>
      </c>
    </row>
    <row r="15" spans="1:12">
      <c r="A15" s="1">
        <v>92</v>
      </c>
      <c r="B15" s="1" t="s">
        <v>2</v>
      </c>
      <c r="C15" s="1" t="s">
        <v>1</v>
      </c>
      <c r="D15" s="2">
        <v>42202</v>
      </c>
      <c r="E15" s="5">
        <v>2922.36</v>
      </c>
      <c r="F15" s="3">
        <v>18.393000000000001</v>
      </c>
      <c r="G15" s="3">
        <v>53751.26</v>
      </c>
      <c r="H15" s="3">
        <v>53751.26</v>
      </c>
      <c r="I15" s="1">
        <v>1</v>
      </c>
      <c r="J15" s="1"/>
      <c r="K15" s="1" t="s">
        <v>9</v>
      </c>
      <c r="L15" s="1"/>
    </row>
    <row r="16" spans="1:12">
      <c r="A16" s="1">
        <v>100</v>
      </c>
      <c r="B16" s="1" t="s">
        <v>2</v>
      </c>
      <c r="C16" s="1" t="s">
        <v>10</v>
      </c>
      <c r="D16" s="2">
        <v>42279</v>
      </c>
      <c r="E16" s="5">
        <v>2879.2429999999999</v>
      </c>
      <c r="F16" s="3">
        <v>18.062999999999999</v>
      </c>
      <c r="G16" s="3">
        <v>52008.35</v>
      </c>
      <c r="H16" s="3">
        <v>52008.35</v>
      </c>
      <c r="I16" s="1">
        <v>1</v>
      </c>
      <c r="J16" s="1"/>
      <c r="K16" s="1"/>
      <c r="L16" s="1" t="s">
        <v>0</v>
      </c>
    </row>
    <row r="17" spans="1:11">
      <c r="A17" s="1">
        <v>101</v>
      </c>
      <c r="B17" s="1" t="s">
        <v>0</v>
      </c>
      <c r="C17" s="1" t="s">
        <v>1</v>
      </c>
      <c r="D17" s="2">
        <v>42279</v>
      </c>
      <c r="E17" s="1">
        <v>160.75280000000001</v>
      </c>
      <c r="F17" s="3">
        <v>323.52999999999997</v>
      </c>
      <c r="G17" s="3">
        <v>52008.35</v>
      </c>
      <c r="H17" s="3">
        <v>52008.35</v>
      </c>
      <c r="I17" s="1">
        <v>1</v>
      </c>
      <c r="J17" s="1"/>
      <c r="K17" s="1" t="s">
        <v>2</v>
      </c>
    </row>
  </sheetData>
  <sortState ref="A2:L17">
    <sortCondition ref="A2:A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"/>
  <sheetViews>
    <sheetView topLeftCell="C1" zoomScaleNormal="100" workbookViewId="0">
      <pane ySplit="1" topLeftCell="A2" activePane="bottomLeft" state="frozen"/>
      <selection pane="bottomLeft" activeCell="K28" sqref="K28:L31"/>
    </sheetView>
  </sheetViews>
  <sheetFormatPr defaultRowHeight="14.4"/>
  <cols>
    <col min="2" max="2" width="11.109375" style="9" bestFit="1" customWidth="1"/>
    <col min="3" max="3" width="4.33203125" customWidth="1"/>
    <col min="4" max="4" width="39.21875" customWidth="1"/>
    <col min="5" max="5" width="10.33203125" customWidth="1"/>
    <col min="6" max="6" width="10.88671875" customWidth="1"/>
    <col min="7" max="7" width="10.44140625" bestFit="1" customWidth="1"/>
    <col min="8" max="8" width="10.44140625" customWidth="1"/>
    <col min="9" max="9" width="9.77734375" customWidth="1"/>
    <col min="10" max="10" width="11.109375" customWidth="1"/>
    <col min="11" max="11" width="9.6640625" style="6" bestFit="1" customWidth="1"/>
    <col min="12" max="12" width="5.77734375" style="6" customWidth="1"/>
    <col min="13" max="13" width="35.5546875" customWidth="1"/>
    <col min="14" max="14" width="40.5546875" customWidth="1"/>
    <col min="15" max="15" width="41.6640625" customWidth="1"/>
  </cols>
  <sheetData>
    <row r="1" spans="1:14">
      <c r="C1" s="4" t="s">
        <v>3</v>
      </c>
      <c r="D1" s="4" t="s">
        <v>15</v>
      </c>
      <c r="E1" s="4" t="s">
        <v>14</v>
      </c>
      <c r="F1" s="4" t="s">
        <v>13</v>
      </c>
      <c r="G1" s="4" t="s">
        <v>4</v>
      </c>
      <c r="H1" s="37" t="s">
        <v>34</v>
      </c>
      <c r="I1" s="4" t="s">
        <v>5</v>
      </c>
      <c r="J1" s="4"/>
      <c r="K1" s="7" t="s">
        <v>16</v>
      </c>
      <c r="L1" s="7" t="s">
        <v>33</v>
      </c>
      <c r="M1" s="4" t="s">
        <v>6</v>
      </c>
      <c r="N1" s="4" t="s">
        <v>7</v>
      </c>
    </row>
    <row r="2" spans="1:14" ht="14.4" customHeight="1">
      <c r="A2">
        <v>679.64</v>
      </c>
      <c r="B2" s="9">
        <v>679.64</v>
      </c>
      <c r="C2" s="1">
        <v>15</v>
      </c>
      <c r="D2" s="1" t="s">
        <v>12</v>
      </c>
      <c r="E2" s="1" t="s">
        <v>8</v>
      </c>
      <c r="F2" s="2">
        <v>36841</v>
      </c>
      <c r="G2" s="5">
        <v>679.64</v>
      </c>
      <c r="H2" s="35">
        <f>I2</f>
        <v>22.992000000000001</v>
      </c>
      <c r="I2" s="3">
        <v>22.992000000000001</v>
      </c>
      <c r="J2" s="3">
        <f>G2*I2</f>
        <v>15626.282880000001</v>
      </c>
      <c r="K2" s="8">
        <f>G2</f>
        <v>679.64</v>
      </c>
      <c r="L2" s="1"/>
      <c r="M2" s="1"/>
    </row>
    <row r="3" spans="1:14">
      <c r="A3">
        <v>547.645126</v>
      </c>
      <c r="B3" s="9">
        <v>547.645126</v>
      </c>
      <c r="C3" s="1">
        <v>16</v>
      </c>
      <c r="D3" s="1" t="s">
        <v>11</v>
      </c>
      <c r="E3" s="1" t="s">
        <v>8</v>
      </c>
      <c r="F3" s="2">
        <v>41166</v>
      </c>
      <c r="G3" s="5">
        <v>547.64509999999996</v>
      </c>
      <c r="H3" s="35">
        <f>I3</f>
        <v>18.260000000000002</v>
      </c>
      <c r="I3" s="3">
        <v>18.260000000000002</v>
      </c>
      <c r="J3" s="3">
        <f t="shared" ref="J3:J17" si="0">G3*I3</f>
        <v>9999.9995259999996</v>
      </c>
      <c r="K3" s="8">
        <f>G3</f>
        <v>547.64509999999996</v>
      </c>
      <c r="L3" s="1"/>
      <c r="M3" s="1"/>
      <c r="N3" s="1"/>
    </row>
    <row r="4" spans="1:14">
      <c r="A4">
        <v>1010.611</v>
      </c>
      <c r="B4" s="9">
        <v>1010.611</v>
      </c>
      <c r="C4" s="1">
        <v>17</v>
      </c>
      <c r="D4" s="1" t="s">
        <v>11</v>
      </c>
      <c r="E4" s="1" t="s">
        <v>8</v>
      </c>
      <c r="F4" s="2">
        <v>41377</v>
      </c>
      <c r="G4" s="5">
        <v>1010.611</v>
      </c>
      <c r="H4" s="35">
        <f>I4</f>
        <v>19.79</v>
      </c>
      <c r="I4" s="3">
        <v>19.79</v>
      </c>
      <c r="J4" s="3">
        <f t="shared" si="0"/>
        <v>19999.991689999999</v>
      </c>
      <c r="K4" s="8">
        <f>K3+G4</f>
        <v>1558.2561000000001</v>
      </c>
      <c r="L4" s="1"/>
      <c r="M4" s="1"/>
      <c r="N4" s="1"/>
    </row>
    <row r="5" spans="1:14" ht="18.600000000000001" customHeight="1">
      <c r="C5" s="1">
        <v>23</v>
      </c>
      <c r="D5" s="1" t="s">
        <v>12</v>
      </c>
      <c r="E5" s="1" t="s">
        <v>10</v>
      </c>
      <c r="F5" s="2">
        <v>41383</v>
      </c>
      <c r="G5" s="5">
        <v>679.64</v>
      </c>
      <c r="H5" s="36">
        <f>H2</f>
        <v>22.992000000000001</v>
      </c>
      <c r="I5" s="3">
        <v>8.11</v>
      </c>
      <c r="J5" s="3">
        <f t="shared" si="0"/>
        <v>5511.8803999999991</v>
      </c>
      <c r="K5" s="8">
        <v>0</v>
      </c>
      <c r="L5" s="1"/>
      <c r="N5" s="1" t="s">
        <v>11</v>
      </c>
    </row>
    <row r="6" spans="1:14" ht="18.600000000000001" customHeight="1">
      <c r="C6" s="1">
        <v>24</v>
      </c>
      <c r="D6" s="1" t="s">
        <v>11</v>
      </c>
      <c r="E6" s="1" t="s">
        <v>1</v>
      </c>
      <c r="F6" s="2">
        <v>41383</v>
      </c>
      <c r="G6" s="5">
        <v>280.07</v>
      </c>
      <c r="H6" s="31">
        <f>I2*G5/G6</f>
        <v>55.794204591709217</v>
      </c>
      <c r="I6" s="3">
        <v>19.68</v>
      </c>
      <c r="J6" s="3">
        <f t="shared" si="0"/>
        <v>5511.7775999999994</v>
      </c>
      <c r="K6" s="8">
        <f>K4+G6</f>
        <v>1838.3261</v>
      </c>
      <c r="L6" s="1">
        <v>23</v>
      </c>
      <c r="M6" s="1" t="s">
        <v>12</v>
      </c>
      <c r="N6" s="1"/>
    </row>
    <row r="7" spans="1:14">
      <c r="C7" s="1">
        <v>25</v>
      </c>
      <c r="D7" s="1" t="s">
        <v>11</v>
      </c>
      <c r="E7" s="1" t="s">
        <v>10</v>
      </c>
      <c r="F7" s="2">
        <v>41439</v>
      </c>
      <c r="G7" s="5">
        <v>1838.3261</v>
      </c>
      <c r="H7" s="36">
        <f>(H3*G3+H4*G4+H6*G6)/(G3+G4+G6)</f>
        <v>24.819467066262074</v>
      </c>
      <c r="I7" s="3">
        <v>18.95</v>
      </c>
      <c r="J7" s="3">
        <f t="shared" si="0"/>
        <v>34836.279595</v>
      </c>
      <c r="K7" s="8">
        <f>K6-G7</f>
        <v>0</v>
      </c>
      <c r="L7" s="1"/>
      <c r="M7" s="1"/>
      <c r="N7" s="1" t="s">
        <v>9</v>
      </c>
    </row>
    <row r="8" spans="1:14">
      <c r="C8" s="1">
        <v>26</v>
      </c>
      <c r="D8" s="1" t="s">
        <v>9</v>
      </c>
      <c r="E8" s="1" t="s">
        <v>1</v>
      </c>
      <c r="F8" s="2">
        <v>41439</v>
      </c>
      <c r="G8" s="5">
        <v>249.34710000000001</v>
      </c>
      <c r="H8" s="31">
        <f>H7*G7/G8</f>
        <v>182.98297472078079</v>
      </c>
      <c r="I8" s="3">
        <v>139.71</v>
      </c>
      <c r="J8" s="3">
        <f t="shared" si="0"/>
        <v>34836.283341000002</v>
      </c>
      <c r="K8" s="8">
        <f>G8</f>
        <v>249.34710000000001</v>
      </c>
      <c r="L8" s="1">
        <v>25</v>
      </c>
      <c r="M8" s="1" t="s">
        <v>11</v>
      </c>
      <c r="N8" s="1"/>
    </row>
    <row r="9" spans="1:14">
      <c r="A9">
        <v>58.502000000000002</v>
      </c>
      <c r="B9" s="9">
        <v>58.502000000000002</v>
      </c>
      <c r="C9" s="1">
        <v>27</v>
      </c>
      <c r="D9" s="1" t="s">
        <v>2</v>
      </c>
      <c r="E9" s="1" t="s">
        <v>8</v>
      </c>
      <c r="F9" s="2">
        <v>41521</v>
      </c>
      <c r="G9" s="5">
        <v>58.502000000000002</v>
      </c>
      <c r="H9" s="35">
        <f>I9</f>
        <v>17.093</v>
      </c>
      <c r="I9" s="3">
        <v>17.093</v>
      </c>
      <c r="J9" s="3">
        <f t="shared" si="0"/>
        <v>999.97468600000002</v>
      </c>
      <c r="K9" s="8">
        <f>G9</f>
        <v>58.502000000000002</v>
      </c>
      <c r="L9" s="1"/>
      <c r="M9" s="1"/>
      <c r="N9" s="1"/>
    </row>
    <row r="10" spans="1:14">
      <c r="C10" s="1">
        <v>28</v>
      </c>
      <c r="D10" s="1" t="s">
        <v>9</v>
      </c>
      <c r="E10" s="1" t="s">
        <v>10</v>
      </c>
      <c r="F10" s="2">
        <v>41794</v>
      </c>
      <c r="G10" s="5">
        <v>249</v>
      </c>
      <c r="H10" s="36">
        <f>H8</f>
        <v>182.98297472078079</v>
      </c>
      <c r="I10" s="3">
        <v>172.04</v>
      </c>
      <c r="J10" s="3">
        <f t="shared" si="0"/>
        <v>42837.96</v>
      </c>
      <c r="K10" s="8">
        <f>K8-G10</f>
        <v>0.34710000000001173</v>
      </c>
      <c r="L10" s="1"/>
      <c r="M10" s="1"/>
      <c r="N10" s="1" t="s">
        <v>2</v>
      </c>
    </row>
    <row r="11" spans="1:14">
      <c r="C11" s="1">
        <v>29</v>
      </c>
      <c r="D11" s="1" t="s">
        <v>2</v>
      </c>
      <c r="E11" s="1" t="s">
        <v>1</v>
      </c>
      <c r="F11" s="2">
        <v>41794</v>
      </c>
      <c r="G11" s="5">
        <v>2347.326</v>
      </c>
      <c r="H11" s="31">
        <f>H10*G10/G11</f>
        <v>19.410495476757134</v>
      </c>
      <c r="I11" s="3">
        <v>18.25</v>
      </c>
      <c r="J11" s="3">
        <f t="shared" si="0"/>
        <v>42838.699500000002</v>
      </c>
      <c r="K11" s="8">
        <f>K9+G11</f>
        <v>2405.828</v>
      </c>
      <c r="L11" s="1">
        <v>28</v>
      </c>
      <c r="M11" s="1" t="s">
        <v>9</v>
      </c>
      <c r="N11" s="1"/>
    </row>
    <row r="12" spans="1:14">
      <c r="C12" s="1">
        <v>30</v>
      </c>
      <c r="D12" s="1" t="s">
        <v>2</v>
      </c>
      <c r="E12" s="1" t="s">
        <v>10</v>
      </c>
      <c r="F12" s="2">
        <v>41971</v>
      </c>
      <c r="G12" s="5">
        <v>2404</v>
      </c>
      <c r="H12" s="36">
        <f>(H9*G9+H11*G11)/(G9+G11)</f>
        <v>19.35414143965172</v>
      </c>
      <c r="I12" s="3">
        <v>18.524999999999999</v>
      </c>
      <c r="J12" s="3">
        <f t="shared" si="0"/>
        <v>44534.1</v>
      </c>
      <c r="K12" s="8">
        <f>K11-G12</f>
        <v>1.8279999999999745</v>
      </c>
      <c r="L12" s="1"/>
      <c r="M12" s="1"/>
      <c r="N12" s="1" t="s">
        <v>9</v>
      </c>
    </row>
    <row r="13" spans="1:14">
      <c r="C13" s="1">
        <v>31</v>
      </c>
      <c r="D13" s="1" t="s">
        <v>9</v>
      </c>
      <c r="E13" s="1" t="s">
        <v>1</v>
      </c>
      <c r="F13" s="2">
        <v>41976</v>
      </c>
      <c r="G13" s="5">
        <v>264.18049999999999</v>
      </c>
      <c r="H13" s="31">
        <f>H12*G12/G13</f>
        <v>176.11956984305328</v>
      </c>
      <c r="I13" s="3">
        <v>168.57</v>
      </c>
      <c r="J13" s="3">
        <f t="shared" si="0"/>
        <v>44532.906884999997</v>
      </c>
      <c r="K13" s="8">
        <f>K10+G13</f>
        <v>264.52760000000001</v>
      </c>
      <c r="L13" s="1">
        <v>30</v>
      </c>
      <c r="M13" s="1" t="s">
        <v>2</v>
      </c>
      <c r="N13" s="1"/>
    </row>
    <row r="14" spans="1:14">
      <c r="C14" s="1">
        <v>91</v>
      </c>
      <c r="D14" s="1" t="s">
        <v>9</v>
      </c>
      <c r="E14" s="1" t="s">
        <v>10</v>
      </c>
      <c r="F14" s="2">
        <v>42201</v>
      </c>
      <c r="G14" s="5">
        <v>259.52999999999997</v>
      </c>
      <c r="H14" s="36">
        <f>H13</f>
        <v>176.11956984305328</v>
      </c>
      <c r="I14" s="3">
        <v>207.11</v>
      </c>
      <c r="J14" s="3">
        <f t="shared" si="0"/>
        <v>53751.258300000001</v>
      </c>
      <c r="K14" s="8">
        <f>K13-G14</f>
        <v>4.997600000000034</v>
      </c>
      <c r="L14" s="1"/>
      <c r="M14" s="1"/>
      <c r="N14" s="1" t="s">
        <v>2</v>
      </c>
    </row>
    <row r="15" spans="1:14">
      <c r="C15" s="1">
        <v>92</v>
      </c>
      <c r="D15" s="1" t="s">
        <v>2</v>
      </c>
      <c r="E15" s="1" t="s">
        <v>1</v>
      </c>
      <c r="F15" s="2">
        <v>42202</v>
      </c>
      <c r="G15" s="5">
        <v>2922.36</v>
      </c>
      <c r="H15" s="31">
        <f>H14*G14/G15</f>
        <v>15.640890226175973</v>
      </c>
      <c r="I15" s="3">
        <v>18.393000000000001</v>
      </c>
      <c r="J15" s="3">
        <f t="shared" si="0"/>
        <v>53750.967480000007</v>
      </c>
      <c r="K15" s="8">
        <f>K12+G15</f>
        <v>2924.1880000000001</v>
      </c>
      <c r="L15" s="1">
        <v>91</v>
      </c>
      <c r="M15" s="1" t="s">
        <v>9</v>
      </c>
      <c r="N15" s="1"/>
    </row>
    <row r="16" spans="1:14">
      <c r="C16" s="1">
        <v>100</v>
      </c>
      <c r="D16" s="1" t="s">
        <v>2</v>
      </c>
      <c r="E16" s="1" t="s">
        <v>10</v>
      </c>
      <c r="F16" s="2">
        <v>42279</v>
      </c>
      <c r="G16" s="5">
        <v>2879.2429999999999</v>
      </c>
      <c r="H16" s="36">
        <f>H15</f>
        <v>15.640890226175973</v>
      </c>
      <c r="I16" s="3">
        <v>18.062999999999999</v>
      </c>
      <c r="J16" s="3">
        <f t="shared" si="0"/>
        <v>52007.766308999999</v>
      </c>
      <c r="K16" s="8">
        <f>K15-G16</f>
        <v>44.945000000000164</v>
      </c>
      <c r="L16" s="1"/>
      <c r="M16" s="1"/>
      <c r="N16" s="1" t="s">
        <v>0</v>
      </c>
    </row>
    <row r="17" spans="2:13">
      <c r="B17" s="9">
        <v>280.14357000000001</v>
      </c>
      <c r="C17" s="1">
        <v>101</v>
      </c>
      <c r="D17" s="1" t="s">
        <v>0</v>
      </c>
      <c r="E17" s="1" t="s">
        <v>1</v>
      </c>
      <c r="F17" s="2">
        <v>42279</v>
      </c>
      <c r="G17" s="5">
        <v>160.75280000000001</v>
      </c>
      <c r="H17" s="31">
        <f>H16*G16/G17</f>
        <v>280.14394584408848</v>
      </c>
      <c r="I17" s="3">
        <v>323.52999999999997</v>
      </c>
      <c r="J17" s="3">
        <f t="shared" si="0"/>
        <v>52008.353383999995</v>
      </c>
      <c r="K17" s="8">
        <f>G17</f>
        <v>160.75280000000001</v>
      </c>
      <c r="L17" s="1">
        <v>100</v>
      </c>
      <c r="M17" s="1" t="s">
        <v>2</v>
      </c>
    </row>
    <row r="18" spans="2:13">
      <c r="C18" s="1"/>
      <c r="D18" s="1"/>
      <c r="E18" s="1"/>
      <c r="F18" s="2"/>
      <c r="G18" s="5"/>
      <c r="H18" s="5"/>
      <c r="I18" s="3"/>
      <c r="J18" s="3"/>
      <c r="L18" s="1"/>
      <c r="M18" s="1"/>
    </row>
    <row r="19" spans="2:13">
      <c r="C19" s="1"/>
      <c r="D19" s="1"/>
      <c r="E19" s="109" t="s">
        <v>28</v>
      </c>
      <c r="F19" s="109"/>
      <c r="G19" s="17"/>
      <c r="H19" s="38"/>
      <c r="I19" s="3"/>
      <c r="L19" s="1"/>
      <c r="M19" s="1"/>
    </row>
    <row r="20" spans="2:13">
      <c r="E20" s="18" t="s">
        <v>17</v>
      </c>
      <c r="F20" s="16" t="s">
        <v>18</v>
      </c>
      <c r="G20" s="16" t="s">
        <v>27</v>
      </c>
      <c r="H20" s="42">
        <f>(H11*K12+G15*H15)/(K12+G15)</f>
        <v>15.643246722542848</v>
      </c>
    </row>
    <row r="21" spans="2:13" ht="15" thickBot="1">
      <c r="C21" s="10">
        <v>15</v>
      </c>
      <c r="D21" s="10" t="s">
        <v>12</v>
      </c>
      <c r="E21" s="11">
        <v>679.64</v>
      </c>
      <c r="G21" s="13">
        <f>I2</f>
        <v>22.992000000000001</v>
      </c>
      <c r="H21" s="13"/>
      <c r="M21" s="15"/>
    </row>
    <row r="22" spans="2:13" ht="15" thickBot="1">
      <c r="C22" s="10">
        <v>16</v>
      </c>
      <c r="D22" s="10" t="s">
        <v>11</v>
      </c>
      <c r="E22" s="11">
        <v>547.64509999999996</v>
      </c>
      <c r="G22" s="13">
        <f>I3</f>
        <v>18.260000000000002</v>
      </c>
      <c r="H22" s="13"/>
      <c r="K22" s="25" t="s">
        <v>38</v>
      </c>
      <c r="L22" s="26"/>
      <c r="M22" s="27"/>
    </row>
    <row r="23" spans="2:13">
      <c r="C23" s="10">
        <v>17</v>
      </c>
      <c r="D23" s="10" t="s">
        <v>11</v>
      </c>
      <c r="E23" s="11">
        <v>1010.611</v>
      </c>
      <c r="G23" s="13">
        <f>I4</f>
        <v>19.79</v>
      </c>
      <c r="H23" s="13"/>
      <c r="K23" s="32">
        <f>G7</f>
        <v>1838.3261</v>
      </c>
      <c r="L23" s="23" t="s">
        <v>35</v>
      </c>
      <c r="M23" s="24"/>
    </row>
    <row r="24" spans="2:13">
      <c r="C24">
        <v>23</v>
      </c>
      <c r="D24" t="s">
        <v>12</v>
      </c>
      <c r="F24" s="6">
        <v>679.64</v>
      </c>
      <c r="G24" s="14">
        <f>G21</f>
        <v>22.992000000000001</v>
      </c>
      <c r="H24" s="14"/>
      <c r="I24" s="12" t="s">
        <v>24</v>
      </c>
      <c r="J24" t="s">
        <v>26</v>
      </c>
      <c r="K24" s="33">
        <f>(H3*G3+H4*G4+H6*G6)/NumPartVenda</f>
        <v>24.819467066262074</v>
      </c>
      <c r="L24" s="23" t="s">
        <v>36</v>
      </c>
      <c r="M24" s="24"/>
    </row>
    <row r="25" spans="2:13" ht="15" thickBot="1">
      <c r="C25">
        <v>24</v>
      </c>
      <c r="D25" t="s">
        <v>11</v>
      </c>
      <c r="E25" s="6">
        <v>280.07</v>
      </c>
      <c r="G25" s="14">
        <f>F24*G24/E25</f>
        <v>55.794204591709217</v>
      </c>
      <c r="H25" s="14"/>
      <c r="K25" s="34">
        <f>G8</f>
        <v>249.34710000000001</v>
      </c>
      <c r="L25" s="23" t="s">
        <v>37</v>
      </c>
      <c r="M25" s="24"/>
    </row>
    <row r="26" spans="2:13" ht="15" thickBot="1">
      <c r="C26">
        <v>25</v>
      </c>
      <c r="D26" t="s">
        <v>11</v>
      </c>
      <c r="F26" s="6">
        <v>1838.3261</v>
      </c>
      <c r="G26" s="14">
        <f>((E22*G22)+(E23*G23)+(E21*G21))/F26</f>
        <v>24.819467066262074</v>
      </c>
      <c r="H26" s="14"/>
      <c r="I26" t="s">
        <v>22</v>
      </c>
      <c r="J26" t="s">
        <v>26</v>
      </c>
      <c r="K26" s="30">
        <f>NumPartVenda*PreuUnitOrig/NumPartCompra</f>
        <v>182.98297472078079</v>
      </c>
      <c r="L26" s="28" t="s">
        <v>39</v>
      </c>
      <c r="M26" s="29"/>
    </row>
    <row r="27" spans="2:13">
      <c r="C27">
        <v>26</v>
      </c>
      <c r="D27" t="s">
        <v>9</v>
      </c>
      <c r="E27" s="6">
        <v>249.34710000000001</v>
      </c>
      <c r="G27" s="14">
        <f>F26*G26/E27</f>
        <v>182.98297472078079</v>
      </c>
      <c r="H27" s="14"/>
      <c r="M27" s="15"/>
    </row>
    <row r="28" spans="2:13">
      <c r="C28" s="10">
        <v>27</v>
      </c>
      <c r="D28" s="10" t="s">
        <v>2</v>
      </c>
      <c r="E28" s="11">
        <v>58.502000000000002</v>
      </c>
      <c r="G28" s="13">
        <f>I9</f>
        <v>17.093</v>
      </c>
      <c r="H28" s="13"/>
      <c r="K28" s="11" t="s">
        <v>8</v>
      </c>
      <c r="L28" s="11" t="s">
        <v>43</v>
      </c>
      <c r="M28" s="15"/>
    </row>
    <row r="29" spans="2:13">
      <c r="C29">
        <v>28</v>
      </c>
      <c r="D29" t="s">
        <v>9</v>
      </c>
      <c r="F29" s="6">
        <v>249</v>
      </c>
      <c r="G29" s="14">
        <f>G27</f>
        <v>182.98297472078079</v>
      </c>
      <c r="H29" s="14"/>
      <c r="I29" s="12" t="s">
        <v>21</v>
      </c>
      <c r="J29" t="s">
        <v>25</v>
      </c>
      <c r="K29" s="11" t="s">
        <v>40</v>
      </c>
      <c r="L29" s="11" t="s">
        <v>44</v>
      </c>
      <c r="M29" s="15"/>
    </row>
    <row r="30" spans="2:13">
      <c r="C30">
        <v>29</v>
      </c>
      <c r="D30" t="s">
        <v>2</v>
      </c>
      <c r="E30" s="6">
        <v>2347.326</v>
      </c>
      <c r="G30" s="14">
        <f>F29*G29/E30</f>
        <v>19.410495476757134</v>
      </c>
      <c r="H30" s="14"/>
      <c r="K30" s="11" t="s">
        <v>41</v>
      </c>
      <c r="L30" s="11" t="s">
        <v>45</v>
      </c>
      <c r="M30" s="15"/>
    </row>
    <row r="31" spans="2:13">
      <c r="C31">
        <v>30</v>
      </c>
      <c r="D31" t="s">
        <v>2</v>
      </c>
      <c r="F31" s="6">
        <v>2404</v>
      </c>
      <c r="G31" s="14">
        <f>G30</f>
        <v>19.410495476757134</v>
      </c>
      <c r="H31" s="14"/>
      <c r="I31" t="s">
        <v>23</v>
      </c>
      <c r="J31" t="s">
        <v>25</v>
      </c>
      <c r="K31" s="11" t="s">
        <v>42</v>
      </c>
      <c r="L31" s="11" t="s">
        <v>46</v>
      </c>
    </row>
    <row r="32" spans="2:13">
      <c r="C32">
        <v>31</v>
      </c>
      <c r="D32" t="s">
        <v>9</v>
      </c>
      <c r="E32" s="6">
        <v>264.18049999999999</v>
      </c>
      <c r="G32" s="14">
        <f>F31*G31/E32</f>
        <v>176.6323825040991</v>
      </c>
      <c r="H32" s="14"/>
      <c r="M32" s="15"/>
    </row>
    <row r="33" spans="3:12">
      <c r="C33">
        <v>91</v>
      </c>
      <c r="D33" t="s">
        <v>9</v>
      </c>
      <c r="F33" s="6">
        <v>259.52999999999997</v>
      </c>
      <c r="G33" s="14">
        <f>G32</f>
        <v>176.6323825040991</v>
      </c>
      <c r="H33" s="14"/>
      <c r="I33" s="12" t="s">
        <v>20</v>
      </c>
      <c r="J33" t="s">
        <v>25</v>
      </c>
    </row>
    <row r="34" spans="3:12">
      <c r="C34">
        <v>92</v>
      </c>
      <c r="D34" t="s">
        <v>2</v>
      </c>
      <c r="E34" s="5">
        <v>2922.36</v>
      </c>
      <c r="F34" s="5"/>
      <c r="G34" s="14">
        <f>F33*G33/E34</f>
        <v>15.686432277778518</v>
      </c>
      <c r="H34" s="14"/>
    </row>
    <row r="35" spans="3:12">
      <c r="C35">
        <v>100</v>
      </c>
      <c r="D35" t="s">
        <v>2</v>
      </c>
      <c r="E35" s="5"/>
      <c r="F35" s="5">
        <v>2879.2429999999999</v>
      </c>
      <c r="G35" s="14">
        <f>G34</f>
        <v>15.686432277778518</v>
      </c>
      <c r="H35" s="14"/>
      <c r="I35" s="12" t="s">
        <v>19</v>
      </c>
      <c r="J35" t="s">
        <v>25</v>
      </c>
    </row>
    <row r="36" spans="3:12">
      <c r="C36">
        <v>101</v>
      </c>
      <c r="D36" t="s">
        <v>0</v>
      </c>
      <c r="E36" s="5">
        <v>160.75</v>
      </c>
      <c r="F36" s="5"/>
      <c r="G36" s="14">
        <f>G35*F35/E36</f>
        <v>280.96454327071757</v>
      </c>
      <c r="H36" s="14"/>
    </row>
    <row r="37" spans="3:12">
      <c r="C37">
        <v>101</v>
      </c>
      <c r="D37" t="s">
        <v>0</v>
      </c>
      <c r="E37" s="5">
        <v>160.75280000000001</v>
      </c>
      <c r="F37" s="5"/>
      <c r="G37" s="14">
        <f>G36*F36/E37</f>
        <v>0</v>
      </c>
      <c r="H37" s="14"/>
    </row>
    <row r="38" spans="3:12">
      <c r="E38" s="15"/>
      <c r="G38" s="15"/>
      <c r="H38" s="15"/>
    </row>
    <row r="39" spans="3:12" ht="15" thickBot="1">
      <c r="E39" s="19" t="s">
        <v>32</v>
      </c>
      <c r="F39" s="4" t="s">
        <v>31</v>
      </c>
      <c r="G39" s="15"/>
      <c r="H39" s="15"/>
    </row>
    <row r="40" spans="3:12" ht="15.6" thickTop="1" thickBot="1">
      <c r="F40" s="21">
        <v>24.740500000000001</v>
      </c>
      <c r="G40">
        <f>F40/E36</f>
        <v>0.15390668740279939</v>
      </c>
    </row>
    <row r="41" spans="3:12" ht="15.6" thickTop="1" thickBot="1">
      <c r="D41">
        <v>101</v>
      </c>
      <c r="E41">
        <f>E36/F35</f>
        <v>5.5830647152741192E-2</v>
      </c>
      <c r="F41">
        <f>F$40/E41</f>
        <v>443.13475235769829</v>
      </c>
      <c r="G41">
        <f>E25/F26</f>
        <v>0.15235055412638704</v>
      </c>
      <c r="I41">
        <f t="shared" ref="I41:J45" si="1">I42*$E41</f>
        <v>24.740446108711819</v>
      </c>
      <c r="J41">
        <f t="shared" si="1"/>
        <v>137.65112673839204</v>
      </c>
      <c r="K41" s="22">
        <f>I41+J41</f>
        <v>162.39157284710384</v>
      </c>
      <c r="L41" s="22"/>
    </row>
    <row r="42" spans="3:12" ht="15" thickTop="1">
      <c r="D42">
        <v>92</v>
      </c>
      <c r="E42">
        <f>E34/F33</f>
        <v>11.260201132817016</v>
      </c>
      <c r="F42">
        <f>F41/E42</f>
        <v>39.354070778204402</v>
      </c>
      <c r="G42" s="6"/>
      <c r="H42" s="6"/>
      <c r="I42">
        <f t="shared" si="1"/>
        <v>443.13378709415701</v>
      </c>
      <c r="J42">
        <f t="shared" si="1"/>
        <v>2465.511932215416</v>
      </c>
    </row>
    <row r="43" spans="3:12">
      <c r="D43">
        <v>31</v>
      </c>
      <c r="E43">
        <f>E32/F31</f>
        <v>0.10989205490848586</v>
      </c>
      <c r="F43">
        <f t="shared" ref="F43:F46" si="2">F42/E43</f>
        <v>358.11570555284504</v>
      </c>
      <c r="I43">
        <f t="shared" si="1"/>
        <v>39.353985054731986</v>
      </c>
      <c r="J43">
        <f t="shared" si="1"/>
        <v>218.95807216354825</v>
      </c>
    </row>
    <row r="44" spans="3:12">
      <c r="D44">
        <v>29</v>
      </c>
      <c r="E44">
        <f>E30/F29</f>
        <v>9.4270120481927719</v>
      </c>
      <c r="F44">
        <f t="shared" si="2"/>
        <v>37.988251603168202</v>
      </c>
      <c r="I44">
        <f t="shared" si="1"/>
        <v>358.11492548305301</v>
      </c>
      <c r="J44">
        <f t="shared" si="1"/>
        <v>1992.483190398875</v>
      </c>
    </row>
    <row r="45" spans="3:12" ht="15" thickBot="1">
      <c r="D45">
        <v>26</v>
      </c>
      <c r="E45">
        <f>E27/F26</f>
        <v>0.13563812209378956</v>
      </c>
      <c r="F45">
        <f t="shared" si="2"/>
        <v>280.07061006713514</v>
      </c>
      <c r="G45" s="15"/>
      <c r="H45" s="15"/>
      <c r="I45">
        <f t="shared" si="1"/>
        <v>37.98816885480764</v>
      </c>
      <c r="J45">
        <f>J46*$E45</f>
        <v>211.35893114519237</v>
      </c>
    </row>
    <row r="46" spans="3:12" ht="15.6" thickTop="1" thickBot="1">
      <c r="D46">
        <v>24</v>
      </c>
      <c r="E46">
        <f>E25/F24</f>
        <v>0.41208581013477724</v>
      </c>
      <c r="F46">
        <f t="shared" si="2"/>
        <v>679.6414804371326</v>
      </c>
      <c r="I46">
        <f>I47*$E46</f>
        <v>280.07</v>
      </c>
      <c r="J46" s="22">
        <f>E22+E23</f>
        <v>1558.2561000000001</v>
      </c>
    </row>
    <row r="47" spans="3:12" ht="15.6" thickTop="1" thickBot="1">
      <c r="I47" s="22">
        <f>E21</f>
        <v>679.64</v>
      </c>
      <c r="J47" s="6"/>
    </row>
    <row r="48" spans="3:12" ht="15" thickTop="1">
      <c r="F48" s="20">
        <f>+E36-F40</f>
        <v>136.0095</v>
      </c>
    </row>
    <row r="55" spans="3:8">
      <c r="D55" t="s">
        <v>29</v>
      </c>
    </row>
    <row r="56" spans="3:8">
      <c r="D56" t="s">
        <v>30</v>
      </c>
    </row>
    <row r="64" spans="3:8">
      <c r="C64" s="10">
        <v>15</v>
      </c>
      <c r="D64" s="10" t="s">
        <v>12</v>
      </c>
      <c r="E64" s="11">
        <v>679.64</v>
      </c>
      <c r="G64" s="13">
        <f>I46</f>
        <v>280.07</v>
      </c>
      <c r="H64" s="13"/>
    </row>
    <row r="65" spans="3:10">
      <c r="C65">
        <v>23</v>
      </c>
      <c r="D65" t="s">
        <v>12</v>
      </c>
      <c r="F65" s="6">
        <v>679.64</v>
      </c>
      <c r="G65" s="14">
        <f>G64</f>
        <v>280.07</v>
      </c>
      <c r="H65" s="14"/>
      <c r="I65" s="12" t="s">
        <v>24</v>
      </c>
      <c r="J65" t="s">
        <v>26</v>
      </c>
    </row>
    <row r="66" spans="3:10">
      <c r="C66">
        <v>24</v>
      </c>
      <c r="D66" t="s">
        <v>11</v>
      </c>
      <c r="E66" s="6">
        <v>280.07</v>
      </c>
      <c r="G66" s="14">
        <f>F65*G65/E66</f>
        <v>679.64</v>
      </c>
      <c r="H66" s="14"/>
    </row>
    <row r="67" spans="3:10">
      <c r="C67">
        <v>25</v>
      </c>
      <c r="D67" t="s">
        <v>11</v>
      </c>
      <c r="F67" s="6">
        <f>E66</f>
        <v>280.07</v>
      </c>
      <c r="G67" s="14" t="e">
        <f>((#REF!*#REF!)+(#REF!*#REF!)+(E64*G64))/F67</f>
        <v>#REF!</v>
      </c>
      <c r="H67" s="14"/>
      <c r="I67" t="s">
        <v>22</v>
      </c>
      <c r="J67" t="s">
        <v>26</v>
      </c>
    </row>
    <row r="68" spans="3:10">
      <c r="C68">
        <v>26</v>
      </c>
      <c r="D68" t="s">
        <v>9</v>
      </c>
      <c r="E68" s="6">
        <v>249.34710000000001</v>
      </c>
      <c r="G68" s="14" t="e">
        <f>F67*G67/E68</f>
        <v>#REF!</v>
      </c>
      <c r="H68" s="14"/>
    </row>
    <row r="69" spans="3:10">
      <c r="C69">
        <v>28</v>
      </c>
      <c r="D69" t="s">
        <v>9</v>
      </c>
      <c r="F69" s="6">
        <v>249</v>
      </c>
      <c r="G69" s="14" t="e">
        <f>G68</f>
        <v>#REF!</v>
      </c>
      <c r="H69" s="14"/>
      <c r="I69" s="12" t="s">
        <v>21</v>
      </c>
      <c r="J69" t="s">
        <v>25</v>
      </c>
    </row>
    <row r="70" spans="3:10">
      <c r="C70">
        <v>29</v>
      </c>
      <c r="D70" t="s">
        <v>2</v>
      </c>
      <c r="E70" s="6">
        <v>2347.326</v>
      </c>
      <c r="G70" s="14" t="e">
        <f>F69*G69/E70</f>
        <v>#REF!</v>
      </c>
      <c r="H70" s="14"/>
    </row>
    <row r="71" spans="3:10">
      <c r="C71">
        <v>30</v>
      </c>
      <c r="D71" t="s">
        <v>2</v>
      </c>
      <c r="F71" s="6">
        <v>2347.326</v>
      </c>
      <c r="G71" s="14" t="e">
        <f>G70</f>
        <v>#REF!</v>
      </c>
      <c r="H71" s="14"/>
      <c r="I71" t="s">
        <v>23</v>
      </c>
      <c r="J71" t="s">
        <v>25</v>
      </c>
    </row>
    <row r="72" spans="3:10">
      <c r="C72">
        <v>31</v>
      </c>
      <c r="D72" t="s">
        <v>9</v>
      </c>
      <c r="E72" s="6">
        <v>257.95</v>
      </c>
      <c r="G72" s="14" t="e">
        <f>F71*G71/E72</f>
        <v>#REF!</v>
      </c>
      <c r="H72" s="14"/>
    </row>
    <row r="73" spans="3:10">
      <c r="C73">
        <v>91</v>
      </c>
      <c r="D73" t="s">
        <v>9</v>
      </c>
      <c r="F73" s="6">
        <v>257.95</v>
      </c>
      <c r="G73" s="14" t="e">
        <f>G72</f>
        <v>#REF!</v>
      </c>
      <c r="H73" s="14"/>
      <c r="I73" s="12" t="s">
        <v>20</v>
      </c>
      <c r="J73" t="s">
        <v>25</v>
      </c>
    </row>
    <row r="74" spans="3:10">
      <c r="C74">
        <v>92</v>
      </c>
      <c r="D74" t="s">
        <v>2</v>
      </c>
      <c r="E74" s="5">
        <v>2904.57</v>
      </c>
      <c r="F74" s="5"/>
      <c r="G74" s="14" t="e">
        <f>F73*G73/E74</f>
        <v>#REF!</v>
      </c>
      <c r="H74" s="14"/>
    </row>
    <row r="75" spans="3:10">
      <c r="C75">
        <v>100</v>
      </c>
      <c r="D75" t="s">
        <v>2</v>
      </c>
      <c r="E75" s="5"/>
      <c r="F75" s="5">
        <v>2904.57</v>
      </c>
      <c r="G75" s="14" t="e">
        <f>G74</f>
        <v>#REF!</v>
      </c>
      <c r="H75" s="14"/>
      <c r="I75" s="12" t="s">
        <v>19</v>
      </c>
      <c r="J75" t="s">
        <v>25</v>
      </c>
    </row>
    <row r="76" spans="3:10">
      <c r="C76">
        <v>101</v>
      </c>
      <c r="D76" t="s">
        <v>0</v>
      </c>
      <c r="E76" s="5">
        <v>162.16999999999999</v>
      </c>
      <c r="F76" s="5"/>
      <c r="G76" s="14" t="e">
        <f>G75*F75/E76</f>
        <v>#REF!</v>
      </c>
      <c r="H76" s="14"/>
    </row>
  </sheetData>
  <sortState ref="C19:I34">
    <sortCondition ref="C19:C34"/>
  </sortState>
  <mergeCells count="1">
    <mergeCell ref="E19:F19"/>
  </mergeCell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7"/>
  <sheetViews>
    <sheetView workbookViewId="0">
      <pane ySplit="1" topLeftCell="A14" activePane="bottomLeft" state="frozen"/>
      <selection pane="bottomLeft" activeCell="D23" sqref="D23"/>
    </sheetView>
  </sheetViews>
  <sheetFormatPr defaultRowHeight="14.4"/>
  <cols>
    <col min="1" max="1" width="7.44140625" customWidth="1"/>
    <col min="2" max="2" width="33.77734375" customWidth="1"/>
    <col min="4" max="4" width="11.21875" customWidth="1"/>
    <col min="8" max="8" width="26.44140625" customWidth="1"/>
    <col min="9" max="9" width="29.5546875" customWidth="1"/>
  </cols>
  <sheetData>
    <row r="1" spans="1:9">
      <c r="A1" s="4" t="s">
        <v>3</v>
      </c>
      <c r="B1" s="4"/>
      <c r="C1" s="4"/>
      <c r="D1" s="4"/>
      <c r="E1" s="4" t="s">
        <v>31</v>
      </c>
      <c r="F1" s="4" t="s">
        <v>47</v>
      </c>
      <c r="G1" s="4" t="s">
        <v>48</v>
      </c>
      <c r="H1" s="4" t="s">
        <v>55</v>
      </c>
      <c r="I1" s="4" t="s">
        <v>56</v>
      </c>
    </row>
    <row r="2" spans="1:9">
      <c r="A2" s="1">
        <v>37</v>
      </c>
      <c r="B2" s="1" t="s">
        <v>49</v>
      </c>
      <c r="C2" s="1" t="s">
        <v>8</v>
      </c>
      <c r="D2" s="2">
        <v>41534</v>
      </c>
      <c r="E2" s="1">
        <v>76.745999999999995</v>
      </c>
      <c r="F2" s="3">
        <v>13.03</v>
      </c>
      <c r="G2" s="4"/>
    </row>
    <row r="3" spans="1:9">
      <c r="A3" s="1">
        <v>38</v>
      </c>
      <c r="B3" s="1" t="s">
        <v>49</v>
      </c>
      <c r="C3" s="1" t="s">
        <v>10</v>
      </c>
      <c r="D3" s="2">
        <v>41673</v>
      </c>
      <c r="E3" s="1">
        <v>75</v>
      </c>
      <c r="F3" s="3">
        <v>12.78</v>
      </c>
      <c r="G3" s="3"/>
      <c r="H3" s="1" t="s">
        <v>50</v>
      </c>
      <c r="I3" s="1" t="s">
        <v>51</v>
      </c>
    </row>
    <row r="4" spans="1:9">
      <c r="A4" s="39">
        <v>39</v>
      </c>
      <c r="B4" s="39" t="s">
        <v>50</v>
      </c>
      <c r="C4" s="39" t="s">
        <v>1</v>
      </c>
      <c r="D4" s="40">
        <v>41673</v>
      </c>
      <c r="E4" s="39">
        <v>3.1440000000000001</v>
      </c>
      <c r="F4" s="41">
        <v>304.86599999999999</v>
      </c>
      <c r="G4" s="41">
        <f>F2*E3/E4</f>
        <v>310.83015267175574</v>
      </c>
      <c r="H4" s="1" t="s">
        <v>49</v>
      </c>
      <c r="I4" s="1"/>
    </row>
    <row r="5" spans="1:9">
      <c r="A5" s="1">
        <v>103</v>
      </c>
      <c r="B5" s="1" t="s">
        <v>49</v>
      </c>
      <c r="C5" s="1" t="s">
        <v>10</v>
      </c>
      <c r="D5" s="2">
        <v>42310</v>
      </c>
      <c r="E5" s="1">
        <v>1.746</v>
      </c>
      <c r="F5" s="3">
        <v>13.648</v>
      </c>
      <c r="G5" s="3"/>
      <c r="H5" s="1" t="s">
        <v>50</v>
      </c>
      <c r="I5" s="1"/>
    </row>
    <row r="6" spans="1:9">
      <c r="A6" s="39">
        <v>104</v>
      </c>
      <c r="B6" s="39" t="s">
        <v>50</v>
      </c>
      <c r="C6" s="39" t="s">
        <v>1</v>
      </c>
      <c r="D6" s="40">
        <v>42311</v>
      </c>
      <c r="E6" s="39">
        <v>4.7E-2</v>
      </c>
      <c r="F6" s="41">
        <v>507.02100000000002</v>
      </c>
      <c r="G6" s="41">
        <f>F2*E5/E6</f>
        <v>484.05063829787235</v>
      </c>
      <c r="H6" s="1" t="s">
        <v>49</v>
      </c>
      <c r="I6" s="1"/>
    </row>
    <row r="7" spans="1:9">
      <c r="A7" s="1"/>
      <c r="B7" s="1"/>
      <c r="C7" s="1"/>
      <c r="D7" s="2"/>
      <c r="E7" s="1"/>
      <c r="F7" s="3"/>
      <c r="G7" s="3"/>
      <c r="H7" s="1"/>
      <c r="I7" s="1"/>
    </row>
    <row r="8" spans="1:9">
      <c r="A8" s="1"/>
      <c r="B8" s="1"/>
      <c r="C8" s="1"/>
      <c r="D8" s="2"/>
      <c r="E8" s="1"/>
      <c r="F8" s="3"/>
      <c r="G8" s="3"/>
      <c r="H8" s="1"/>
      <c r="I8" s="1"/>
    </row>
    <row r="9" spans="1:9">
      <c r="A9" s="1">
        <v>7</v>
      </c>
      <c r="B9" s="1" t="s">
        <v>50</v>
      </c>
      <c r="C9" s="1" t="s">
        <v>8</v>
      </c>
      <c r="D9" s="2">
        <v>41492</v>
      </c>
      <c r="E9" s="1">
        <v>24.091999999999999</v>
      </c>
      <c r="F9" s="3">
        <v>250.441</v>
      </c>
    </row>
    <row r="10" spans="1:9">
      <c r="A10" s="1">
        <v>40</v>
      </c>
      <c r="B10" s="1" t="s">
        <v>50</v>
      </c>
      <c r="C10" s="1" t="s">
        <v>10</v>
      </c>
      <c r="D10" s="2">
        <v>42047</v>
      </c>
      <c r="E10" s="1">
        <v>15</v>
      </c>
      <c r="F10" s="3">
        <v>457.98</v>
      </c>
      <c r="G10" s="3"/>
      <c r="H10" s="1"/>
      <c r="I10" s="1" t="s">
        <v>52</v>
      </c>
    </row>
    <row r="11" spans="1:9">
      <c r="A11" s="39">
        <v>41</v>
      </c>
      <c r="B11" s="39" t="s">
        <v>52</v>
      </c>
      <c r="C11" s="39" t="s">
        <v>1</v>
      </c>
      <c r="D11" s="40">
        <v>42047</v>
      </c>
      <c r="E11" s="39">
        <v>174.22900000000001</v>
      </c>
      <c r="F11" s="41">
        <v>39.429000000000002</v>
      </c>
      <c r="G11" s="41">
        <f>F9*E10/E11</f>
        <v>21.561364640788845</v>
      </c>
      <c r="H11" s="1" t="s">
        <v>50</v>
      </c>
    </row>
    <row r="12" spans="1:9">
      <c r="A12" s="1">
        <v>95</v>
      </c>
      <c r="B12" s="1" t="s">
        <v>52</v>
      </c>
      <c r="C12" s="1" t="s">
        <v>10</v>
      </c>
      <c r="D12" s="2">
        <v>42207</v>
      </c>
      <c r="E12" s="1">
        <v>150</v>
      </c>
      <c r="F12" s="3">
        <v>39.578000000000003</v>
      </c>
      <c r="G12" s="3"/>
      <c r="H12" s="1"/>
      <c r="I12" s="1" t="s">
        <v>50</v>
      </c>
    </row>
    <row r="13" spans="1:9">
      <c r="A13" s="39">
        <v>96</v>
      </c>
      <c r="B13" s="39" t="s">
        <v>50</v>
      </c>
      <c r="C13" s="39" t="s">
        <v>1</v>
      </c>
      <c r="D13" s="40">
        <v>42208</v>
      </c>
      <c r="E13" s="39">
        <v>10.042999999999999</v>
      </c>
      <c r="F13" s="41">
        <v>591.12300000000005</v>
      </c>
      <c r="G13" s="41">
        <f>G11*E12/E13</f>
        <v>322.03571603289129</v>
      </c>
      <c r="H13" s="1" t="s">
        <v>52</v>
      </c>
      <c r="I13" s="1"/>
    </row>
    <row r="16" spans="1:9">
      <c r="A16" s="1">
        <v>32</v>
      </c>
      <c r="B16" s="1" t="s">
        <v>54</v>
      </c>
      <c r="C16" s="1" t="s">
        <v>8</v>
      </c>
      <c r="D16" s="2">
        <v>41166</v>
      </c>
      <c r="E16" s="5">
        <v>5006.5078999999996</v>
      </c>
      <c r="F16" s="3">
        <v>1.9970000000000001</v>
      </c>
    </row>
    <row r="17" spans="1:8">
      <c r="A17" s="1">
        <v>33</v>
      </c>
      <c r="B17" s="1" t="s">
        <v>54</v>
      </c>
      <c r="C17" s="1" t="s">
        <v>10</v>
      </c>
      <c r="D17" s="2">
        <v>41385</v>
      </c>
      <c r="E17" s="5">
        <v>5006.5078999999996</v>
      </c>
      <c r="F17" s="3">
        <v>2.073</v>
      </c>
    </row>
    <row r="18" spans="1:8" ht="28.8">
      <c r="A18" s="39">
        <v>34</v>
      </c>
      <c r="B18" s="39" t="s">
        <v>53</v>
      </c>
      <c r="C18" s="39" t="s">
        <v>1</v>
      </c>
      <c r="D18" s="40">
        <v>41385</v>
      </c>
      <c r="E18" s="39">
        <v>394.85</v>
      </c>
      <c r="F18" s="41">
        <v>26.279</v>
      </c>
      <c r="G18" s="43">
        <f>E16*F16/E18</f>
        <v>25.320998547043182</v>
      </c>
      <c r="H18" s="1" t="s">
        <v>54</v>
      </c>
    </row>
    <row r="22" spans="1:8">
      <c r="C22" t="s">
        <v>63</v>
      </c>
      <c r="D22" t="s">
        <v>64</v>
      </c>
    </row>
    <row r="23" spans="1:8">
      <c r="C23" t="s">
        <v>57</v>
      </c>
      <c r="D23">
        <v>10</v>
      </c>
    </row>
    <row r="24" spans="1:8">
      <c r="C24" t="s">
        <v>58</v>
      </c>
      <c r="D24">
        <v>5</v>
      </c>
    </row>
    <row r="25" spans="1:8">
      <c r="C25" t="s">
        <v>59</v>
      </c>
      <c r="D25">
        <v>20</v>
      </c>
    </row>
    <row r="26" spans="1:8">
      <c r="C26" t="s">
        <v>60</v>
      </c>
      <c r="D26">
        <v>7</v>
      </c>
      <c r="E26" t="s">
        <v>61</v>
      </c>
    </row>
    <row r="27" spans="1:8">
      <c r="C27" t="s">
        <v>18</v>
      </c>
      <c r="D27">
        <v>4</v>
      </c>
      <c r="E27" t="s">
        <v>62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47"/>
  <sheetViews>
    <sheetView zoomScale="85" zoomScaleNormal="85" workbookViewId="0">
      <pane ySplit="6" topLeftCell="A7" activePane="bottomLeft" state="frozen"/>
      <selection pane="bottomLeft" activeCell="C11" sqref="C11"/>
    </sheetView>
  </sheetViews>
  <sheetFormatPr defaultRowHeight="14.4"/>
  <cols>
    <col min="1" max="1" width="7.21875" customWidth="1"/>
    <col min="2" max="2" width="9.21875" customWidth="1"/>
    <col min="3" max="3" width="23.109375" customWidth="1"/>
    <col min="4" max="4" width="7" customWidth="1"/>
    <col min="5" max="5" width="16.77734375" customWidth="1"/>
    <col min="6" max="6" width="2.44140625" customWidth="1"/>
    <col min="7" max="7" width="9.33203125" customWidth="1"/>
    <col min="11" max="11" width="9.5546875" style="45" customWidth="1"/>
    <col min="12" max="12" width="9.88671875" customWidth="1"/>
    <col min="13" max="13" width="11.44140625" customWidth="1"/>
    <col min="14" max="14" width="12.109375" customWidth="1"/>
    <col min="15" max="15" width="11.77734375" customWidth="1"/>
    <col min="17" max="17" width="8.88671875" style="45"/>
    <col min="21" max="21" width="8.109375" customWidth="1"/>
  </cols>
  <sheetData>
    <row r="1" spans="1:20">
      <c r="B1" s="11" t="s">
        <v>8</v>
      </c>
      <c r="C1" s="11" t="s">
        <v>43</v>
      </c>
    </row>
    <row r="2" spans="1:20">
      <c r="B2" s="11" t="s">
        <v>40</v>
      </c>
      <c r="C2" s="11" t="s">
        <v>44</v>
      </c>
    </row>
    <row r="3" spans="1:20">
      <c r="B3" s="11" t="s">
        <v>41</v>
      </c>
      <c r="C3" s="11" t="s">
        <v>45</v>
      </c>
    </row>
    <row r="4" spans="1:20">
      <c r="B4" s="11" t="s">
        <v>42</v>
      </c>
      <c r="C4" s="11" t="s">
        <v>46</v>
      </c>
    </row>
    <row r="5" spans="1:20">
      <c r="K5" s="51">
        <v>42979</v>
      </c>
    </row>
    <row r="6" spans="1:20">
      <c r="A6" s="4" t="s">
        <v>65</v>
      </c>
      <c r="B6" s="4" t="s">
        <v>66</v>
      </c>
      <c r="C6" s="4" t="s">
        <v>67</v>
      </c>
      <c r="D6" s="4" t="s">
        <v>68</v>
      </c>
      <c r="E6" s="4" t="s">
        <v>69</v>
      </c>
      <c r="F6" s="110" t="s">
        <v>70</v>
      </c>
      <c r="G6" s="110"/>
      <c r="H6" s="4" t="s">
        <v>31</v>
      </c>
      <c r="I6" s="4" t="s">
        <v>71</v>
      </c>
      <c r="J6" s="4" t="s">
        <v>47</v>
      </c>
      <c r="K6" s="46" t="s">
        <v>83</v>
      </c>
      <c r="L6" s="46" t="s">
        <v>82</v>
      </c>
      <c r="M6" s="46" t="s">
        <v>85</v>
      </c>
      <c r="N6" s="46" t="s">
        <v>84</v>
      </c>
      <c r="O6" s="46" t="s">
        <v>86</v>
      </c>
      <c r="P6" s="46"/>
      <c r="Q6" s="4" t="s">
        <v>72</v>
      </c>
      <c r="R6" s="4" t="s">
        <v>73</v>
      </c>
      <c r="S6" s="4" t="s">
        <v>74</v>
      </c>
      <c r="T6" s="4"/>
    </row>
    <row r="7" spans="1:20">
      <c r="A7">
        <v>1</v>
      </c>
      <c r="B7">
        <v>1</v>
      </c>
      <c r="C7" t="s">
        <v>2</v>
      </c>
      <c r="D7">
        <v>27</v>
      </c>
      <c r="E7" s="44">
        <v>41521</v>
      </c>
      <c r="F7">
        <v>0</v>
      </c>
      <c r="G7" t="s">
        <v>8</v>
      </c>
      <c r="H7">
        <v>58.502000000000002</v>
      </c>
      <c r="I7">
        <v>17.093261768828398</v>
      </c>
      <c r="J7">
        <v>17.093261768828398</v>
      </c>
      <c r="L7" s="9">
        <f>H7</f>
        <v>58.502000000000002</v>
      </c>
      <c r="M7" s="9"/>
      <c r="Q7" s="45" t="s">
        <v>75</v>
      </c>
      <c r="R7" t="s">
        <v>75</v>
      </c>
      <c r="S7">
        <v>999.99</v>
      </c>
    </row>
    <row r="8" spans="1:20">
      <c r="A8">
        <v>1</v>
      </c>
      <c r="B8">
        <v>1</v>
      </c>
      <c r="C8" t="s">
        <v>2</v>
      </c>
      <c r="D8">
        <v>29</v>
      </c>
      <c r="E8" s="44">
        <v>41794.000011574077</v>
      </c>
      <c r="F8">
        <v>0</v>
      </c>
      <c r="G8" t="s">
        <v>80</v>
      </c>
      <c r="H8">
        <v>2347.326</v>
      </c>
      <c r="I8">
        <v>19.41</v>
      </c>
      <c r="J8">
        <v>18.249684960674401</v>
      </c>
      <c r="L8" s="9">
        <f>L7+H8</f>
        <v>2405.828</v>
      </c>
      <c r="M8" s="9"/>
      <c r="Q8" s="45">
        <v>5</v>
      </c>
      <c r="R8">
        <v>28</v>
      </c>
      <c r="S8">
        <v>45562.786599999999</v>
      </c>
    </row>
    <row r="9" spans="1:20">
      <c r="A9">
        <v>1</v>
      </c>
      <c r="B9">
        <v>1</v>
      </c>
      <c r="C9" t="s">
        <v>2</v>
      </c>
      <c r="D9">
        <v>30</v>
      </c>
      <c r="E9" s="44">
        <v>41971</v>
      </c>
      <c r="F9">
        <v>1</v>
      </c>
      <c r="G9" t="s">
        <v>81</v>
      </c>
      <c r="H9">
        <v>2404</v>
      </c>
      <c r="I9">
        <v>19.3536</v>
      </c>
      <c r="J9">
        <v>18.524504991680502</v>
      </c>
      <c r="L9" s="9">
        <f>L8-H9</f>
        <v>1.8279999999999745</v>
      </c>
      <c r="M9" s="9"/>
      <c r="Q9" s="45">
        <v>5</v>
      </c>
      <c r="R9" t="s">
        <v>75</v>
      </c>
      <c r="S9" t="s">
        <v>75</v>
      </c>
    </row>
    <row r="10" spans="1:20">
      <c r="A10">
        <v>1</v>
      </c>
      <c r="B10">
        <v>1</v>
      </c>
      <c r="C10" t="s">
        <v>2</v>
      </c>
      <c r="D10">
        <v>92</v>
      </c>
      <c r="E10" s="44">
        <v>42202.719108796293</v>
      </c>
      <c r="F10">
        <v>0</v>
      </c>
      <c r="G10" t="s">
        <v>80</v>
      </c>
      <c r="H10">
        <v>2922.36</v>
      </c>
      <c r="I10">
        <v>15.641</v>
      </c>
      <c r="J10">
        <v>18.393100097181701</v>
      </c>
      <c r="L10" s="9">
        <f>L9+H10</f>
        <v>2924.1880000000001</v>
      </c>
      <c r="M10" s="9"/>
      <c r="Q10" s="45">
        <v>5</v>
      </c>
      <c r="R10">
        <v>91</v>
      </c>
      <c r="S10">
        <v>45708.251199999999</v>
      </c>
    </row>
    <row r="11" spans="1:20">
      <c r="A11">
        <v>1</v>
      </c>
      <c r="B11">
        <v>1</v>
      </c>
      <c r="C11" t="s">
        <v>2</v>
      </c>
      <c r="D11">
        <v>100</v>
      </c>
      <c r="E11" s="44">
        <v>42279.463796296295</v>
      </c>
      <c r="F11">
        <v>1</v>
      </c>
      <c r="G11" t="s">
        <v>81</v>
      </c>
      <c r="H11">
        <v>2879.2429999999999</v>
      </c>
      <c r="I11">
        <v>15.6434</v>
      </c>
      <c r="J11">
        <v>18.063202723771401</v>
      </c>
      <c r="K11" s="50">
        <v>20.035699999999999</v>
      </c>
      <c r="L11" s="9">
        <f>L10-H11</f>
        <v>44.945000000000164</v>
      </c>
      <c r="M11" s="49"/>
      <c r="N11" s="49"/>
      <c r="O11" s="15"/>
      <c r="Q11" s="45">
        <v>16</v>
      </c>
      <c r="R11" t="s">
        <v>75</v>
      </c>
      <c r="S11" t="s">
        <v>75</v>
      </c>
    </row>
    <row r="12" spans="1:20">
      <c r="E12" s="44"/>
      <c r="L12" s="9"/>
      <c r="M12" s="49"/>
    </row>
    <row r="13" spans="1:20">
      <c r="A13">
        <v>1</v>
      </c>
      <c r="B13">
        <v>2</v>
      </c>
      <c r="C13" t="s">
        <v>49</v>
      </c>
      <c r="D13">
        <v>37</v>
      </c>
      <c r="E13" s="44">
        <v>41534</v>
      </c>
      <c r="F13">
        <v>0</v>
      </c>
      <c r="G13" t="s">
        <v>8</v>
      </c>
      <c r="H13">
        <v>76.745999999999995</v>
      </c>
      <c r="I13">
        <v>13.029995048601799</v>
      </c>
      <c r="J13">
        <v>13.029995048601799</v>
      </c>
      <c r="L13" s="9">
        <f>L12+H13</f>
        <v>76.745999999999995</v>
      </c>
      <c r="M13" s="49"/>
      <c r="Q13" s="45" t="s">
        <v>75</v>
      </c>
      <c r="R13" t="s">
        <v>75</v>
      </c>
      <c r="S13">
        <v>1000</v>
      </c>
    </row>
    <row r="14" spans="1:20">
      <c r="A14">
        <v>1</v>
      </c>
      <c r="B14">
        <v>2</v>
      </c>
      <c r="C14" t="s">
        <v>49</v>
      </c>
      <c r="D14">
        <v>38</v>
      </c>
      <c r="E14" s="44">
        <v>41673</v>
      </c>
      <c r="F14">
        <v>1</v>
      </c>
      <c r="G14" t="s">
        <v>81</v>
      </c>
      <c r="H14">
        <v>75</v>
      </c>
      <c r="I14">
        <v>13.03</v>
      </c>
      <c r="J14">
        <v>12.78</v>
      </c>
      <c r="L14" s="9">
        <f>L13-H14</f>
        <v>1.7459999999999951</v>
      </c>
      <c r="M14" s="49"/>
      <c r="N14" s="49"/>
      <c r="O14" s="15"/>
      <c r="Q14" s="45">
        <v>6</v>
      </c>
      <c r="R14" t="s">
        <v>75</v>
      </c>
      <c r="S14" t="s">
        <v>75</v>
      </c>
    </row>
    <row r="15" spans="1:20">
      <c r="A15">
        <v>1</v>
      </c>
      <c r="B15">
        <v>2</v>
      </c>
      <c r="C15" t="s">
        <v>49</v>
      </c>
      <c r="D15">
        <v>103</v>
      </c>
      <c r="E15" s="44">
        <v>42310.831203703703</v>
      </c>
      <c r="F15">
        <v>1</v>
      </c>
      <c r="G15" t="s">
        <v>81</v>
      </c>
      <c r="H15">
        <v>1.746</v>
      </c>
      <c r="I15">
        <v>13.03</v>
      </c>
      <c r="J15">
        <v>13.6483390607101</v>
      </c>
      <c r="L15" s="9">
        <f>L14-H15</f>
        <v>-4.8849813083506888E-15</v>
      </c>
      <c r="M15" s="49"/>
      <c r="N15" s="49"/>
      <c r="O15" s="15"/>
      <c r="Q15" s="45">
        <v>6</v>
      </c>
      <c r="R15" t="s">
        <v>75</v>
      </c>
      <c r="S15" t="s">
        <v>75</v>
      </c>
    </row>
    <row r="16" spans="1:20">
      <c r="E16" s="44"/>
      <c r="L16" s="9"/>
      <c r="M16" s="49"/>
    </row>
    <row r="17" spans="1:19">
      <c r="A17">
        <v>1</v>
      </c>
      <c r="B17">
        <v>3</v>
      </c>
      <c r="C17" t="s">
        <v>52</v>
      </c>
      <c r="D17">
        <v>1</v>
      </c>
      <c r="E17" s="44">
        <v>41172</v>
      </c>
      <c r="F17">
        <v>0</v>
      </c>
      <c r="G17" t="s">
        <v>8</v>
      </c>
      <c r="H17">
        <v>325.52199999999999</v>
      </c>
      <c r="I17">
        <v>30.719859180024699</v>
      </c>
      <c r="J17">
        <v>30.719859180024699</v>
      </c>
      <c r="K17" s="58"/>
      <c r="L17" s="9">
        <f t="shared" ref="L17:L19" si="0">L16+H17</f>
        <v>325.52199999999999</v>
      </c>
      <c r="M17" s="49"/>
      <c r="Q17" s="45" t="s">
        <v>75</v>
      </c>
      <c r="R17" t="s">
        <v>75</v>
      </c>
      <c r="S17">
        <v>9999.99</v>
      </c>
    </row>
    <row r="18" spans="1:19">
      <c r="A18">
        <v>1</v>
      </c>
      <c r="B18">
        <v>3</v>
      </c>
      <c r="C18" t="s">
        <v>52</v>
      </c>
      <c r="D18">
        <v>2</v>
      </c>
      <c r="E18" s="44">
        <v>41187</v>
      </c>
      <c r="F18">
        <v>0</v>
      </c>
      <c r="G18" t="s">
        <v>8</v>
      </c>
      <c r="H18">
        <v>1267.6880000000001</v>
      </c>
      <c r="I18">
        <v>31.5534895021487</v>
      </c>
      <c r="J18">
        <v>31.5534895021487</v>
      </c>
      <c r="K18" s="58"/>
      <c r="L18" s="9">
        <f t="shared" si="0"/>
        <v>1593.21</v>
      </c>
      <c r="M18" s="49"/>
      <c r="Q18" s="45" t="s">
        <v>75</v>
      </c>
      <c r="R18" t="s">
        <v>75</v>
      </c>
      <c r="S18">
        <v>39999.980000000003</v>
      </c>
    </row>
    <row r="19" spans="1:19">
      <c r="A19">
        <v>1</v>
      </c>
      <c r="B19">
        <v>3</v>
      </c>
      <c r="C19" t="s">
        <v>52</v>
      </c>
      <c r="D19">
        <v>3</v>
      </c>
      <c r="E19" s="44">
        <v>41410</v>
      </c>
      <c r="F19">
        <v>0</v>
      </c>
      <c r="G19" t="s">
        <v>8</v>
      </c>
      <c r="H19">
        <v>522.37400000000002</v>
      </c>
      <c r="I19">
        <v>38.286783032846103</v>
      </c>
      <c r="J19">
        <v>38.286783032846103</v>
      </c>
      <c r="L19" s="9">
        <f t="shared" si="0"/>
        <v>2115.5839999999998</v>
      </c>
      <c r="M19" s="49"/>
      <c r="Q19" s="45" t="s">
        <v>75</v>
      </c>
      <c r="R19" t="s">
        <v>75</v>
      </c>
      <c r="S19">
        <v>20000.02</v>
      </c>
    </row>
    <row r="20" spans="1:19">
      <c r="A20">
        <v>1</v>
      </c>
      <c r="B20">
        <v>3</v>
      </c>
      <c r="C20" t="s">
        <v>52</v>
      </c>
      <c r="D20">
        <v>4</v>
      </c>
      <c r="E20" s="44">
        <v>41438</v>
      </c>
      <c r="F20">
        <v>1</v>
      </c>
      <c r="G20" t="s">
        <v>41</v>
      </c>
      <c r="H20">
        <v>1415.5820000000001</v>
      </c>
      <c r="I20">
        <v>31.361799999999999</v>
      </c>
      <c r="J20">
        <v>33.983393402854702</v>
      </c>
      <c r="L20" s="9">
        <f>L19-H20</f>
        <v>700.00199999999973</v>
      </c>
      <c r="M20" s="49">
        <f>L20*I20</f>
        <v>21953.322723599991</v>
      </c>
      <c r="N20" s="49">
        <f>L20*J20</f>
        <v>23788.443348785087</v>
      </c>
      <c r="O20" s="15">
        <f>N20-M20</f>
        <v>1835.1206251850963</v>
      </c>
      <c r="Q20" s="45" t="s">
        <v>75</v>
      </c>
      <c r="R20" t="s">
        <v>75</v>
      </c>
      <c r="S20" t="s">
        <v>75</v>
      </c>
    </row>
    <row r="21" spans="1:19">
      <c r="A21">
        <v>1</v>
      </c>
      <c r="B21">
        <v>3</v>
      </c>
      <c r="C21" t="s">
        <v>52</v>
      </c>
      <c r="D21">
        <v>5</v>
      </c>
      <c r="E21" s="44">
        <v>41492</v>
      </c>
      <c r="F21">
        <v>1</v>
      </c>
      <c r="G21" t="s">
        <v>41</v>
      </c>
      <c r="H21">
        <v>178</v>
      </c>
      <c r="I21">
        <v>31.567599999999999</v>
      </c>
      <c r="J21">
        <v>33.896398876404497</v>
      </c>
      <c r="L21" s="9">
        <f>L20-H21</f>
        <v>522.00199999999973</v>
      </c>
      <c r="M21" s="49">
        <f>L21*I21</f>
        <v>16478.35033519999</v>
      </c>
      <c r="N21" s="49">
        <f>L21*J21</f>
        <v>17693.988006280892</v>
      </c>
      <c r="O21" s="15">
        <f>N21-M21</f>
        <v>1215.6376710809018</v>
      </c>
      <c r="Q21" s="45" t="s">
        <v>75</v>
      </c>
      <c r="R21" t="s">
        <v>75</v>
      </c>
      <c r="S21" t="s">
        <v>75</v>
      </c>
    </row>
    <row r="22" spans="1:19">
      <c r="A22">
        <v>1</v>
      </c>
      <c r="B22">
        <v>3</v>
      </c>
      <c r="C22" t="s">
        <v>52</v>
      </c>
      <c r="D22">
        <v>6</v>
      </c>
      <c r="E22" s="44">
        <v>41506</v>
      </c>
      <c r="F22">
        <v>1</v>
      </c>
      <c r="G22" t="s">
        <v>41</v>
      </c>
      <c r="H22">
        <v>522.00199999999995</v>
      </c>
      <c r="I22">
        <v>38.286799999999999</v>
      </c>
      <c r="J22">
        <v>32.470297048670297</v>
      </c>
      <c r="L22" s="9">
        <f>L21-H22</f>
        <v>0</v>
      </c>
      <c r="M22" s="49"/>
      <c r="Q22" s="45" t="s">
        <v>75</v>
      </c>
      <c r="R22" t="s">
        <v>75</v>
      </c>
      <c r="S22" t="s">
        <v>75</v>
      </c>
    </row>
    <row r="23" spans="1:19">
      <c r="A23">
        <v>1</v>
      </c>
      <c r="B23">
        <v>3</v>
      </c>
      <c r="C23" t="s">
        <v>52</v>
      </c>
      <c r="D23">
        <v>41</v>
      </c>
      <c r="E23" s="44">
        <v>42047.000011574077</v>
      </c>
      <c r="F23">
        <v>0</v>
      </c>
      <c r="G23" t="s">
        <v>80</v>
      </c>
      <c r="H23">
        <v>174.22900000000001</v>
      </c>
      <c r="I23">
        <v>21.56</v>
      </c>
      <c r="J23">
        <v>39.4291363665061</v>
      </c>
      <c r="L23" s="9">
        <f>L22+H23</f>
        <v>174.22900000000001</v>
      </c>
      <c r="M23" s="49"/>
      <c r="Q23" s="45">
        <v>6</v>
      </c>
      <c r="R23">
        <v>40</v>
      </c>
      <c r="S23">
        <v>3756.6149999999998</v>
      </c>
    </row>
    <row r="24" spans="1:19">
      <c r="A24">
        <v>1</v>
      </c>
      <c r="B24">
        <v>3</v>
      </c>
      <c r="C24" t="s">
        <v>52</v>
      </c>
      <c r="D24">
        <v>95</v>
      </c>
      <c r="E24" s="44">
        <v>42207.759375000001</v>
      </c>
      <c r="F24">
        <v>1</v>
      </c>
      <c r="G24" t="s">
        <v>81</v>
      </c>
      <c r="H24">
        <v>150</v>
      </c>
      <c r="I24">
        <v>21.56</v>
      </c>
      <c r="J24">
        <v>39.577666666666602</v>
      </c>
      <c r="K24" s="3">
        <v>37.983899999999998</v>
      </c>
      <c r="L24" s="9">
        <f>L23-H24</f>
        <v>24.229000000000013</v>
      </c>
      <c r="M24" s="49">
        <f>(H24+L24)*I24</f>
        <v>3756.3772400000003</v>
      </c>
      <c r="N24" s="49"/>
      <c r="O24" s="15">
        <f>N24-M24</f>
        <v>-3756.3772400000003</v>
      </c>
      <c r="Q24" s="45">
        <v>6</v>
      </c>
      <c r="R24" t="s">
        <v>75</v>
      </c>
      <c r="S24" t="s">
        <v>75</v>
      </c>
    </row>
    <row r="25" spans="1:19">
      <c r="E25" s="44"/>
      <c r="L25" s="9"/>
      <c r="M25" s="49"/>
      <c r="O25" s="15"/>
    </row>
    <row r="26" spans="1:19">
      <c r="A26">
        <v>1</v>
      </c>
      <c r="B26">
        <v>4</v>
      </c>
      <c r="C26" t="s">
        <v>79</v>
      </c>
      <c r="D26">
        <v>11</v>
      </c>
      <c r="E26" s="44">
        <v>41554</v>
      </c>
      <c r="F26">
        <v>0</v>
      </c>
      <c r="G26" t="s">
        <v>8</v>
      </c>
      <c r="H26">
        <v>28.28</v>
      </c>
      <c r="I26">
        <v>35.357142857142797</v>
      </c>
      <c r="J26">
        <v>35.357142857142797</v>
      </c>
      <c r="L26" s="9">
        <f>L25+H26</f>
        <v>28.28</v>
      </c>
      <c r="M26" s="49"/>
      <c r="Q26" s="45" t="s">
        <v>75</v>
      </c>
      <c r="R26" t="s">
        <v>75</v>
      </c>
      <c r="S26">
        <v>999.9</v>
      </c>
    </row>
    <row r="27" spans="1:19">
      <c r="A27">
        <v>1</v>
      </c>
      <c r="B27">
        <v>4</v>
      </c>
      <c r="C27" t="s">
        <v>79</v>
      </c>
      <c r="D27">
        <v>12</v>
      </c>
      <c r="E27" s="44">
        <v>41565</v>
      </c>
      <c r="F27">
        <v>0</v>
      </c>
      <c r="G27" t="s">
        <v>8</v>
      </c>
      <c r="H27">
        <v>134.86000000000001</v>
      </c>
      <c r="I27">
        <v>37.076301349547599</v>
      </c>
      <c r="J27">
        <v>37.076301349547599</v>
      </c>
      <c r="L27" s="9">
        <f>L26+H27</f>
        <v>163.14000000000001</v>
      </c>
      <c r="M27" s="49"/>
      <c r="Q27" s="45" t="s">
        <v>75</v>
      </c>
      <c r="R27" t="s">
        <v>75</v>
      </c>
      <c r="S27">
        <v>5000.1099999999997</v>
      </c>
    </row>
    <row r="28" spans="1:19">
      <c r="A28">
        <v>1</v>
      </c>
      <c r="B28">
        <v>4</v>
      </c>
      <c r="C28" t="s">
        <v>79</v>
      </c>
      <c r="D28">
        <v>13</v>
      </c>
      <c r="E28" s="44">
        <v>41639</v>
      </c>
      <c r="F28">
        <v>1</v>
      </c>
      <c r="G28" t="s">
        <v>41</v>
      </c>
      <c r="H28">
        <v>160</v>
      </c>
      <c r="I28">
        <v>36.772399999999998</v>
      </c>
      <c r="J28">
        <v>30.947749999999999</v>
      </c>
      <c r="K28" s="50">
        <v>45.0839</v>
      </c>
      <c r="L28" s="9">
        <f>L27-H28</f>
        <v>3.1400000000000148</v>
      </c>
      <c r="M28" s="49">
        <f>(H28+L28)*I28</f>
        <v>5999.049336</v>
      </c>
      <c r="N28" s="49">
        <f>J28*H28+L28*K28</f>
        <v>5093.2034460000004</v>
      </c>
      <c r="O28" s="15">
        <f>N28-M28</f>
        <v>-905.8458899999996</v>
      </c>
      <c r="Q28" s="45" t="s">
        <v>75</v>
      </c>
      <c r="R28" t="s">
        <v>75</v>
      </c>
      <c r="S28" t="s">
        <v>75</v>
      </c>
    </row>
    <row r="29" spans="1:19">
      <c r="E29" s="44"/>
      <c r="L29" s="9"/>
      <c r="M29" s="49"/>
    </row>
    <row r="30" spans="1:19">
      <c r="A30">
        <v>1</v>
      </c>
      <c r="B30">
        <v>5</v>
      </c>
      <c r="C30" t="s">
        <v>9</v>
      </c>
      <c r="D30">
        <v>26</v>
      </c>
      <c r="E30" s="44">
        <v>41439.000011574077</v>
      </c>
      <c r="F30">
        <v>0</v>
      </c>
      <c r="G30" t="s">
        <v>80</v>
      </c>
      <c r="H30">
        <v>249.34710000000001</v>
      </c>
      <c r="I30">
        <v>182.983</v>
      </c>
      <c r="J30">
        <v>139.70998660100699</v>
      </c>
      <c r="L30" s="9">
        <f>L29+H30</f>
        <v>249.34710000000001</v>
      </c>
      <c r="M30" s="49"/>
      <c r="Q30" s="45">
        <v>11</v>
      </c>
      <c r="R30">
        <v>25</v>
      </c>
      <c r="S30">
        <v>45626.3</v>
      </c>
    </row>
    <row r="31" spans="1:19">
      <c r="A31">
        <v>1</v>
      </c>
      <c r="B31">
        <v>5</v>
      </c>
      <c r="C31" t="s">
        <v>9</v>
      </c>
      <c r="D31">
        <v>28</v>
      </c>
      <c r="E31" s="44">
        <v>41794</v>
      </c>
      <c r="F31">
        <v>1</v>
      </c>
      <c r="G31" t="s">
        <v>81</v>
      </c>
      <c r="H31">
        <v>249</v>
      </c>
      <c r="I31">
        <v>182.983</v>
      </c>
      <c r="J31">
        <v>172.04</v>
      </c>
      <c r="L31" s="9">
        <f>L30-H31</f>
        <v>0.34710000000001173</v>
      </c>
      <c r="M31" s="49"/>
      <c r="Q31" s="45">
        <v>1</v>
      </c>
      <c r="R31" t="s">
        <v>75</v>
      </c>
      <c r="S31" t="s">
        <v>75</v>
      </c>
    </row>
    <row r="32" spans="1:19">
      <c r="A32">
        <v>1</v>
      </c>
      <c r="B32">
        <v>5</v>
      </c>
      <c r="C32" t="s">
        <v>9</v>
      </c>
      <c r="D32">
        <v>31</v>
      </c>
      <c r="E32" s="44">
        <v>41976</v>
      </c>
      <c r="F32">
        <v>0</v>
      </c>
      <c r="G32" t="s">
        <v>80</v>
      </c>
      <c r="H32">
        <v>264.18049999999999</v>
      </c>
      <c r="I32">
        <v>176.12</v>
      </c>
      <c r="J32">
        <v>168.57001179118001</v>
      </c>
      <c r="L32" s="9">
        <f>L31+H32</f>
        <v>264.52760000000001</v>
      </c>
      <c r="M32" s="49"/>
      <c r="Q32" s="45">
        <v>1</v>
      </c>
      <c r="R32">
        <v>30</v>
      </c>
      <c r="S32">
        <v>45527.304199999999</v>
      </c>
    </row>
    <row r="33" spans="1:19">
      <c r="A33">
        <v>1</v>
      </c>
      <c r="B33">
        <v>5</v>
      </c>
      <c r="C33" t="s">
        <v>9</v>
      </c>
      <c r="D33">
        <v>91</v>
      </c>
      <c r="E33" s="44">
        <v>42201.719108796293</v>
      </c>
      <c r="F33">
        <v>1</v>
      </c>
      <c r="G33" t="s">
        <v>81</v>
      </c>
      <c r="H33">
        <v>259.52999999999997</v>
      </c>
      <c r="I33">
        <v>176.1292</v>
      </c>
      <c r="J33">
        <v>207.11000655030199</v>
      </c>
      <c r="K33" s="50">
        <v>227.7</v>
      </c>
      <c r="L33" s="9">
        <f>L32-H33</f>
        <v>4.997600000000034</v>
      </c>
      <c r="M33" s="49"/>
      <c r="N33" s="49"/>
      <c r="O33" s="15"/>
      <c r="Q33" s="45">
        <v>1</v>
      </c>
      <c r="R33" t="s">
        <v>75</v>
      </c>
      <c r="S33" t="s">
        <v>75</v>
      </c>
    </row>
    <row r="34" spans="1:19">
      <c r="E34" s="44"/>
      <c r="L34" s="9"/>
      <c r="M34" s="49"/>
    </row>
    <row r="35" spans="1:19">
      <c r="A35">
        <v>1</v>
      </c>
      <c r="B35">
        <v>6</v>
      </c>
      <c r="C35" t="s">
        <v>50</v>
      </c>
      <c r="D35">
        <v>7</v>
      </c>
      <c r="E35" s="44">
        <v>41492.000011574077</v>
      </c>
      <c r="F35">
        <v>0</v>
      </c>
      <c r="G35" t="s">
        <v>8</v>
      </c>
      <c r="H35">
        <v>24.091999999999999</v>
      </c>
      <c r="I35">
        <v>250.44122530300501</v>
      </c>
      <c r="J35">
        <v>250.44122530300501</v>
      </c>
      <c r="L35" s="9">
        <f>L34+H35</f>
        <v>24.091999999999999</v>
      </c>
      <c r="M35" s="49"/>
      <c r="Q35" s="45" t="s">
        <v>75</v>
      </c>
      <c r="R35" t="s">
        <v>75</v>
      </c>
      <c r="S35">
        <v>6033.63</v>
      </c>
    </row>
    <row r="36" spans="1:19">
      <c r="A36">
        <v>1</v>
      </c>
      <c r="B36">
        <v>6</v>
      </c>
      <c r="C36" t="s">
        <v>50</v>
      </c>
      <c r="D36">
        <v>39</v>
      </c>
      <c r="E36" s="44">
        <v>41673.000011574077</v>
      </c>
      <c r="F36">
        <v>0</v>
      </c>
      <c r="G36" t="s">
        <v>80</v>
      </c>
      <c r="H36">
        <v>3.1440000000000001</v>
      </c>
      <c r="I36">
        <v>310.83</v>
      </c>
      <c r="J36">
        <v>304.86641221373998</v>
      </c>
      <c r="L36" s="9">
        <f>L35+H36</f>
        <v>27.235999999999997</v>
      </c>
      <c r="M36" s="49"/>
      <c r="Q36" s="45">
        <v>2</v>
      </c>
      <c r="R36">
        <v>38</v>
      </c>
      <c r="S36">
        <v>977.25</v>
      </c>
    </row>
    <row r="37" spans="1:19">
      <c r="A37">
        <v>1</v>
      </c>
      <c r="B37">
        <v>6</v>
      </c>
      <c r="C37" t="s">
        <v>50</v>
      </c>
      <c r="D37">
        <v>40</v>
      </c>
      <c r="E37" s="44">
        <v>42047</v>
      </c>
      <c r="F37">
        <v>1</v>
      </c>
      <c r="G37" t="s">
        <v>81</v>
      </c>
      <c r="H37">
        <v>15</v>
      </c>
      <c r="I37">
        <f>I35</f>
        <v>250.44122530300501</v>
      </c>
      <c r="J37">
        <v>457.97993333333301</v>
      </c>
      <c r="L37" s="9">
        <f>L36-H37</f>
        <v>12.235999999999997</v>
      </c>
      <c r="M37" s="49"/>
      <c r="Q37" s="45">
        <v>3</v>
      </c>
      <c r="R37" t="s">
        <v>75</v>
      </c>
      <c r="S37" t="s">
        <v>75</v>
      </c>
    </row>
    <row r="38" spans="1:19">
      <c r="A38">
        <v>1</v>
      </c>
      <c r="B38">
        <v>6</v>
      </c>
      <c r="C38" t="s">
        <v>50</v>
      </c>
      <c r="D38">
        <v>96</v>
      </c>
      <c r="E38" s="44">
        <v>42208.759375000001</v>
      </c>
      <c r="F38">
        <v>0</v>
      </c>
      <c r="G38" t="s">
        <v>80</v>
      </c>
      <c r="H38">
        <v>10.042999999999999</v>
      </c>
      <c r="I38" s="48">
        <v>322.02</v>
      </c>
      <c r="J38">
        <v>591.12317036742002</v>
      </c>
      <c r="L38" s="9">
        <f>L37+H38</f>
        <v>22.278999999999996</v>
      </c>
      <c r="M38" s="49"/>
      <c r="Q38" s="45">
        <v>3</v>
      </c>
      <c r="R38">
        <v>95</v>
      </c>
      <c r="S38">
        <v>3234.2046999999998</v>
      </c>
    </row>
    <row r="39" spans="1:19">
      <c r="A39">
        <v>1</v>
      </c>
      <c r="B39">
        <v>6</v>
      </c>
      <c r="C39" t="s">
        <v>50</v>
      </c>
      <c r="D39">
        <v>104</v>
      </c>
      <c r="E39" s="44">
        <v>42311.831203703703</v>
      </c>
      <c r="F39">
        <v>0</v>
      </c>
      <c r="G39" t="s">
        <v>80</v>
      </c>
      <c r="H39">
        <v>4.7E-2</v>
      </c>
      <c r="I39">
        <v>484.05</v>
      </c>
      <c r="J39">
        <v>507.02127659574398</v>
      </c>
      <c r="K39" s="3">
        <v>493.9513</v>
      </c>
      <c r="L39" s="9">
        <f>L38+H39</f>
        <v>22.325999999999997</v>
      </c>
      <c r="M39" s="49">
        <f>L39*I39</f>
        <v>10806.900299999999</v>
      </c>
      <c r="N39" s="49">
        <f>K39*L39</f>
        <v>11027.956723799998</v>
      </c>
      <c r="O39" s="15">
        <f>N39-M39</f>
        <v>221.05642379999881</v>
      </c>
      <c r="Q39" s="45">
        <v>2</v>
      </c>
      <c r="R39">
        <v>103</v>
      </c>
      <c r="S39">
        <v>22.750399999999999</v>
      </c>
    </row>
    <row r="40" spans="1:19">
      <c r="E40" s="44"/>
      <c r="L40" s="9"/>
      <c r="M40" s="49"/>
    </row>
    <row r="41" spans="1:19">
      <c r="A41">
        <v>1</v>
      </c>
      <c r="B41">
        <v>10</v>
      </c>
      <c r="C41" t="s">
        <v>12</v>
      </c>
      <c r="D41">
        <v>15</v>
      </c>
      <c r="E41" s="44">
        <v>36841</v>
      </c>
      <c r="F41">
        <v>0</v>
      </c>
      <c r="G41" t="s">
        <v>8</v>
      </c>
      <c r="H41">
        <v>679.64</v>
      </c>
      <c r="I41">
        <v>22.9920399034783</v>
      </c>
      <c r="J41">
        <v>22.9920399034783</v>
      </c>
      <c r="L41" s="9">
        <f>L40+H41</f>
        <v>679.64</v>
      </c>
      <c r="M41" s="49"/>
      <c r="Q41" s="45" t="s">
        <v>75</v>
      </c>
      <c r="R41" t="s">
        <v>75</v>
      </c>
      <c r="S41">
        <v>15626.31</v>
      </c>
    </row>
    <row r="42" spans="1:19">
      <c r="A42">
        <v>1</v>
      </c>
      <c r="B42">
        <v>10</v>
      </c>
      <c r="C42" t="s">
        <v>12</v>
      </c>
      <c r="D42">
        <v>23</v>
      </c>
      <c r="E42" s="44">
        <v>41383</v>
      </c>
      <c r="F42">
        <v>1</v>
      </c>
      <c r="G42" t="s">
        <v>81</v>
      </c>
      <c r="H42">
        <v>679.64</v>
      </c>
      <c r="I42">
        <v>22.992000000000001</v>
      </c>
      <c r="J42">
        <v>8.1098375610617399</v>
      </c>
      <c r="L42" s="9">
        <f>L41-H42</f>
        <v>0</v>
      </c>
      <c r="M42" s="49"/>
      <c r="N42" s="49"/>
      <c r="O42" s="49"/>
      <c r="Q42" s="45">
        <v>11</v>
      </c>
      <c r="R42" t="s">
        <v>75</v>
      </c>
      <c r="S42" t="s">
        <v>75</v>
      </c>
    </row>
    <row r="43" spans="1:19">
      <c r="E43" s="44"/>
      <c r="L43" s="9"/>
      <c r="M43" s="49"/>
    </row>
    <row r="44" spans="1:19">
      <c r="A44">
        <v>1</v>
      </c>
      <c r="B44">
        <v>11</v>
      </c>
      <c r="C44" t="s">
        <v>11</v>
      </c>
      <c r="D44">
        <v>16</v>
      </c>
      <c r="E44" s="44">
        <v>41166</v>
      </c>
      <c r="F44">
        <v>0</v>
      </c>
      <c r="G44" t="s">
        <v>8</v>
      </c>
      <c r="H44">
        <v>547.645126</v>
      </c>
      <c r="I44">
        <v>18.259999998612201</v>
      </c>
      <c r="J44">
        <v>18.259999998612201</v>
      </c>
      <c r="L44" s="9">
        <f>L43+H44</f>
        <v>547.645126</v>
      </c>
      <c r="M44" s="49"/>
      <c r="Q44" s="45" t="s">
        <v>75</v>
      </c>
      <c r="R44" t="s">
        <v>75</v>
      </c>
      <c r="S44">
        <v>10000</v>
      </c>
    </row>
    <row r="45" spans="1:19">
      <c r="A45">
        <v>1</v>
      </c>
      <c r="B45">
        <v>11</v>
      </c>
      <c r="C45" t="s">
        <v>11</v>
      </c>
      <c r="D45">
        <v>17</v>
      </c>
      <c r="E45" s="44">
        <v>41377</v>
      </c>
      <c r="F45">
        <v>0</v>
      </c>
      <c r="G45" t="s">
        <v>8</v>
      </c>
      <c r="H45">
        <v>1010.611</v>
      </c>
      <c r="I45">
        <v>19.7899983277443</v>
      </c>
      <c r="J45">
        <v>19.7899983277443</v>
      </c>
      <c r="L45" s="9">
        <f>L44+H45</f>
        <v>1558.256126</v>
      </c>
      <c r="M45" s="49"/>
      <c r="Q45" s="45" t="s">
        <v>75</v>
      </c>
      <c r="R45" t="s">
        <v>75</v>
      </c>
      <c r="S45">
        <v>19999.990000000002</v>
      </c>
    </row>
    <row r="46" spans="1:19">
      <c r="A46">
        <v>1</v>
      </c>
      <c r="B46">
        <v>11</v>
      </c>
      <c r="C46" t="s">
        <v>11</v>
      </c>
      <c r="D46">
        <v>24</v>
      </c>
      <c r="E46" s="44">
        <v>41383.000011574077</v>
      </c>
      <c r="F46">
        <v>0</v>
      </c>
      <c r="G46" t="s">
        <v>80</v>
      </c>
      <c r="H46">
        <v>280.07</v>
      </c>
      <c r="I46">
        <v>55.793999999999997</v>
      </c>
      <c r="J46">
        <v>19.6799728639268</v>
      </c>
      <c r="L46" s="9">
        <f>L45+H46</f>
        <v>1838.3261259999999</v>
      </c>
      <c r="M46" s="49"/>
      <c r="Q46" s="45">
        <v>10</v>
      </c>
      <c r="R46">
        <v>23</v>
      </c>
      <c r="S46">
        <v>15626.31</v>
      </c>
    </row>
    <row r="47" spans="1:19">
      <c r="A47">
        <v>1</v>
      </c>
      <c r="B47">
        <v>11</v>
      </c>
      <c r="C47" t="s">
        <v>11</v>
      </c>
      <c r="D47">
        <v>25</v>
      </c>
      <c r="E47" s="44">
        <v>41439</v>
      </c>
      <c r="F47">
        <v>1</v>
      </c>
      <c r="G47" t="s">
        <v>81</v>
      </c>
      <c r="H47">
        <v>1838.3261259999999</v>
      </c>
      <c r="I47">
        <v>24.819400000000002</v>
      </c>
      <c r="J47">
        <v>18.949999952293499</v>
      </c>
      <c r="L47" s="9">
        <f>L46-H47</f>
        <v>0</v>
      </c>
      <c r="M47" s="49"/>
      <c r="N47" s="49"/>
      <c r="O47" s="49"/>
      <c r="Q47" s="45">
        <v>5</v>
      </c>
      <c r="R47" t="s">
        <v>75</v>
      </c>
      <c r="S47" t="s">
        <v>75</v>
      </c>
    </row>
    <row r="48" spans="1:19">
      <c r="E48" s="44"/>
      <c r="L48" s="9"/>
      <c r="M48" s="49"/>
    </row>
    <row r="49" spans="1:19">
      <c r="A49">
        <v>1</v>
      </c>
      <c r="B49">
        <v>12</v>
      </c>
      <c r="C49" t="s">
        <v>54</v>
      </c>
      <c r="D49">
        <v>32</v>
      </c>
      <c r="E49" s="44">
        <v>41166.000011574077</v>
      </c>
      <c r="F49">
        <v>0</v>
      </c>
      <c r="G49" t="s">
        <v>8</v>
      </c>
      <c r="H49">
        <v>5006.5078999999996</v>
      </c>
      <c r="I49">
        <v>1.9974000000000001</v>
      </c>
      <c r="J49">
        <v>1.9974000000000001</v>
      </c>
      <c r="L49" s="9">
        <f>L48+H49</f>
        <v>5006.5078999999996</v>
      </c>
      <c r="M49" s="49"/>
      <c r="Q49" s="45" t="s">
        <v>75</v>
      </c>
      <c r="R49" t="s">
        <v>75</v>
      </c>
      <c r="S49">
        <v>9999.9988794599994</v>
      </c>
    </row>
    <row r="50" spans="1:19">
      <c r="A50">
        <v>1</v>
      </c>
      <c r="B50">
        <v>12</v>
      </c>
      <c r="C50" t="s">
        <v>54</v>
      </c>
      <c r="D50">
        <v>33</v>
      </c>
      <c r="E50" s="44">
        <v>41385</v>
      </c>
      <c r="F50">
        <v>1</v>
      </c>
      <c r="G50" t="s">
        <v>81</v>
      </c>
      <c r="H50">
        <v>5006.5078999999996</v>
      </c>
      <c r="I50">
        <v>1.9974000000000001</v>
      </c>
      <c r="J50">
        <v>2.0725623942389002</v>
      </c>
      <c r="L50" s="9">
        <f>L49-H50</f>
        <v>0</v>
      </c>
      <c r="M50" s="49"/>
      <c r="N50" s="49"/>
      <c r="O50" s="49"/>
      <c r="Q50" s="45">
        <v>13</v>
      </c>
      <c r="R50" t="s">
        <v>75</v>
      </c>
      <c r="S50" t="s">
        <v>75</v>
      </c>
    </row>
    <row r="51" spans="1:19">
      <c r="E51" s="44"/>
      <c r="L51" s="9"/>
      <c r="M51" s="49"/>
    </row>
    <row r="52" spans="1:19">
      <c r="A52">
        <v>1</v>
      </c>
      <c r="B52">
        <v>13</v>
      </c>
      <c r="C52" t="s">
        <v>53</v>
      </c>
      <c r="D52">
        <v>34</v>
      </c>
      <c r="E52" s="44">
        <v>41385.000011574077</v>
      </c>
      <c r="F52">
        <v>0</v>
      </c>
      <c r="G52" t="s">
        <v>80</v>
      </c>
      <c r="H52">
        <v>394.85</v>
      </c>
      <c r="I52">
        <v>25.321000000000002</v>
      </c>
      <c r="J52">
        <v>26.279093326579702</v>
      </c>
      <c r="L52" s="9">
        <f>L51+H52</f>
        <v>394.85</v>
      </c>
      <c r="M52" s="49"/>
      <c r="Q52" s="45">
        <v>12</v>
      </c>
      <c r="R52">
        <v>33</v>
      </c>
      <c r="S52">
        <v>10000</v>
      </c>
    </row>
    <row r="53" spans="1:19">
      <c r="A53">
        <v>1</v>
      </c>
      <c r="B53">
        <v>13</v>
      </c>
      <c r="C53" t="s">
        <v>53</v>
      </c>
      <c r="D53">
        <v>42</v>
      </c>
      <c r="E53" s="44">
        <v>41436.000011574077</v>
      </c>
      <c r="F53">
        <v>1</v>
      </c>
      <c r="G53" t="s">
        <v>41</v>
      </c>
      <c r="H53">
        <v>394.85</v>
      </c>
      <c r="I53">
        <v>25.321000000000002</v>
      </c>
      <c r="J53">
        <v>24.609000886412499</v>
      </c>
      <c r="L53" s="9">
        <f>L52-H53</f>
        <v>0</v>
      </c>
      <c r="M53" s="49">
        <f>(H53+L53)*I53</f>
        <v>9997.9968500000014</v>
      </c>
      <c r="N53" s="49">
        <f>J53*H53+L53*K53</f>
        <v>9716.8639999999759</v>
      </c>
      <c r="O53" s="15">
        <f>N53-M53</f>
        <v>-281.13285000002543</v>
      </c>
      <c r="Q53" s="45" t="s">
        <v>75</v>
      </c>
      <c r="R53" t="s">
        <v>75</v>
      </c>
      <c r="S53" t="s">
        <v>75</v>
      </c>
    </row>
    <row r="54" spans="1:19">
      <c r="E54" s="44"/>
      <c r="L54" s="9"/>
      <c r="M54" s="49"/>
    </row>
    <row r="55" spans="1:19">
      <c r="A55">
        <v>1</v>
      </c>
      <c r="B55">
        <v>14</v>
      </c>
      <c r="C55" t="s">
        <v>77</v>
      </c>
      <c r="D55">
        <v>35</v>
      </c>
      <c r="E55" s="44">
        <v>41201</v>
      </c>
      <c r="F55">
        <v>0</v>
      </c>
      <c r="G55" t="s">
        <v>8</v>
      </c>
      <c r="H55">
        <v>21.84</v>
      </c>
      <c r="I55">
        <v>549.56456043955995</v>
      </c>
      <c r="J55">
        <v>549.56456043955995</v>
      </c>
      <c r="L55" s="9">
        <f>L54+H55</f>
        <v>21.84</v>
      </c>
      <c r="M55" s="49"/>
      <c r="Q55" s="45" t="s">
        <v>75</v>
      </c>
      <c r="R55" t="s">
        <v>75</v>
      </c>
      <c r="S55">
        <v>12002.49</v>
      </c>
    </row>
    <row r="56" spans="1:19">
      <c r="A56">
        <v>1</v>
      </c>
      <c r="B56">
        <v>14</v>
      </c>
      <c r="C56" t="s">
        <v>77</v>
      </c>
      <c r="D56">
        <v>36</v>
      </c>
      <c r="E56" s="44">
        <v>41436</v>
      </c>
      <c r="F56">
        <v>1</v>
      </c>
      <c r="G56" t="s">
        <v>41</v>
      </c>
      <c r="H56">
        <v>21.84</v>
      </c>
      <c r="I56">
        <v>549.56460000000004</v>
      </c>
      <c r="J56">
        <v>547.44001831501805</v>
      </c>
      <c r="L56" s="9">
        <f>L55-H56</f>
        <v>0</v>
      </c>
      <c r="M56" s="49">
        <f>(H56+L56)*I56</f>
        <v>12002.490864000001</v>
      </c>
      <c r="N56" s="49">
        <f>J56*H56+L56*K56</f>
        <v>11956.089999999995</v>
      </c>
      <c r="O56" s="15">
        <f>N56-M56</f>
        <v>-46.40086400000655</v>
      </c>
      <c r="Q56" s="45" t="s">
        <v>75</v>
      </c>
      <c r="R56" t="s">
        <v>75</v>
      </c>
      <c r="S56" t="s">
        <v>75</v>
      </c>
    </row>
    <row r="57" spans="1:19">
      <c r="E57" s="44"/>
      <c r="L57" s="9"/>
      <c r="M57" s="49"/>
    </row>
    <row r="58" spans="1:19">
      <c r="A58">
        <v>1</v>
      </c>
      <c r="B58">
        <v>15</v>
      </c>
      <c r="C58" t="s">
        <v>78</v>
      </c>
      <c r="D58">
        <v>98</v>
      </c>
      <c r="E58" s="44">
        <v>42219.795451388891</v>
      </c>
      <c r="F58">
        <v>0</v>
      </c>
      <c r="G58" t="s">
        <v>8</v>
      </c>
      <c r="H58">
        <v>112.246</v>
      </c>
      <c r="I58">
        <v>8.9090034388753203</v>
      </c>
      <c r="J58">
        <v>8.9090034388753203</v>
      </c>
      <c r="L58" s="9">
        <f>L57+H58</f>
        <v>112.246</v>
      </c>
      <c r="M58" s="49"/>
      <c r="Q58" s="45" t="s">
        <v>75</v>
      </c>
      <c r="R58" t="s">
        <v>75</v>
      </c>
      <c r="S58">
        <v>1000</v>
      </c>
    </row>
    <row r="59" spans="1:19">
      <c r="A59">
        <v>1</v>
      </c>
      <c r="B59">
        <v>15</v>
      </c>
      <c r="C59" t="s">
        <v>78</v>
      </c>
      <c r="D59">
        <v>122</v>
      </c>
      <c r="E59" s="44">
        <v>42635.715057870373</v>
      </c>
      <c r="F59">
        <v>0</v>
      </c>
      <c r="G59" t="s">
        <v>8</v>
      </c>
      <c r="H59">
        <v>5585.1589999999997</v>
      </c>
      <c r="I59">
        <v>8.952</v>
      </c>
      <c r="J59">
        <v>8.952</v>
      </c>
      <c r="K59" s="3">
        <v>9.6896000000000004</v>
      </c>
      <c r="L59" s="9">
        <f>L58+H59</f>
        <v>5697.4049999999997</v>
      </c>
      <c r="M59" s="49">
        <f>L59*I59</f>
        <v>51003.169559999995</v>
      </c>
      <c r="N59" s="49">
        <f>K59*L59</f>
        <v>55205.575488000002</v>
      </c>
      <c r="O59" s="15">
        <f>N59-M59</f>
        <v>4202.4059280000074</v>
      </c>
      <c r="Q59" s="45" t="s">
        <v>75</v>
      </c>
      <c r="R59" t="s">
        <v>75</v>
      </c>
      <c r="S59">
        <v>49998.3433679999</v>
      </c>
    </row>
    <row r="60" spans="1:19">
      <c r="E60" s="44"/>
      <c r="L60" s="9"/>
      <c r="M60" s="49"/>
    </row>
    <row r="61" spans="1:19">
      <c r="A61">
        <v>1</v>
      </c>
      <c r="B61">
        <v>16</v>
      </c>
      <c r="C61" t="s">
        <v>0</v>
      </c>
      <c r="D61">
        <v>101</v>
      </c>
      <c r="E61" s="44">
        <v>42279.463807870372</v>
      </c>
      <c r="F61">
        <v>0</v>
      </c>
      <c r="G61" t="s">
        <v>80</v>
      </c>
      <c r="H61">
        <v>160.75280000000001</v>
      </c>
      <c r="I61" s="47">
        <v>280.18900000000002</v>
      </c>
      <c r="J61">
        <v>323.52997894904399</v>
      </c>
      <c r="K61" s="3">
        <v>395.12</v>
      </c>
      <c r="L61" s="9">
        <f>L60+H61</f>
        <v>160.75280000000001</v>
      </c>
      <c r="M61" s="49">
        <f>L61*I61</f>
        <v>45041.166279200006</v>
      </c>
      <c r="N61" s="49">
        <f>K61*L61</f>
        <v>63516.646336000005</v>
      </c>
      <c r="O61" s="15">
        <f>N61-M61</f>
        <v>18475.480056799999</v>
      </c>
      <c r="Q61" s="45">
        <v>1</v>
      </c>
      <c r="R61">
        <v>100</v>
      </c>
      <c r="S61">
        <v>45033.863799999999</v>
      </c>
    </row>
    <row r="62" spans="1:19">
      <c r="E62" s="44"/>
      <c r="L62" s="9"/>
      <c r="M62" s="49"/>
    </row>
    <row r="63" spans="1:19">
      <c r="A63">
        <v>1</v>
      </c>
      <c r="B63">
        <v>19</v>
      </c>
      <c r="C63" t="s">
        <v>76</v>
      </c>
      <c r="D63">
        <v>108</v>
      </c>
      <c r="E63" s="44">
        <v>42387.492534722223</v>
      </c>
      <c r="F63">
        <v>0</v>
      </c>
      <c r="G63" t="s">
        <v>8</v>
      </c>
      <c r="H63">
        <v>0.53749999999999998</v>
      </c>
      <c r="I63">
        <v>1860.4651162790699</v>
      </c>
      <c r="J63">
        <v>1860.4651162790699</v>
      </c>
      <c r="K63" s="3">
        <v>1913.5847000000001</v>
      </c>
      <c r="L63" s="9">
        <f>L62+H63</f>
        <v>0.53749999999999998</v>
      </c>
      <c r="M63" s="49">
        <f>L63*I63</f>
        <v>1000</v>
      </c>
      <c r="N63" s="49">
        <f>K63*L63</f>
        <v>1028.5517762500001</v>
      </c>
      <c r="O63" s="15">
        <f>N63-M63</f>
        <v>28.551776250000103</v>
      </c>
      <c r="Q63" s="45" t="s">
        <v>75</v>
      </c>
      <c r="R63" t="s">
        <v>75</v>
      </c>
      <c r="S63">
        <v>1000</v>
      </c>
    </row>
    <row r="64" spans="1:19">
      <c r="E64" s="44"/>
      <c r="L64" s="9"/>
      <c r="M64" s="49"/>
      <c r="O64" s="52">
        <f>SUM(O7:O63)</f>
        <v>20988.495637115971</v>
      </c>
    </row>
    <row r="65" spans="1:19">
      <c r="E65" s="44"/>
      <c r="L65" s="9"/>
      <c r="M65" s="49"/>
    </row>
    <row r="66" spans="1:19">
      <c r="E66" s="44"/>
      <c r="L66" s="9"/>
      <c r="M66" s="49"/>
    </row>
    <row r="67" spans="1:19">
      <c r="A67">
        <v>2</v>
      </c>
      <c r="B67">
        <v>15</v>
      </c>
      <c r="C67" t="s">
        <v>78</v>
      </c>
      <c r="D67">
        <v>124</v>
      </c>
      <c r="E67" s="44">
        <v>42696.26803240741</v>
      </c>
      <c r="F67">
        <v>0</v>
      </c>
      <c r="G67" t="s">
        <v>8</v>
      </c>
      <c r="H67">
        <v>2607.6527000000001</v>
      </c>
      <c r="I67">
        <v>8.82</v>
      </c>
      <c r="J67">
        <v>8.82</v>
      </c>
      <c r="K67" s="3">
        <v>9.6896000000000004</v>
      </c>
      <c r="L67" s="9">
        <f>L66+H67</f>
        <v>2607.6527000000001</v>
      </c>
      <c r="M67" s="49">
        <f>L67*I67</f>
        <v>22999.496814000002</v>
      </c>
      <c r="N67" s="49">
        <f>K67*L67</f>
        <v>25267.111601920002</v>
      </c>
      <c r="O67" s="49">
        <f>N67-M67</f>
        <v>2267.6147879199998</v>
      </c>
      <c r="Q67" s="45" t="s">
        <v>75</v>
      </c>
      <c r="R67" t="s">
        <v>75</v>
      </c>
      <c r="S67">
        <v>22999.496813999998</v>
      </c>
    </row>
    <row r="68" spans="1:19">
      <c r="E68" s="44"/>
    </row>
    <row r="69" spans="1:19">
      <c r="E69" s="44"/>
    </row>
    <row r="70" spans="1:19">
      <c r="E70" s="44"/>
    </row>
    <row r="71" spans="1:19" ht="23.4">
      <c r="B71" s="53" t="s">
        <v>96</v>
      </c>
      <c r="E71" s="44"/>
    </row>
    <row r="72" spans="1:19">
      <c r="A72">
        <v>1</v>
      </c>
      <c r="B72">
        <v>7</v>
      </c>
      <c r="C72" t="s">
        <v>87</v>
      </c>
      <c r="D72">
        <v>79</v>
      </c>
      <c r="E72" s="44">
        <v>41711</v>
      </c>
      <c r="F72">
        <v>0</v>
      </c>
      <c r="G72" t="s">
        <v>8</v>
      </c>
      <c r="H72">
        <v>925</v>
      </c>
      <c r="I72" s="54">
        <v>10.824999999999999</v>
      </c>
      <c r="J72" s="54">
        <v>10.824999999999999</v>
      </c>
      <c r="K72" s="55"/>
      <c r="L72" s="9"/>
      <c r="Q72" t="s">
        <v>75</v>
      </c>
      <c r="R72" s="45" t="s">
        <v>75</v>
      </c>
      <c r="S72">
        <v>10028.184999999999</v>
      </c>
    </row>
    <row r="73" spans="1:19">
      <c r="A73">
        <v>1</v>
      </c>
      <c r="B73">
        <v>7</v>
      </c>
      <c r="C73" t="s">
        <v>87</v>
      </c>
      <c r="D73">
        <v>80</v>
      </c>
      <c r="E73" s="44">
        <v>41717</v>
      </c>
      <c r="F73">
        <v>1</v>
      </c>
      <c r="G73" t="s">
        <v>41</v>
      </c>
      <c r="H73">
        <v>925</v>
      </c>
      <c r="I73" s="54">
        <v>10.824999999999999</v>
      </c>
      <c r="J73" s="54">
        <v>11.05</v>
      </c>
      <c r="K73" s="55"/>
      <c r="L73" s="9"/>
      <c r="M73" s="15">
        <f>H73*I73</f>
        <v>10013.125</v>
      </c>
      <c r="N73" s="15">
        <f>H73*J73</f>
        <v>10221.25</v>
      </c>
      <c r="O73" s="15">
        <f>N73-M73</f>
        <v>208.125</v>
      </c>
      <c r="Q73" t="s">
        <v>75</v>
      </c>
      <c r="R73" s="45" t="s">
        <v>75</v>
      </c>
      <c r="S73" t="s">
        <v>75</v>
      </c>
    </row>
    <row r="74" spans="1:19">
      <c r="A74">
        <v>1</v>
      </c>
      <c r="B74">
        <v>7</v>
      </c>
      <c r="C74" t="s">
        <v>87</v>
      </c>
      <c r="D74">
        <v>81</v>
      </c>
      <c r="E74" s="44">
        <v>41830</v>
      </c>
      <c r="F74">
        <v>0</v>
      </c>
      <c r="G74" t="s">
        <v>8</v>
      </c>
      <c r="H74">
        <v>929</v>
      </c>
      <c r="I74" s="54">
        <v>10.74</v>
      </c>
      <c r="J74" s="54">
        <v>10.74</v>
      </c>
      <c r="K74" s="55"/>
      <c r="L74" s="9"/>
      <c r="Q74" t="s">
        <v>75</v>
      </c>
      <c r="R74" s="45" t="s">
        <v>75</v>
      </c>
      <c r="S74">
        <v>9992.52</v>
      </c>
    </row>
    <row r="75" spans="1:19">
      <c r="A75">
        <v>1</v>
      </c>
      <c r="B75">
        <v>7</v>
      </c>
      <c r="C75" t="s">
        <v>87</v>
      </c>
      <c r="D75">
        <v>82</v>
      </c>
      <c r="E75" s="44">
        <v>41877</v>
      </c>
      <c r="F75">
        <v>1</v>
      </c>
      <c r="G75" t="s">
        <v>41</v>
      </c>
      <c r="H75">
        <v>929</v>
      </c>
      <c r="I75" s="54">
        <v>10.74</v>
      </c>
      <c r="J75" s="54">
        <v>10.98</v>
      </c>
      <c r="K75" s="55"/>
      <c r="L75" s="9"/>
      <c r="M75" s="15">
        <f>H75*I75</f>
        <v>9977.4600000000009</v>
      </c>
      <c r="N75" s="15">
        <f>H75*J75</f>
        <v>10200.42</v>
      </c>
      <c r="O75" s="15">
        <f>N75-M75</f>
        <v>222.95999999999913</v>
      </c>
      <c r="Q75" t="s">
        <v>75</v>
      </c>
      <c r="R75" s="45" t="s">
        <v>75</v>
      </c>
      <c r="S75" t="s">
        <v>75</v>
      </c>
    </row>
    <row r="76" spans="1:19">
      <c r="A76">
        <v>1</v>
      </c>
      <c r="B76">
        <v>7</v>
      </c>
      <c r="C76" t="s">
        <v>87</v>
      </c>
      <c r="D76">
        <v>83</v>
      </c>
      <c r="E76" s="44">
        <v>41984</v>
      </c>
      <c r="F76">
        <v>0</v>
      </c>
      <c r="G76" t="s">
        <v>8</v>
      </c>
      <c r="H76">
        <v>5386</v>
      </c>
      <c r="I76" s="54">
        <v>9.2677385815076097</v>
      </c>
      <c r="J76" s="54">
        <v>9.2677385815076097</v>
      </c>
      <c r="K76" s="55"/>
      <c r="L76" s="9"/>
      <c r="Q76" t="s">
        <v>75</v>
      </c>
      <c r="R76" s="45" t="s">
        <v>75</v>
      </c>
      <c r="S76">
        <v>49936.18</v>
      </c>
    </row>
    <row r="77" spans="1:19">
      <c r="A77">
        <v>1</v>
      </c>
      <c r="B77">
        <v>7</v>
      </c>
      <c r="C77" t="s">
        <v>87</v>
      </c>
      <c r="D77">
        <v>84</v>
      </c>
      <c r="E77" s="44">
        <v>42047.000023148146</v>
      </c>
      <c r="F77">
        <v>1</v>
      </c>
      <c r="G77" t="s">
        <v>41</v>
      </c>
      <c r="H77">
        <v>5386</v>
      </c>
      <c r="I77" s="54">
        <v>9.2676999999999996</v>
      </c>
      <c r="J77" s="54">
        <v>9.0449999999999999</v>
      </c>
      <c r="K77" s="55"/>
      <c r="L77" s="9"/>
      <c r="M77" s="15">
        <f>H77*I77</f>
        <v>49915.832199999997</v>
      </c>
      <c r="N77" s="15">
        <f>H77*J77</f>
        <v>48716.37</v>
      </c>
      <c r="O77" s="15">
        <f>N77-M77</f>
        <v>-1199.4621999999945</v>
      </c>
      <c r="Q77" t="s">
        <v>75</v>
      </c>
      <c r="R77" s="45" t="s">
        <v>75</v>
      </c>
      <c r="S77" t="s">
        <v>75</v>
      </c>
    </row>
    <row r="78" spans="1:19">
      <c r="A78">
        <v>1</v>
      </c>
      <c r="B78">
        <v>7</v>
      </c>
      <c r="C78" t="s">
        <v>87</v>
      </c>
      <c r="D78">
        <v>94</v>
      </c>
      <c r="E78" s="44">
        <v>42212.556203703702</v>
      </c>
      <c r="F78">
        <v>0</v>
      </c>
      <c r="G78" t="s">
        <v>8</v>
      </c>
      <c r="H78">
        <v>6415</v>
      </c>
      <c r="I78" s="54">
        <v>7.7939999999999996</v>
      </c>
      <c r="J78" s="54">
        <v>7.7939999999999996</v>
      </c>
      <c r="K78" s="55"/>
      <c r="L78" s="9"/>
      <c r="Q78" t="s">
        <v>75</v>
      </c>
      <c r="R78" s="45" t="s">
        <v>75</v>
      </c>
      <c r="S78">
        <v>50018.66</v>
      </c>
    </row>
    <row r="79" spans="1:19">
      <c r="A79">
        <v>1</v>
      </c>
      <c r="B79">
        <v>7</v>
      </c>
      <c r="C79" t="s">
        <v>87</v>
      </c>
      <c r="D79">
        <v>97</v>
      </c>
      <c r="E79" s="44">
        <v>42214.282905092594</v>
      </c>
      <c r="F79">
        <v>1</v>
      </c>
      <c r="G79" t="s">
        <v>41</v>
      </c>
      <c r="H79">
        <v>6415</v>
      </c>
      <c r="I79" s="54">
        <v>7.7939999999999996</v>
      </c>
      <c r="J79" s="54">
        <v>8.19</v>
      </c>
      <c r="K79" s="55"/>
      <c r="L79" s="9"/>
      <c r="M79" s="15">
        <f>H79*I79</f>
        <v>49998.509999999995</v>
      </c>
      <c r="N79" s="15">
        <f>H79*J79</f>
        <v>52538.85</v>
      </c>
      <c r="O79" s="15">
        <f>N79-M79</f>
        <v>2540.3400000000038</v>
      </c>
      <c r="Q79" t="s">
        <v>75</v>
      </c>
      <c r="R79" s="45" t="s">
        <v>75</v>
      </c>
      <c r="S79" t="s">
        <v>75</v>
      </c>
    </row>
    <row r="80" spans="1:19">
      <c r="A80">
        <v>1</v>
      </c>
      <c r="B80">
        <v>7</v>
      </c>
      <c r="C80" t="s">
        <v>87</v>
      </c>
      <c r="D80">
        <v>138</v>
      </c>
      <c r="E80" s="44">
        <v>42822.416643518518</v>
      </c>
      <c r="F80">
        <v>0</v>
      </c>
      <c r="G80" t="s">
        <v>8</v>
      </c>
      <c r="H80">
        <v>527</v>
      </c>
      <c r="I80" s="54">
        <v>22.773</v>
      </c>
      <c r="J80" s="54">
        <v>22.773</v>
      </c>
      <c r="K80" s="56">
        <v>23</v>
      </c>
      <c r="L80" s="9"/>
      <c r="M80" s="15">
        <f>H80*I80</f>
        <v>12001.370999999999</v>
      </c>
      <c r="N80" s="15">
        <f>H80*K80</f>
        <v>12121</v>
      </c>
      <c r="O80" s="15">
        <f>N80-M80</f>
        <v>119.62900000000081</v>
      </c>
      <c r="Q80" t="s">
        <v>75</v>
      </c>
      <c r="R80" s="45" t="s">
        <v>75</v>
      </c>
      <c r="S80">
        <v>12016.521000000001</v>
      </c>
    </row>
    <row r="81" spans="1:19">
      <c r="E81" s="44" t="s">
        <v>97</v>
      </c>
      <c r="I81" s="54"/>
      <c r="J81" s="54"/>
      <c r="K81" s="55"/>
      <c r="Q81"/>
      <c r="R81" s="45"/>
    </row>
    <row r="82" spans="1:19">
      <c r="A82">
        <v>1</v>
      </c>
      <c r="B82">
        <v>8</v>
      </c>
      <c r="C82" t="s">
        <v>88</v>
      </c>
      <c r="D82">
        <v>78</v>
      </c>
      <c r="E82" s="44">
        <v>42058</v>
      </c>
      <c r="F82">
        <v>0</v>
      </c>
      <c r="G82" t="s">
        <v>8</v>
      </c>
      <c r="H82">
        <v>7743</v>
      </c>
      <c r="I82" s="54">
        <v>6.4550000000000001</v>
      </c>
      <c r="J82" s="54">
        <v>6.4550000000000001</v>
      </c>
      <c r="K82" s="55"/>
      <c r="Q82" t="s">
        <v>75</v>
      </c>
      <c r="R82" s="45" t="s">
        <v>75</v>
      </c>
      <c r="S82">
        <v>50001.245000000003</v>
      </c>
    </row>
    <row r="83" spans="1:19">
      <c r="A83">
        <v>1</v>
      </c>
      <c r="B83">
        <v>8</v>
      </c>
      <c r="C83" t="s">
        <v>88</v>
      </c>
      <c r="D83">
        <v>86</v>
      </c>
      <c r="E83" s="44">
        <v>42123.703634259262</v>
      </c>
      <c r="F83">
        <v>0</v>
      </c>
      <c r="G83" t="s">
        <v>8</v>
      </c>
      <c r="H83">
        <v>168</v>
      </c>
      <c r="I83" s="54">
        <v>0</v>
      </c>
      <c r="J83" s="54">
        <v>0</v>
      </c>
      <c r="K83" s="55"/>
      <c r="Q83" t="s">
        <v>75</v>
      </c>
      <c r="R83" s="45" t="s">
        <v>75</v>
      </c>
      <c r="S83">
        <v>0</v>
      </c>
    </row>
    <row r="84" spans="1:19">
      <c r="A84">
        <v>1</v>
      </c>
      <c r="B84">
        <v>8</v>
      </c>
      <c r="C84" t="s">
        <v>88</v>
      </c>
      <c r="D84">
        <v>89</v>
      </c>
      <c r="E84" s="44">
        <v>42200.864814814813</v>
      </c>
      <c r="F84">
        <v>1</v>
      </c>
      <c r="G84" t="s">
        <v>41</v>
      </c>
      <c r="H84">
        <v>7911</v>
      </c>
      <c r="I84" s="54">
        <v>6.3178999999999998</v>
      </c>
      <c r="J84" s="54">
        <v>6.63</v>
      </c>
      <c r="K84" s="55"/>
      <c r="M84" s="15">
        <f>H84*I84</f>
        <v>49980.906900000002</v>
      </c>
      <c r="N84" s="15">
        <f>H84*J84</f>
        <v>52449.93</v>
      </c>
      <c r="O84" s="15">
        <f>N84-M84</f>
        <v>2469.0230999999985</v>
      </c>
      <c r="Q84" t="s">
        <v>75</v>
      </c>
      <c r="R84" s="45" t="s">
        <v>75</v>
      </c>
      <c r="S84" t="s">
        <v>75</v>
      </c>
    </row>
    <row r="85" spans="1:19">
      <c r="E85" s="44" t="s">
        <v>97</v>
      </c>
      <c r="I85" s="54"/>
      <c r="J85" s="54"/>
      <c r="K85" s="55"/>
      <c r="Q85"/>
      <c r="R85" s="45"/>
    </row>
    <row r="86" spans="1:19">
      <c r="A86">
        <v>1</v>
      </c>
      <c r="B86">
        <v>9</v>
      </c>
      <c r="C86" t="s">
        <v>89</v>
      </c>
      <c r="D86">
        <v>43</v>
      </c>
      <c r="E86" s="44">
        <v>36850</v>
      </c>
      <c r="F86">
        <v>0</v>
      </c>
      <c r="G86" t="s">
        <v>8</v>
      </c>
      <c r="H86">
        <v>60</v>
      </c>
      <c r="I86" s="54">
        <v>20.100000000000001</v>
      </c>
      <c r="J86" s="54">
        <v>20.100000000000001</v>
      </c>
      <c r="K86" s="55"/>
      <c r="L86">
        <f>L85+H86</f>
        <v>60</v>
      </c>
      <c r="Q86" t="s">
        <v>75</v>
      </c>
      <c r="R86" s="45" t="s">
        <v>75</v>
      </c>
      <c r="S86">
        <v>1208.53</v>
      </c>
    </row>
    <row r="87" spans="1:19">
      <c r="A87">
        <v>1</v>
      </c>
      <c r="B87">
        <v>9</v>
      </c>
      <c r="C87" t="s">
        <v>89</v>
      </c>
      <c r="D87">
        <v>46</v>
      </c>
      <c r="E87" s="44">
        <v>36910</v>
      </c>
      <c r="F87">
        <v>0</v>
      </c>
      <c r="G87" t="s">
        <v>8</v>
      </c>
      <c r="H87">
        <v>1</v>
      </c>
      <c r="I87" s="54">
        <v>3.25</v>
      </c>
      <c r="J87" s="54">
        <v>3.25</v>
      </c>
      <c r="K87" s="55"/>
      <c r="L87">
        <f t="shared" ref="L87:L94" si="1">L86+H87</f>
        <v>61</v>
      </c>
      <c r="Q87" t="s">
        <v>75</v>
      </c>
      <c r="R87" s="45" t="s">
        <v>75</v>
      </c>
      <c r="S87">
        <v>3.25</v>
      </c>
    </row>
    <row r="88" spans="1:19">
      <c r="A88">
        <v>1</v>
      </c>
      <c r="B88">
        <v>9</v>
      </c>
      <c r="C88" t="s">
        <v>89</v>
      </c>
      <c r="D88">
        <v>49</v>
      </c>
      <c r="E88" s="44">
        <v>36970.000011574077</v>
      </c>
      <c r="F88">
        <v>0</v>
      </c>
      <c r="G88" t="s">
        <v>8</v>
      </c>
      <c r="H88">
        <v>1</v>
      </c>
      <c r="I88" s="54">
        <v>3.25</v>
      </c>
      <c r="J88" s="54">
        <v>3.25</v>
      </c>
      <c r="K88" s="55"/>
      <c r="L88">
        <f t="shared" si="1"/>
        <v>62</v>
      </c>
      <c r="Q88" t="s">
        <v>75</v>
      </c>
      <c r="R88" s="45" t="s">
        <v>75</v>
      </c>
      <c r="S88">
        <v>3.25</v>
      </c>
    </row>
    <row r="89" spans="1:19">
      <c r="A89">
        <v>1</v>
      </c>
      <c r="B89">
        <v>9</v>
      </c>
      <c r="C89" t="s">
        <v>89</v>
      </c>
      <c r="D89">
        <v>51</v>
      </c>
      <c r="E89" s="44">
        <v>37295</v>
      </c>
      <c r="F89">
        <v>0</v>
      </c>
      <c r="G89" t="s">
        <v>8</v>
      </c>
      <c r="H89">
        <v>1</v>
      </c>
      <c r="I89" s="54">
        <v>3.25</v>
      </c>
      <c r="J89" s="54">
        <v>3.25</v>
      </c>
      <c r="K89" s="55"/>
      <c r="L89">
        <f t="shared" si="1"/>
        <v>63</v>
      </c>
      <c r="Q89" t="s">
        <v>75</v>
      </c>
      <c r="R89" s="45" t="s">
        <v>75</v>
      </c>
      <c r="S89">
        <v>12.32</v>
      </c>
    </row>
    <row r="90" spans="1:19">
      <c r="A90">
        <v>1</v>
      </c>
      <c r="B90">
        <v>9</v>
      </c>
      <c r="C90" t="s">
        <v>89</v>
      </c>
      <c r="D90">
        <v>53</v>
      </c>
      <c r="E90" s="44">
        <v>37351</v>
      </c>
      <c r="F90">
        <v>0</v>
      </c>
      <c r="G90" t="s">
        <v>8</v>
      </c>
      <c r="H90">
        <v>1</v>
      </c>
      <c r="I90" s="54">
        <v>3.25</v>
      </c>
      <c r="J90" s="54">
        <v>3.25</v>
      </c>
      <c r="K90" s="55"/>
      <c r="L90">
        <f t="shared" si="1"/>
        <v>64</v>
      </c>
      <c r="Q90" t="s">
        <v>75</v>
      </c>
      <c r="R90" s="45" t="s">
        <v>75</v>
      </c>
      <c r="S90">
        <v>3.25</v>
      </c>
    </row>
    <row r="91" spans="1:19">
      <c r="A91">
        <v>1</v>
      </c>
      <c r="B91">
        <v>9</v>
      </c>
      <c r="C91" t="s">
        <v>89</v>
      </c>
      <c r="D91">
        <v>55</v>
      </c>
      <c r="E91" s="44">
        <v>37667</v>
      </c>
      <c r="F91">
        <v>0</v>
      </c>
      <c r="G91" t="s">
        <v>8</v>
      </c>
      <c r="H91">
        <v>1</v>
      </c>
      <c r="I91" s="54">
        <v>3.25</v>
      </c>
      <c r="J91" s="54">
        <v>3.25</v>
      </c>
      <c r="K91" s="55"/>
      <c r="L91">
        <f t="shared" si="1"/>
        <v>65</v>
      </c>
      <c r="Q91" t="s">
        <v>75</v>
      </c>
      <c r="R91" s="45" t="s">
        <v>75</v>
      </c>
      <c r="S91">
        <v>12.53</v>
      </c>
    </row>
    <row r="92" spans="1:19">
      <c r="A92">
        <v>1</v>
      </c>
      <c r="B92">
        <v>9</v>
      </c>
      <c r="C92" t="s">
        <v>89</v>
      </c>
      <c r="D92">
        <v>58</v>
      </c>
      <c r="E92" s="44">
        <v>37712</v>
      </c>
      <c r="F92">
        <v>0</v>
      </c>
      <c r="G92" t="s">
        <v>8</v>
      </c>
      <c r="H92">
        <v>1</v>
      </c>
      <c r="I92" s="54">
        <v>3</v>
      </c>
      <c r="J92" s="54">
        <v>3</v>
      </c>
      <c r="K92" s="55"/>
      <c r="L92">
        <f t="shared" si="1"/>
        <v>66</v>
      </c>
      <c r="Q92" t="s">
        <v>75</v>
      </c>
      <c r="R92" s="45" t="s">
        <v>75</v>
      </c>
      <c r="S92">
        <v>7.64</v>
      </c>
    </row>
    <row r="93" spans="1:19">
      <c r="A93">
        <v>1</v>
      </c>
      <c r="B93">
        <v>9</v>
      </c>
      <c r="C93" t="s">
        <v>89</v>
      </c>
      <c r="D93">
        <v>63</v>
      </c>
      <c r="E93" s="44">
        <v>38531.000011574077</v>
      </c>
      <c r="F93">
        <v>0</v>
      </c>
      <c r="G93" t="s">
        <v>8</v>
      </c>
      <c r="H93">
        <v>3</v>
      </c>
      <c r="I93" s="54">
        <v>3.3333333333333301E-3</v>
      </c>
      <c r="J93" s="54">
        <v>3.3333333333333301E-3</v>
      </c>
      <c r="K93" s="55"/>
      <c r="L93">
        <f t="shared" si="1"/>
        <v>69</v>
      </c>
      <c r="Q93" t="s">
        <v>75</v>
      </c>
      <c r="R93" s="45" t="s">
        <v>75</v>
      </c>
      <c r="S93">
        <v>19.059999999999999</v>
      </c>
    </row>
    <row r="94" spans="1:19">
      <c r="A94">
        <v>1</v>
      </c>
      <c r="B94">
        <v>9</v>
      </c>
      <c r="C94" t="s">
        <v>89</v>
      </c>
      <c r="D94">
        <v>64</v>
      </c>
      <c r="E94" s="44">
        <v>41222</v>
      </c>
      <c r="F94">
        <v>0</v>
      </c>
      <c r="G94" t="s">
        <v>8</v>
      </c>
      <c r="H94">
        <v>1006</v>
      </c>
      <c r="I94" s="54">
        <v>9.92</v>
      </c>
      <c r="J94" s="54">
        <v>9.92</v>
      </c>
      <c r="K94" s="55"/>
      <c r="L94">
        <f t="shared" si="1"/>
        <v>1075</v>
      </c>
      <c r="Q94" t="s">
        <v>75</v>
      </c>
      <c r="R94" s="45" t="s">
        <v>75</v>
      </c>
      <c r="S94">
        <v>9993.58</v>
      </c>
    </row>
    <row r="95" spans="1:19">
      <c r="A95">
        <v>1</v>
      </c>
      <c r="B95">
        <v>9</v>
      </c>
      <c r="C95" t="s">
        <v>89</v>
      </c>
      <c r="D95">
        <v>65</v>
      </c>
      <c r="E95" s="44">
        <v>41289</v>
      </c>
      <c r="F95">
        <v>1</v>
      </c>
      <c r="G95" t="s">
        <v>41</v>
      </c>
      <c r="H95">
        <v>69</v>
      </c>
      <c r="I95" s="54">
        <v>17.757400000000001</v>
      </c>
      <c r="J95" s="54">
        <v>10.96</v>
      </c>
      <c r="K95" s="55"/>
      <c r="L95">
        <f t="shared" ref="L95:L96" si="2">L94-H95</f>
        <v>1006</v>
      </c>
      <c r="M95" s="15">
        <f>H95*I95</f>
        <v>1225.2606000000001</v>
      </c>
      <c r="N95" s="15">
        <f>H95*J95</f>
        <v>756.24</v>
      </c>
      <c r="O95" s="15">
        <f>N95-M95</f>
        <v>-469.02060000000006</v>
      </c>
      <c r="Q95" t="s">
        <v>75</v>
      </c>
      <c r="R95" s="45" t="s">
        <v>75</v>
      </c>
      <c r="S95" t="s">
        <v>75</v>
      </c>
    </row>
    <row r="96" spans="1:19">
      <c r="A96">
        <v>1</v>
      </c>
      <c r="B96">
        <v>9</v>
      </c>
      <c r="C96" t="s">
        <v>89</v>
      </c>
      <c r="D96">
        <v>66</v>
      </c>
      <c r="E96" s="44">
        <v>41289.000011574077</v>
      </c>
      <c r="F96">
        <v>1</v>
      </c>
      <c r="G96" t="s">
        <v>41</v>
      </c>
      <c r="H96">
        <v>1006</v>
      </c>
      <c r="I96" s="54">
        <v>9.92</v>
      </c>
      <c r="J96" s="54">
        <v>10.96</v>
      </c>
      <c r="K96" s="55"/>
      <c r="L96">
        <f t="shared" si="2"/>
        <v>0</v>
      </c>
      <c r="M96" s="15">
        <f>H96*I96</f>
        <v>9979.52</v>
      </c>
      <c r="N96" s="15">
        <f>H96*J96</f>
        <v>11025.76</v>
      </c>
      <c r="O96" s="15">
        <f>N96-M96</f>
        <v>1046.2399999999998</v>
      </c>
      <c r="Q96" t="s">
        <v>75</v>
      </c>
      <c r="R96" s="45" t="s">
        <v>75</v>
      </c>
      <c r="S96" t="s">
        <v>75</v>
      </c>
    </row>
    <row r="97" spans="1:19">
      <c r="A97">
        <v>1</v>
      </c>
      <c r="B97">
        <v>9</v>
      </c>
      <c r="C97" t="s">
        <v>89</v>
      </c>
      <c r="D97">
        <v>67</v>
      </c>
      <c r="E97" s="44">
        <v>41317</v>
      </c>
      <c r="F97">
        <v>0</v>
      </c>
      <c r="G97" t="s">
        <v>8</v>
      </c>
      <c r="H97">
        <v>920</v>
      </c>
      <c r="I97" s="54">
        <v>9.8949999999999996</v>
      </c>
      <c r="J97" s="54">
        <v>9.8949999999999996</v>
      </c>
      <c r="K97" s="55"/>
      <c r="L97">
        <f>L96+H97</f>
        <v>920</v>
      </c>
      <c r="Q97" t="s">
        <v>75</v>
      </c>
      <c r="R97" s="45" t="s">
        <v>75</v>
      </c>
      <c r="S97">
        <v>9117.33</v>
      </c>
    </row>
    <row r="98" spans="1:19">
      <c r="A98">
        <v>1</v>
      </c>
      <c r="B98">
        <v>9</v>
      </c>
      <c r="C98" t="s">
        <v>89</v>
      </c>
      <c r="D98">
        <v>68</v>
      </c>
      <c r="E98" s="44">
        <v>41317.000011574077</v>
      </c>
      <c r="F98">
        <v>0</v>
      </c>
      <c r="G98" t="s">
        <v>8</v>
      </c>
      <c r="H98">
        <v>90</v>
      </c>
      <c r="I98" s="54">
        <v>9.8960000000000008</v>
      </c>
      <c r="J98" s="54">
        <v>9.8960000000000008</v>
      </c>
      <c r="K98" s="55"/>
      <c r="L98">
        <f>L97+H98</f>
        <v>1010</v>
      </c>
      <c r="Q98" t="s">
        <v>75</v>
      </c>
      <c r="R98" s="45" t="s">
        <v>75</v>
      </c>
      <c r="S98">
        <v>896.35</v>
      </c>
    </row>
    <row r="99" spans="1:19">
      <c r="A99">
        <v>1</v>
      </c>
      <c r="B99">
        <v>9</v>
      </c>
      <c r="C99" t="s">
        <v>89</v>
      </c>
      <c r="D99">
        <v>69</v>
      </c>
      <c r="E99" s="44">
        <v>41351</v>
      </c>
      <c r="F99">
        <v>1</v>
      </c>
      <c r="G99" t="s">
        <v>41</v>
      </c>
      <c r="H99">
        <v>1010</v>
      </c>
      <c r="I99" s="54">
        <v>9.8950999999999993</v>
      </c>
      <c r="J99" s="54">
        <v>11.2</v>
      </c>
      <c r="K99" s="55"/>
      <c r="L99">
        <f>L98-H99</f>
        <v>0</v>
      </c>
      <c r="M99" s="15">
        <f>H99*I99</f>
        <v>9994.0509999999995</v>
      </c>
      <c r="N99" s="15">
        <f>H99*J99</f>
        <v>11312</v>
      </c>
      <c r="O99" s="15">
        <f>N99-M99</f>
        <v>1317.9490000000005</v>
      </c>
      <c r="Q99" t="s">
        <v>75</v>
      </c>
      <c r="R99" s="45" t="s">
        <v>75</v>
      </c>
      <c r="S99" t="s">
        <v>75</v>
      </c>
    </row>
    <row r="100" spans="1:19">
      <c r="A100">
        <v>1</v>
      </c>
      <c r="B100">
        <v>9</v>
      </c>
      <c r="C100" t="s">
        <v>89</v>
      </c>
      <c r="D100">
        <v>70</v>
      </c>
      <c r="E100" s="44">
        <v>41445</v>
      </c>
      <c r="F100">
        <v>0</v>
      </c>
      <c r="G100" t="s">
        <v>8</v>
      </c>
      <c r="H100">
        <v>2008</v>
      </c>
      <c r="I100" s="54">
        <v>9.9210009960159393</v>
      </c>
      <c r="J100" s="54">
        <v>9.9210009960159393</v>
      </c>
      <c r="K100" s="55"/>
      <c r="L100">
        <f>L99+H100</f>
        <v>2008</v>
      </c>
      <c r="Q100" t="s">
        <v>75</v>
      </c>
      <c r="R100" s="45" t="s">
        <v>75</v>
      </c>
      <c r="S100">
        <v>19936.88</v>
      </c>
    </row>
    <row r="101" spans="1:19">
      <c r="A101">
        <v>1</v>
      </c>
      <c r="B101">
        <v>9</v>
      </c>
      <c r="C101" t="s">
        <v>89</v>
      </c>
      <c r="D101">
        <v>71</v>
      </c>
      <c r="E101" s="44">
        <v>41458</v>
      </c>
      <c r="F101">
        <v>0</v>
      </c>
      <c r="G101" t="s">
        <v>8</v>
      </c>
      <c r="H101">
        <v>806</v>
      </c>
      <c r="I101" s="54">
        <v>9.5739950372208398</v>
      </c>
      <c r="J101" s="54">
        <v>9.5739950372208398</v>
      </c>
      <c r="K101" s="55"/>
      <c r="L101">
        <f>L100+H101</f>
        <v>2814</v>
      </c>
      <c r="Q101" t="s">
        <v>75</v>
      </c>
      <c r="R101" s="45" t="s">
        <v>75</v>
      </c>
      <c r="S101">
        <v>7730.37</v>
      </c>
    </row>
    <row r="102" spans="1:19">
      <c r="A102">
        <v>1</v>
      </c>
      <c r="B102">
        <v>9</v>
      </c>
      <c r="C102" t="s">
        <v>89</v>
      </c>
      <c r="D102">
        <v>72</v>
      </c>
      <c r="E102" s="44">
        <v>41458.000011574077</v>
      </c>
      <c r="F102">
        <v>0</v>
      </c>
      <c r="G102" t="s">
        <v>8</v>
      </c>
      <c r="H102">
        <v>1276</v>
      </c>
      <c r="I102" s="54">
        <v>9.5730015673981192</v>
      </c>
      <c r="J102" s="54">
        <v>9.5730015673981192</v>
      </c>
      <c r="K102" s="55"/>
      <c r="L102">
        <f>L101+H102</f>
        <v>4090</v>
      </c>
      <c r="Q102" t="s">
        <v>75</v>
      </c>
      <c r="R102" s="45" t="s">
        <v>75</v>
      </c>
      <c r="S102">
        <v>12229.54</v>
      </c>
    </row>
    <row r="103" spans="1:19">
      <c r="A103">
        <v>1</v>
      </c>
      <c r="B103">
        <v>9</v>
      </c>
      <c r="C103" t="s">
        <v>89</v>
      </c>
      <c r="D103">
        <v>74</v>
      </c>
      <c r="E103" s="44">
        <v>41667</v>
      </c>
      <c r="F103">
        <v>0</v>
      </c>
      <c r="G103" t="s">
        <v>8</v>
      </c>
      <c r="H103">
        <v>1755</v>
      </c>
      <c r="I103" s="54">
        <v>11.35</v>
      </c>
      <c r="J103" s="54">
        <v>11.35</v>
      </c>
      <c r="K103" s="55"/>
      <c r="L103">
        <f>L102+H103</f>
        <v>5845</v>
      </c>
      <c r="Q103" t="s">
        <v>75</v>
      </c>
      <c r="R103" s="45" t="s">
        <v>75</v>
      </c>
      <c r="S103">
        <v>19935.759999999998</v>
      </c>
    </row>
    <row r="104" spans="1:19">
      <c r="A104">
        <v>1</v>
      </c>
      <c r="B104">
        <v>9</v>
      </c>
      <c r="C104" t="s">
        <v>89</v>
      </c>
      <c r="D104">
        <v>76</v>
      </c>
      <c r="E104" s="44">
        <v>41792</v>
      </c>
      <c r="F104">
        <v>1</v>
      </c>
      <c r="G104" t="s">
        <v>41</v>
      </c>
      <c r="H104">
        <v>5845</v>
      </c>
      <c r="I104" s="54">
        <v>10.2262</v>
      </c>
      <c r="J104" s="54">
        <v>12.395000855432</v>
      </c>
      <c r="K104" s="55"/>
      <c r="L104">
        <f>L103-H104</f>
        <v>0</v>
      </c>
      <c r="M104" s="15">
        <f>H104*I104</f>
        <v>59772.139000000003</v>
      </c>
      <c r="N104" s="15">
        <f>H104*J104</f>
        <v>72448.780000000042</v>
      </c>
      <c r="O104" s="15">
        <f>N104-M104</f>
        <v>12676.64100000004</v>
      </c>
      <c r="Q104" t="s">
        <v>75</v>
      </c>
      <c r="R104" s="45" t="s">
        <v>75</v>
      </c>
      <c r="S104" t="s">
        <v>75</v>
      </c>
    </row>
    <row r="105" spans="1:19">
      <c r="A105">
        <v>1</v>
      </c>
      <c r="B105">
        <v>9</v>
      </c>
      <c r="C105" t="s">
        <v>89</v>
      </c>
      <c r="D105">
        <v>77</v>
      </c>
      <c r="E105" s="44">
        <v>42010</v>
      </c>
      <c r="F105">
        <v>0</v>
      </c>
      <c r="G105" t="s">
        <v>8</v>
      </c>
      <c r="H105">
        <v>4388</v>
      </c>
      <c r="I105" s="54">
        <v>11.45</v>
      </c>
      <c r="J105" s="54">
        <v>11.45</v>
      </c>
      <c r="K105" s="55"/>
      <c r="L105">
        <f t="shared" ref="L105:L106" si="3">L104+H105</f>
        <v>4388</v>
      </c>
      <c r="Q105" t="s">
        <v>75</v>
      </c>
      <c r="R105" s="45" t="s">
        <v>75</v>
      </c>
      <c r="S105">
        <v>50262.78</v>
      </c>
    </row>
    <row r="106" spans="1:19">
      <c r="A106">
        <v>1</v>
      </c>
      <c r="B106">
        <v>9</v>
      </c>
      <c r="C106" t="s">
        <v>89</v>
      </c>
      <c r="D106">
        <v>85</v>
      </c>
      <c r="E106" s="44">
        <v>42115.562974537039</v>
      </c>
      <c r="F106">
        <v>0</v>
      </c>
      <c r="G106" t="s">
        <v>8</v>
      </c>
      <c r="H106">
        <v>274</v>
      </c>
      <c r="I106" s="54">
        <v>10.84</v>
      </c>
      <c r="J106" s="54">
        <v>10.84</v>
      </c>
      <c r="K106" s="55"/>
      <c r="L106">
        <f t="shared" si="3"/>
        <v>4662</v>
      </c>
      <c r="Q106" t="s">
        <v>75</v>
      </c>
      <c r="R106" s="45" t="s">
        <v>75</v>
      </c>
      <c r="S106">
        <v>2970.16</v>
      </c>
    </row>
    <row r="107" spans="1:19">
      <c r="A107">
        <v>1</v>
      </c>
      <c r="B107">
        <v>9</v>
      </c>
      <c r="C107" t="s">
        <v>89</v>
      </c>
      <c r="D107">
        <v>90</v>
      </c>
      <c r="E107" s="44">
        <v>42200.86482638889</v>
      </c>
      <c r="F107">
        <v>1</v>
      </c>
      <c r="G107" t="s">
        <v>41</v>
      </c>
      <c r="H107">
        <v>4262</v>
      </c>
      <c r="I107" s="54">
        <v>11.45</v>
      </c>
      <c r="J107" s="54">
        <v>13.6</v>
      </c>
      <c r="K107" s="55"/>
      <c r="L107">
        <f t="shared" ref="L107:L108" si="4">L106-H107</f>
        <v>400</v>
      </c>
      <c r="M107" s="15">
        <f>H107*I107</f>
        <v>48799.899999999994</v>
      </c>
      <c r="N107" s="15">
        <f>H107*J107</f>
        <v>57963.199999999997</v>
      </c>
      <c r="O107" s="15">
        <f>N107-M107</f>
        <v>9163.3000000000029</v>
      </c>
      <c r="Q107" t="s">
        <v>75</v>
      </c>
      <c r="R107" s="45" t="s">
        <v>75</v>
      </c>
      <c r="S107" t="s">
        <v>75</v>
      </c>
    </row>
    <row r="108" spans="1:19">
      <c r="A108">
        <v>1</v>
      </c>
      <c r="B108">
        <v>9</v>
      </c>
      <c r="C108" t="s">
        <v>89</v>
      </c>
      <c r="D108">
        <v>93</v>
      </c>
      <c r="E108" s="44">
        <v>42201.88890046296</v>
      </c>
      <c r="F108">
        <v>1</v>
      </c>
      <c r="G108" t="s">
        <v>41</v>
      </c>
      <c r="H108">
        <v>400</v>
      </c>
      <c r="I108" s="54">
        <v>11.0322</v>
      </c>
      <c r="J108" s="54">
        <v>13.78</v>
      </c>
      <c r="K108" s="55"/>
      <c r="L108">
        <f t="shared" si="4"/>
        <v>0</v>
      </c>
      <c r="M108" s="15">
        <f>H108*I108</f>
        <v>4412.88</v>
      </c>
      <c r="N108" s="15">
        <f>H108*J108</f>
        <v>5512</v>
      </c>
      <c r="O108" s="15">
        <f>N108-M108</f>
        <v>1099.1199999999999</v>
      </c>
      <c r="Q108" t="s">
        <v>75</v>
      </c>
      <c r="R108" s="45" t="s">
        <v>75</v>
      </c>
      <c r="S108" t="s">
        <v>75</v>
      </c>
    </row>
    <row r="109" spans="1:19">
      <c r="A109">
        <v>1</v>
      </c>
      <c r="B109">
        <v>9</v>
      </c>
      <c r="C109" t="s">
        <v>89</v>
      </c>
      <c r="D109">
        <v>99</v>
      </c>
      <c r="E109" s="44">
        <v>42278.440972222219</v>
      </c>
      <c r="F109">
        <v>0</v>
      </c>
      <c r="G109" t="s">
        <v>8</v>
      </c>
      <c r="H109">
        <v>4570</v>
      </c>
      <c r="I109" s="54">
        <v>10.91</v>
      </c>
      <c r="J109" s="54">
        <v>10.91</v>
      </c>
      <c r="K109" s="55"/>
      <c r="L109">
        <f>L108+H109</f>
        <v>4570</v>
      </c>
      <c r="Q109" t="s">
        <v>75</v>
      </c>
      <c r="R109" s="45" t="s">
        <v>75</v>
      </c>
      <c r="S109">
        <v>49878.84</v>
      </c>
    </row>
    <row r="110" spans="1:19">
      <c r="A110">
        <v>1</v>
      </c>
      <c r="B110">
        <v>9</v>
      </c>
      <c r="C110" t="s">
        <v>89</v>
      </c>
      <c r="D110">
        <v>102</v>
      </c>
      <c r="E110" s="44">
        <v>42289.284166666665</v>
      </c>
      <c r="F110">
        <v>1</v>
      </c>
      <c r="G110" t="s">
        <v>41</v>
      </c>
      <c r="H110">
        <v>4570</v>
      </c>
      <c r="I110" s="54">
        <v>10.91</v>
      </c>
      <c r="J110" s="54">
        <v>11.595000000000001</v>
      </c>
      <c r="K110" s="55"/>
      <c r="L110">
        <f>L109-H110</f>
        <v>0</v>
      </c>
      <c r="M110" s="15">
        <f>H110*I110</f>
        <v>49858.7</v>
      </c>
      <c r="N110" s="15">
        <f>H110*J110</f>
        <v>52989.15</v>
      </c>
      <c r="O110" s="15">
        <f>N110-M110</f>
        <v>3130.4500000000044</v>
      </c>
      <c r="Q110" t="s">
        <v>75</v>
      </c>
      <c r="R110" s="45" t="s">
        <v>75</v>
      </c>
      <c r="S110" t="s">
        <v>75</v>
      </c>
    </row>
    <row r="111" spans="1:19">
      <c r="A111">
        <v>1</v>
      </c>
      <c r="B111">
        <v>9</v>
      </c>
      <c r="C111" t="s">
        <v>89</v>
      </c>
      <c r="D111">
        <v>106</v>
      </c>
      <c r="E111" s="44">
        <v>42342.482824074075</v>
      </c>
      <c r="F111">
        <v>0</v>
      </c>
      <c r="G111" t="s">
        <v>8</v>
      </c>
      <c r="H111">
        <v>4492</v>
      </c>
      <c r="I111" s="54">
        <v>11.13</v>
      </c>
      <c r="J111" s="54">
        <v>11.13</v>
      </c>
      <c r="K111" s="55"/>
      <c r="L111">
        <f>L110+H111</f>
        <v>4492</v>
      </c>
      <c r="Q111" t="s">
        <v>75</v>
      </c>
      <c r="R111" s="45" t="s">
        <v>75</v>
      </c>
      <c r="S111">
        <v>50016.11</v>
      </c>
    </row>
    <row r="112" spans="1:19">
      <c r="A112">
        <v>1</v>
      </c>
      <c r="B112">
        <v>9</v>
      </c>
      <c r="C112" t="s">
        <v>89</v>
      </c>
      <c r="D112">
        <v>107</v>
      </c>
      <c r="E112" s="44">
        <v>42369.818796296298</v>
      </c>
      <c r="F112">
        <v>1</v>
      </c>
      <c r="G112" t="s">
        <v>41</v>
      </c>
      <c r="H112">
        <v>4492</v>
      </c>
      <c r="I112" s="54">
        <v>11.13</v>
      </c>
      <c r="J112" s="54">
        <v>10.275</v>
      </c>
      <c r="K112" s="55"/>
      <c r="L112">
        <f>L111-H112</f>
        <v>0</v>
      </c>
      <c r="M112" s="15">
        <f>H112*I112</f>
        <v>49995.960000000006</v>
      </c>
      <c r="N112" s="15">
        <f>H112*J112</f>
        <v>46155.3</v>
      </c>
      <c r="O112" s="15">
        <f>N112-M112</f>
        <v>-3840.6600000000035</v>
      </c>
      <c r="Q112" t="s">
        <v>75</v>
      </c>
      <c r="R112" s="45" t="s">
        <v>75</v>
      </c>
      <c r="S112" t="s">
        <v>75</v>
      </c>
    </row>
    <row r="113" spans="1:19">
      <c r="E113" s="44" t="s">
        <v>97</v>
      </c>
      <c r="I113" s="54"/>
      <c r="J113" s="54"/>
      <c r="K113" s="55"/>
      <c r="Q113"/>
      <c r="R113" s="45"/>
    </row>
    <row r="114" spans="1:19">
      <c r="A114">
        <v>1</v>
      </c>
      <c r="B114">
        <v>17</v>
      </c>
      <c r="C114" t="s">
        <v>90</v>
      </c>
      <c r="D114">
        <v>105</v>
      </c>
      <c r="E114" s="44">
        <v>42325.618148148147</v>
      </c>
      <c r="F114">
        <v>0</v>
      </c>
      <c r="G114" t="s">
        <v>8</v>
      </c>
      <c r="H114">
        <v>15</v>
      </c>
      <c r="I114" s="54">
        <v>63.64</v>
      </c>
      <c r="J114" s="54">
        <v>63.64</v>
      </c>
      <c r="K114" s="55"/>
      <c r="Q114" t="s">
        <v>75</v>
      </c>
      <c r="R114" s="45" t="s">
        <v>75</v>
      </c>
      <c r="S114">
        <v>969.55</v>
      </c>
    </row>
    <row r="115" spans="1:19">
      <c r="A115">
        <v>1</v>
      </c>
      <c r="B115">
        <v>17</v>
      </c>
      <c r="C115" t="s">
        <v>90</v>
      </c>
      <c r="D115">
        <v>125</v>
      </c>
      <c r="E115" s="44">
        <v>42731.461006944446</v>
      </c>
      <c r="F115">
        <v>1</v>
      </c>
      <c r="G115" t="s">
        <v>41</v>
      </c>
      <c r="H115">
        <v>15</v>
      </c>
      <c r="I115" s="54">
        <v>63.64</v>
      </c>
      <c r="J115" s="54">
        <v>40.207000000000001</v>
      </c>
      <c r="K115" s="55"/>
      <c r="M115" s="15">
        <f>H115*I115</f>
        <v>954.6</v>
      </c>
      <c r="N115" s="15">
        <f>H115*J115</f>
        <v>603.10500000000002</v>
      </c>
      <c r="O115" s="15">
        <f>N115-M115</f>
        <v>-351.495</v>
      </c>
      <c r="Q115" t="s">
        <v>75</v>
      </c>
      <c r="R115" s="45" t="s">
        <v>75</v>
      </c>
      <c r="S115" t="s">
        <v>75</v>
      </c>
    </row>
    <row r="116" spans="1:19">
      <c r="E116" s="44" t="s">
        <v>97</v>
      </c>
      <c r="I116" s="54"/>
      <c r="J116" s="54"/>
      <c r="K116" s="55"/>
      <c r="Q116"/>
      <c r="R116" s="45"/>
    </row>
    <row r="117" spans="1:19">
      <c r="A117">
        <v>1</v>
      </c>
      <c r="B117">
        <v>18</v>
      </c>
      <c r="C117" t="s">
        <v>91</v>
      </c>
      <c r="D117">
        <v>109</v>
      </c>
      <c r="E117" s="44">
        <v>42394.669849537036</v>
      </c>
      <c r="F117">
        <v>0</v>
      </c>
      <c r="G117" t="s">
        <v>8</v>
      </c>
      <c r="H117">
        <v>235</v>
      </c>
      <c r="I117" s="54">
        <v>170</v>
      </c>
      <c r="J117" s="54">
        <v>170</v>
      </c>
      <c r="K117" s="55"/>
      <c r="Q117" t="s">
        <v>75</v>
      </c>
      <c r="R117" s="45" t="s">
        <v>75</v>
      </c>
      <c r="S117">
        <v>40029.9</v>
      </c>
    </row>
    <row r="118" spans="1:19">
      <c r="A118">
        <v>1</v>
      </c>
      <c r="B118">
        <v>18</v>
      </c>
      <c r="C118" t="s">
        <v>91</v>
      </c>
      <c r="D118">
        <v>110</v>
      </c>
      <c r="E118" s="44">
        <v>42394.669861111113</v>
      </c>
      <c r="F118">
        <v>0</v>
      </c>
      <c r="G118" t="s">
        <v>8</v>
      </c>
      <c r="H118">
        <v>55</v>
      </c>
      <c r="I118" s="54">
        <v>169.97</v>
      </c>
      <c r="J118" s="54">
        <v>169.97</v>
      </c>
      <c r="K118" s="55"/>
      <c r="Q118" t="s">
        <v>75</v>
      </c>
      <c r="R118" s="45" t="s">
        <v>75</v>
      </c>
      <c r="S118">
        <v>9363.2999999999993</v>
      </c>
    </row>
    <row r="119" spans="1:19">
      <c r="A119">
        <v>1</v>
      </c>
      <c r="B119">
        <v>18</v>
      </c>
      <c r="C119" t="s">
        <v>91</v>
      </c>
      <c r="D119">
        <v>111</v>
      </c>
      <c r="E119" s="44">
        <v>42544.806469907409</v>
      </c>
      <c r="F119">
        <v>1</v>
      </c>
      <c r="G119" t="s">
        <v>41</v>
      </c>
      <c r="H119">
        <v>290</v>
      </c>
      <c r="I119" s="54">
        <v>169.99430000000001</v>
      </c>
      <c r="J119" s="54">
        <v>181.5</v>
      </c>
      <c r="K119" s="55"/>
      <c r="M119" s="15">
        <f>H119*I119</f>
        <v>49298.347000000002</v>
      </c>
      <c r="N119" s="15">
        <f>H119*J119</f>
        <v>52635</v>
      </c>
      <c r="O119" s="15">
        <f>N119-M119</f>
        <v>3336.6529999999984</v>
      </c>
      <c r="Q119" t="s">
        <v>75</v>
      </c>
      <c r="R119" s="45" t="s">
        <v>75</v>
      </c>
      <c r="S119" t="s">
        <v>75</v>
      </c>
    </row>
    <row r="120" spans="1:19">
      <c r="E120" s="44" t="s">
        <v>97</v>
      </c>
      <c r="I120" s="54"/>
      <c r="J120" s="54"/>
      <c r="K120" s="55"/>
      <c r="Q120"/>
      <c r="R120" s="45"/>
    </row>
    <row r="121" spans="1:19">
      <c r="A121">
        <v>1</v>
      </c>
      <c r="B121">
        <v>23</v>
      </c>
      <c r="C121" t="s">
        <v>92</v>
      </c>
      <c r="D121">
        <v>123</v>
      </c>
      <c r="E121" s="44">
        <v>42642.772696759261</v>
      </c>
      <c r="F121">
        <v>0</v>
      </c>
      <c r="G121" t="s">
        <v>8</v>
      </c>
      <c r="H121">
        <v>175</v>
      </c>
      <c r="I121" s="54">
        <v>33.215000000000003</v>
      </c>
      <c r="J121" s="54">
        <v>33.215000000000003</v>
      </c>
      <c r="K121" s="55"/>
      <c r="Q121" t="s">
        <v>75</v>
      </c>
      <c r="R121" s="45" t="s">
        <v>75</v>
      </c>
      <c r="S121">
        <v>5825.0349999999999</v>
      </c>
    </row>
    <row r="122" spans="1:19">
      <c r="A122">
        <v>1</v>
      </c>
      <c r="B122">
        <v>23</v>
      </c>
      <c r="C122" t="s">
        <v>92</v>
      </c>
      <c r="D122">
        <v>131</v>
      </c>
      <c r="E122" s="44">
        <v>42752.496111111112</v>
      </c>
      <c r="F122">
        <v>0</v>
      </c>
      <c r="G122" t="s">
        <v>8</v>
      </c>
      <c r="H122">
        <v>200</v>
      </c>
      <c r="I122" s="54">
        <v>31.45</v>
      </c>
      <c r="J122" s="54">
        <v>31.45</v>
      </c>
      <c r="K122" s="55"/>
      <c r="Q122" t="s">
        <v>75</v>
      </c>
      <c r="R122" s="45" t="s">
        <v>75</v>
      </c>
      <c r="S122">
        <v>6304.57</v>
      </c>
    </row>
    <row r="123" spans="1:19">
      <c r="A123">
        <v>1</v>
      </c>
      <c r="B123">
        <v>23</v>
      </c>
      <c r="C123" t="s">
        <v>92</v>
      </c>
      <c r="D123">
        <v>140</v>
      </c>
      <c r="E123" s="44">
        <v>42835.43141203704</v>
      </c>
      <c r="F123">
        <v>1</v>
      </c>
      <c r="G123" t="s">
        <v>41</v>
      </c>
      <c r="H123">
        <v>375</v>
      </c>
      <c r="I123" s="54">
        <v>32.460299999999997</v>
      </c>
      <c r="J123" s="54">
        <v>33.799999999999997</v>
      </c>
      <c r="K123" s="55"/>
      <c r="M123" s="15">
        <f>H123*I123</f>
        <v>12172.612499999999</v>
      </c>
      <c r="N123" s="15">
        <f>H123*J123</f>
        <v>12674.999999999998</v>
      </c>
      <c r="O123" s="15">
        <f>N123-M123</f>
        <v>502.38749999999891</v>
      </c>
      <c r="Q123" t="s">
        <v>75</v>
      </c>
      <c r="R123" s="45" t="s">
        <v>75</v>
      </c>
      <c r="S123" t="s">
        <v>75</v>
      </c>
    </row>
    <row r="124" spans="1:19">
      <c r="E124" s="44" t="s">
        <v>97</v>
      </c>
      <c r="I124" s="54"/>
      <c r="J124" s="54"/>
      <c r="K124" s="55"/>
      <c r="Q124"/>
      <c r="R124" s="45"/>
    </row>
    <row r="125" spans="1:19">
      <c r="A125">
        <v>1</v>
      </c>
      <c r="B125">
        <v>24</v>
      </c>
      <c r="C125" t="s">
        <v>93</v>
      </c>
      <c r="D125">
        <v>137</v>
      </c>
      <c r="E125" s="44">
        <v>42814.418206018519</v>
      </c>
      <c r="F125">
        <v>0</v>
      </c>
      <c r="G125" t="s">
        <v>8</v>
      </c>
      <c r="H125">
        <v>25</v>
      </c>
      <c r="I125" s="54">
        <v>37.17</v>
      </c>
      <c r="J125" s="54">
        <v>37.17</v>
      </c>
      <c r="K125" s="55"/>
      <c r="Q125" t="s">
        <v>75</v>
      </c>
      <c r="R125" s="45" t="s">
        <v>75</v>
      </c>
      <c r="S125">
        <v>944.2</v>
      </c>
    </row>
    <row r="126" spans="1:19">
      <c r="A126">
        <v>1</v>
      </c>
      <c r="B126">
        <v>24</v>
      </c>
      <c r="C126" t="s">
        <v>93</v>
      </c>
      <c r="D126">
        <v>145</v>
      </c>
      <c r="E126" s="44">
        <v>42881.460057870368</v>
      </c>
      <c r="F126">
        <v>1</v>
      </c>
      <c r="H126">
        <v>25</v>
      </c>
      <c r="I126" s="54">
        <v>37.17</v>
      </c>
      <c r="J126" s="54">
        <v>37.202488000000002</v>
      </c>
      <c r="K126" s="55"/>
      <c r="M126" s="15">
        <f>H126*I126</f>
        <v>929.25</v>
      </c>
      <c r="N126" s="15">
        <f>H126*J126</f>
        <v>930.06220000000008</v>
      </c>
      <c r="O126" s="15">
        <f>N126-M126</f>
        <v>0.81220000000007531</v>
      </c>
      <c r="Q126" t="s">
        <v>75</v>
      </c>
      <c r="R126" s="45" t="s">
        <v>75</v>
      </c>
      <c r="S126" t="s">
        <v>75</v>
      </c>
    </row>
    <row r="127" spans="1:19">
      <c r="E127" s="44" t="s">
        <v>97</v>
      </c>
      <c r="I127" s="54"/>
      <c r="J127" s="54"/>
      <c r="K127" s="55"/>
      <c r="Q127"/>
      <c r="R127" s="45"/>
    </row>
    <row r="128" spans="1:19">
      <c r="A128">
        <v>1</v>
      </c>
      <c r="B128">
        <v>25</v>
      </c>
      <c r="C128" t="s">
        <v>94</v>
      </c>
      <c r="D128">
        <v>136</v>
      </c>
      <c r="E128" s="44">
        <v>42814.417696759258</v>
      </c>
      <c r="F128">
        <v>0</v>
      </c>
      <c r="G128" t="s">
        <v>8</v>
      </c>
      <c r="H128">
        <v>5</v>
      </c>
      <c r="I128" s="54">
        <v>204.52</v>
      </c>
      <c r="J128" s="54">
        <v>204.52</v>
      </c>
      <c r="K128" s="55"/>
      <c r="Q128" t="s">
        <v>75</v>
      </c>
      <c r="R128" s="45" t="s">
        <v>75</v>
      </c>
      <c r="S128">
        <v>1037.55</v>
      </c>
    </row>
    <row r="129" spans="1:19">
      <c r="A129">
        <v>1</v>
      </c>
      <c r="B129">
        <v>25</v>
      </c>
      <c r="C129" t="s">
        <v>94</v>
      </c>
      <c r="D129">
        <v>146</v>
      </c>
      <c r="E129" s="44">
        <v>42881.463125000002</v>
      </c>
      <c r="F129">
        <v>1</v>
      </c>
      <c r="G129" t="s">
        <v>41</v>
      </c>
      <c r="H129">
        <v>5</v>
      </c>
      <c r="I129" s="54">
        <v>204.52</v>
      </c>
      <c r="J129" s="54">
        <v>198.079802</v>
      </c>
      <c r="K129" s="55"/>
      <c r="M129" s="15">
        <f>H129*I129</f>
        <v>1022.6</v>
      </c>
      <c r="N129" s="15">
        <f>H129*J129</f>
        <v>990.39900999999998</v>
      </c>
      <c r="O129" s="15">
        <f>N129-M129</f>
        <v>-32.200990000000047</v>
      </c>
      <c r="Q129" t="s">
        <v>75</v>
      </c>
      <c r="R129" s="45" t="s">
        <v>75</v>
      </c>
      <c r="S129" t="s">
        <v>75</v>
      </c>
    </row>
    <row r="130" spans="1:19">
      <c r="E130" s="44" t="s">
        <v>97</v>
      </c>
      <c r="I130" s="54"/>
      <c r="J130" s="54"/>
      <c r="K130" s="55"/>
      <c r="O130" s="52">
        <f>SUM(O72:O129)</f>
        <v>31940.791010000048</v>
      </c>
      <c r="Q130"/>
      <c r="R130" s="45"/>
    </row>
    <row r="131" spans="1:19">
      <c r="E131" s="44" t="s">
        <v>97</v>
      </c>
      <c r="I131" s="54"/>
      <c r="J131" s="54"/>
      <c r="K131" s="55"/>
      <c r="O131" s="52">
        <f>O130+O64</f>
        <v>52929.286647116023</v>
      </c>
      <c r="Q131"/>
      <c r="R131" s="45"/>
    </row>
    <row r="132" spans="1:19">
      <c r="E132" s="44" t="s">
        <v>97</v>
      </c>
      <c r="I132" s="54"/>
      <c r="J132" s="54"/>
      <c r="K132" s="55"/>
      <c r="Q132"/>
      <c r="R132" s="45"/>
    </row>
    <row r="133" spans="1:19">
      <c r="E133" s="44" t="s">
        <v>97</v>
      </c>
      <c r="I133" s="54"/>
      <c r="J133" s="54"/>
      <c r="K133" s="55"/>
      <c r="Q133"/>
      <c r="R133" s="45"/>
    </row>
    <row r="134" spans="1:19">
      <c r="A134">
        <v>2</v>
      </c>
      <c r="B134">
        <v>7</v>
      </c>
      <c r="C134" t="s">
        <v>87</v>
      </c>
      <c r="D134">
        <v>139</v>
      </c>
      <c r="E134" s="44">
        <v>42822.45480324074</v>
      </c>
      <c r="F134">
        <v>0</v>
      </c>
      <c r="G134" t="s">
        <v>8</v>
      </c>
      <c r="H134">
        <v>2075</v>
      </c>
      <c r="I134" s="54">
        <v>22.750699999999998</v>
      </c>
      <c r="J134" s="54">
        <v>22.750699999999998</v>
      </c>
      <c r="K134" s="55"/>
      <c r="Q134" t="s">
        <v>75</v>
      </c>
      <c r="R134" s="45" t="s">
        <v>75</v>
      </c>
      <c r="S134">
        <v>47241.002124999999</v>
      </c>
    </row>
    <row r="135" spans="1:19">
      <c r="A135">
        <v>2</v>
      </c>
      <c r="B135">
        <v>7</v>
      </c>
      <c r="C135" t="s">
        <v>87</v>
      </c>
      <c r="D135">
        <v>142</v>
      </c>
      <c r="E135" s="44">
        <v>42871.778969907406</v>
      </c>
      <c r="F135">
        <v>0</v>
      </c>
      <c r="G135" t="s">
        <v>8</v>
      </c>
      <c r="H135">
        <v>557</v>
      </c>
      <c r="I135" s="54">
        <v>20.390999999999998</v>
      </c>
      <c r="J135" s="54">
        <v>20.390999999999998</v>
      </c>
      <c r="K135" s="55"/>
      <c r="Q135" t="s">
        <v>75</v>
      </c>
      <c r="R135" s="45" t="s">
        <v>75</v>
      </c>
      <c r="S135">
        <v>11379.654</v>
      </c>
    </row>
    <row r="136" spans="1:19">
      <c r="A136">
        <v>2</v>
      </c>
      <c r="B136">
        <v>7</v>
      </c>
      <c r="C136" t="s">
        <v>87</v>
      </c>
      <c r="D136">
        <v>144</v>
      </c>
      <c r="E136" s="44">
        <v>42871.788263888891</v>
      </c>
      <c r="F136">
        <v>0</v>
      </c>
      <c r="G136" t="s">
        <v>8</v>
      </c>
      <c r="H136">
        <v>667</v>
      </c>
      <c r="I136" s="54">
        <v>20.388000000000002</v>
      </c>
      <c r="J136" s="54">
        <v>20.388000000000002</v>
      </c>
      <c r="K136" s="55">
        <v>23</v>
      </c>
      <c r="M136" s="15">
        <f>(H134*I134+H135*I135+H136*I136)</f>
        <v>72164.285499999998</v>
      </c>
      <c r="N136" s="15">
        <f>(H134+H135+H136)*K136</f>
        <v>75877</v>
      </c>
      <c r="O136" s="15">
        <f>N136-M136</f>
        <v>3712.7145000000019</v>
      </c>
      <c r="Q136" t="s">
        <v>75</v>
      </c>
      <c r="R136" s="45" t="s">
        <v>75</v>
      </c>
      <c r="S136">
        <v>13607.34</v>
      </c>
    </row>
    <row r="137" spans="1:19">
      <c r="E137" s="44" t="s">
        <v>97</v>
      </c>
      <c r="I137" s="54"/>
      <c r="J137" s="54"/>
      <c r="K137" s="55"/>
      <c r="Q137"/>
      <c r="R137" s="45"/>
    </row>
    <row r="138" spans="1:19">
      <c r="A138">
        <v>2</v>
      </c>
      <c r="B138">
        <v>22</v>
      </c>
      <c r="C138" t="s">
        <v>95</v>
      </c>
      <c r="D138">
        <v>112</v>
      </c>
      <c r="E138" s="44">
        <v>42328.817766203705</v>
      </c>
      <c r="F138">
        <v>0</v>
      </c>
      <c r="G138" t="s">
        <v>8</v>
      </c>
      <c r="H138">
        <v>15925</v>
      </c>
      <c r="I138" s="54">
        <v>1.939684873</v>
      </c>
      <c r="J138" s="54">
        <v>1.939684873</v>
      </c>
      <c r="K138" s="55"/>
      <c r="Q138" t="s">
        <v>75</v>
      </c>
      <c r="R138" s="45" t="s">
        <v>75</v>
      </c>
      <c r="S138" t="s">
        <v>75</v>
      </c>
    </row>
    <row r="139" spans="1:19">
      <c r="A139">
        <v>2</v>
      </c>
      <c r="B139">
        <v>22</v>
      </c>
      <c r="C139" t="s">
        <v>95</v>
      </c>
      <c r="D139">
        <v>113</v>
      </c>
      <c r="E139" s="44">
        <v>42474.688692129632</v>
      </c>
      <c r="F139">
        <v>0</v>
      </c>
      <c r="G139" t="s">
        <v>8</v>
      </c>
      <c r="H139">
        <v>191</v>
      </c>
      <c r="I139" s="54">
        <v>0</v>
      </c>
      <c r="J139" s="54">
        <v>0</v>
      </c>
      <c r="K139" s="55"/>
      <c r="O139" s="15"/>
      <c r="Q139" t="s">
        <v>75</v>
      </c>
      <c r="R139" s="45" t="s">
        <v>75</v>
      </c>
      <c r="S139">
        <v>0</v>
      </c>
    </row>
    <row r="140" spans="1:19">
      <c r="A140">
        <v>2</v>
      </c>
      <c r="B140">
        <v>22</v>
      </c>
      <c r="C140" t="s">
        <v>95</v>
      </c>
      <c r="D140">
        <v>114</v>
      </c>
      <c r="E140" s="44">
        <v>42479.69158564815</v>
      </c>
      <c r="F140">
        <v>0</v>
      </c>
      <c r="G140" t="s">
        <v>8</v>
      </c>
      <c r="H140">
        <v>468</v>
      </c>
      <c r="I140" s="54">
        <v>0</v>
      </c>
      <c r="J140" s="54">
        <v>0</v>
      </c>
      <c r="K140" s="55"/>
      <c r="Q140" t="s">
        <v>75</v>
      </c>
      <c r="R140" s="45" t="s">
        <v>75</v>
      </c>
      <c r="S140">
        <v>0</v>
      </c>
    </row>
    <row r="141" spans="1:19">
      <c r="A141">
        <v>2</v>
      </c>
      <c r="B141">
        <v>22</v>
      </c>
      <c r="C141" t="s">
        <v>95</v>
      </c>
      <c r="D141">
        <v>115</v>
      </c>
      <c r="E141" s="44">
        <v>42606.428784722222</v>
      </c>
      <c r="F141">
        <v>1</v>
      </c>
      <c r="G141" t="s">
        <v>41</v>
      </c>
      <c r="H141">
        <v>11484</v>
      </c>
      <c r="I141" s="54">
        <v>2.2000000000000002</v>
      </c>
      <c r="J141" s="54">
        <v>1.2090000000000001</v>
      </c>
      <c r="K141" s="55"/>
      <c r="M141" s="15">
        <f>H141*I141</f>
        <v>25264.800000000003</v>
      </c>
      <c r="N141" s="15">
        <f>H141*J141</f>
        <v>13884.156000000001</v>
      </c>
      <c r="O141" s="15">
        <f>N141-M141</f>
        <v>-11380.644000000002</v>
      </c>
      <c r="Q141" t="s">
        <v>75</v>
      </c>
      <c r="R141" s="45" t="s">
        <v>75</v>
      </c>
      <c r="S141" t="s">
        <v>75</v>
      </c>
    </row>
    <row r="142" spans="1:19">
      <c r="A142">
        <v>2</v>
      </c>
      <c r="B142">
        <v>22</v>
      </c>
      <c r="C142" t="s">
        <v>95</v>
      </c>
      <c r="D142">
        <v>132</v>
      </c>
      <c r="E142" s="44">
        <v>42711.564363425925</v>
      </c>
      <c r="F142">
        <v>1</v>
      </c>
      <c r="G142" t="s">
        <v>41</v>
      </c>
      <c r="H142">
        <v>5100</v>
      </c>
      <c r="I142" s="54">
        <v>2.2000000000000002</v>
      </c>
      <c r="J142" s="54">
        <v>1.3049999999999999</v>
      </c>
      <c r="K142" s="55"/>
      <c r="M142" s="15">
        <f>H142*I142</f>
        <v>11220</v>
      </c>
      <c r="N142" s="15">
        <f>H142*J142</f>
        <v>6655.5</v>
      </c>
      <c r="O142" s="15">
        <f>N142-M142</f>
        <v>-4564.5</v>
      </c>
      <c r="Q142" t="s">
        <v>75</v>
      </c>
      <c r="R142" s="45" t="s">
        <v>75</v>
      </c>
      <c r="S142" t="s">
        <v>75</v>
      </c>
    </row>
    <row r="143" spans="1:19">
      <c r="E143" s="44" t="s">
        <v>97</v>
      </c>
      <c r="I143" s="54"/>
      <c r="J143" s="54"/>
      <c r="K143" s="55"/>
      <c r="M143" s="15"/>
      <c r="Q143"/>
      <c r="R143" s="45"/>
    </row>
    <row r="144" spans="1:19">
      <c r="A144">
        <v>2</v>
      </c>
      <c r="B144">
        <v>23</v>
      </c>
      <c r="C144" t="s">
        <v>92</v>
      </c>
      <c r="D144">
        <v>133</v>
      </c>
      <c r="E144" s="44">
        <v>42740.566516203704</v>
      </c>
      <c r="F144">
        <v>0</v>
      </c>
      <c r="G144" t="s">
        <v>8</v>
      </c>
      <c r="H144">
        <v>470</v>
      </c>
      <c r="I144" s="54">
        <v>31.8</v>
      </c>
      <c r="J144" s="54">
        <v>31.8</v>
      </c>
      <c r="K144" s="55"/>
      <c r="Q144" t="s">
        <v>75</v>
      </c>
      <c r="R144" s="45" t="s">
        <v>75</v>
      </c>
      <c r="S144">
        <v>14961.5</v>
      </c>
    </row>
    <row r="145" spans="1:19">
      <c r="A145">
        <v>2</v>
      </c>
      <c r="B145">
        <v>23</v>
      </c>
      <c r="C145" t="s">
        <v>92</v>
      </c>
      <c r="D145">
        <v>141</v>
      </c>
      <c r="E145" s="44">
        <v>42835.433761574073</v>
      </c>
      <c r="F145">
        <v>1</v>
      </c>
      <c r="G145" t="s">
        <v>41</v>
      </c>
      <c r="H145">
        <v>470</v>
      </c>
      <c r="I145" s="54">
        <v>31.6511</v>
      </c>
      <c r="J145" s="54">
        <v>33.799999999999997</v>
      </c>
      <c r="K145" s="55"/>
      <c r="M145" s="15">
        <f>H145*I145</f>
        <v>14876.017</v>
      </c>
      <c r="N145" s="15">
        <f>H145*J145</f>
        <v>15885.999999999998</v>
      </c>
      <c r="O145" s="15">
        <f>N145-M145</f>
        <v>1009.9829999999984</v>
      </c>
      <c r="Q145" t="s">
        <v>75</v>
      </c>
      <c r="R145" s="45" t="s">
        <v>75</v>
      </c>
      <c r="S145" t="s">
        <v>75</v>
      </c>
    </row>
    <row r="146" spans="1:19">
      <c r="O146" s="52">
        <f>SUM(O134:O145)</f>
        <v>-11222.446500000002</v>
      </c>
    </row>
    <row r="147" spans="1:19">
      <c r="O147" s="52">
        <f>O146+O67</f>
        <v>-8954.831712080002</v>
      </c>
    </row>
  </sheetData>
  <mergeCells count="1">
    <mergeCell ref="F6:G6"/>
  </mergeCells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38"/>
  <sheetViews>
    <sheetView workbookViewId="0">
      <pane ySplit="2" topLeftCell="A3" activePane="bottomLeft" state="frozen"/>
      <selection pane="bottomLeft" activeCell="D29" sqref="D29"/>
    </sheetView>
  </sheetViews>
  <sheetFormatPr defaultRowHeight="14.4"/>
  <cols>
    <col min="3" max="3" width="6.88671875" customWidth="1"/>
    <col min="4" max="4" width="15.5546875" customWidth="1"/>
    <col min="5" max="5" width="24" customWidth="1"/>
    <col min="8" max="8" width="8.88671875" style="63"/>
    <col min="9" max="9" width="9" style="63" bestFit="1" customWidth="1"/>
    <col min="10" max="11" width="10.44140625" bestFit="1" customWidth="1"/>
    <col min="12" max="12" width="10.44140625" customWidth="1"/>
    <col min="13" max="13" width="13.21875" customWidth="1"/>
    <col min="14" max="14" width="13" customWidth="1"/>
    <col min="15" max="15" width="14.44140625" customWidth="1"/>
    <col min="16" max="16" width="13.6640625" customWidth="1"/>
    <col min="17" max="17" width="12.33203125" customWidth="1"/>
    <col min="18" max="18" width="13.109375" customWidth="1"/>
  </cols>
  <sheetData>
    <row r="1" spans="1:18" ht="18">
      <c r="E1" s="62" t="s">
        <v>101</v>
      </c>
    </row>
    <row r="2" spans="1:18">
      <c r="A2" s="57" t="s">
        <v>66</v>
      </c>
      <c r="B2" s="57" t="s">
        <v>73</v>
      </c>
      <c r="C2" s="57" t="s">
        <v>68</v>
      </c>
      <c r="D2" s="57" t="s">
        <v>69</v>
      </c>
      <c r="E2" s="57" t="s">
        <v>67</v>
      </c>
      <c r="F2" s="110" t="s">
        <v>70</v>
      </c>
      <c r="G2" s="110"/>
      <c r="H2" s="64" t="s">
        <v>31</v>
      </c>
      <c r="I2" s="64" t="s">
        <v>82</v>
      </c>
      <c r="J2" s="57" t="s">
        <v>71</v>
      </c>
      <c r="K2" s="57" t="s">
        <v>47</v>
      </c>
      <c r="L2" s="57" t="s">
        <v>83</v>
      </c>
      <c r="M2" s="57" t="s">
        <v>98</v>
      </c>
      <c r="N2" s="57" t="s">
        <v>99</v>
      </c>
      <c r="O2" s="57" t="s">
        <v>100</v>
      </c>
    </row>
    <row r="3" spans="1:18">
      <c r="A3">
        <v>1</v>
      </c>
      <c r="C3">
        <v>27</v>
      </c>
      <c r="D3" s="44">
        <v>41521</v>
      </c>
      <c r="E3" t="s">
        <v>2</v>
      </c>
      <c r="F3">
        <v>0</v>
      </c>
      <c r="G3" t="s">
        <v>8</v>
      </c>
      <c r="H3" s="65">
        <v>58.502000000000002</v>
      </c>
      <c r="I3" s="66">
        <f>H3</f>
        <v>58.502000000000002</v>
      </c>
      <c r="J3">
        <v>17.093299999999999</v>
      </c>
      <c r="K3" s="54">
        <v>17.093261768828398</v>
      </c>
      <c r="L3" s="45"/>
      <c r="M3" s="54">
        <f>H3*J3</f>
        <v>999.99223659999996</v>
      </c>
      <c r="N3" s="54"/>
    </row>
    <row r="4" spans="1:18">
      <c r="A4">
        <v>1</v>
      </c>
      <c r="B4">
        <v>28</v>
      </c>
      <c r="C4">
        <v>29</v>
      </c>
      <c r="D4" s="44">
        <v>41794.000011574077</v>
      </c>
      <c r="E4" t="s">
        <v>2</v>
      </c>
      <c r="F4">
        <v>0</v>
      </c>
      <c r="G4" t="s">
        <v>80</v>
      </c>
      <c r="H4" s="65">
        <v>2347.326</v>
      </c>
      <c r="I4" s="66">
        <f>I3+H4</f>
        <v>2405.828</v>
      </c>
      <c r="J4">
        <v>19.410499999999999</v>
      </c>
      <c r="K4" s="54">
        <v>18.249684960674401</v>
      </c>
      <c r="L4" s="45"/>
      <c r="M4" s="54"/>
      <c r="N4" s="54"/>
    </row>
    <row r="5" spans="1:18">
      <c r="A5">
        <v>1</v>
      </c>
      <c r="C5">
        <v>30</v>
      </c>
      <c r="D5" s="44">
        <v>41971</v>
      </c>
      <c r="E5" t="s">
        <v>2</v>
      </c>
      <c r="F5">
        <v>1</v>
      </c>
      <c r="G5" t="s">
        <v>81</v>
      </c>
      <c r="H5" s="65">
        <v>2404</v>
      </c>
      <c r="I5" s="66">
        <f>I4-H5</f>
        <v>1.8279999999999745</v>
      </c>
      <c r="J5">
        <v>19.354099999999999</v>
      </c>
      <c r="K5" s="54">
        <v>18.524504991680502</v>
      </c>
      <c r="L5" s="45"/>
      <c r="M5" s="54"/>
      <c r="N5" s="54"/>
    </row>
    <row r="6" spans="1:18">
      <c r="A6">
        <v>1</v>
      </c>
      <c r="B6">
        <v>91</v>
      </c>
      <c r="C6">
        <v>92</v>
      </c>
      <c r="D6" s="44">
        <v>42202.719108796293</v>
      </c>
      <c r="E6" t="s">
        <v>2</v>
      </c>
      <c r="F6">
        <v>0</v>
      </c>
      <c r="G6" t="s">
        <v>80</v>
      </c>
      <c r="H6" s="65">
        <v>2922.36</v>
      </c>
      <c r="I6" s="66">
        <f>I5+H6</f>
        <v>2924.1880000000001</v>
      </c>
      <c r="J6">
        <v>15.6417</v>
      </c>
      <c r="K6" s="54">
        <v>18.393100097181701</v>
      </c>
      <c r="L6" s="45"/>
      <c r="M6" s="54"/>
      <c r="N6" s="54"/>
    </row>
    <row r="7" spans="1:18">
      <c r="A7">
        <v>1</v>
      </c>
      <c r="C7">
        <v>100</v>
      </c>
      <c r="D7" s="44">
        <v>42279.463796296295</v>
      </c>
      <c r="E7" t="s">
        <v>2</v>
      </c>
      <c r="F7">
        <v>1</v>
      </c>
      <c r="G7" t="s">
        <v>81</v>
      </c>
      <c r="H7" s="65">
        <v>2879.2429999999999</v>
      </c>
      <c r="I7" s="66">
        <f>I6-H7</f>
        <v>44.945000000000164</v>
      </c>
      <c r="J7">
        <v>15.6441</v>
      </c>
      <c r="K7" s="54">
        <v>18.063202723771401</v>
      </c>
      <c r="L7" s="54">
        <v>20.035699999999999</v>
      </c>
      <c r="M7" s="54"/>
      <c r="O7" s="54">
        <f>I7*J7</f>
        <v>703.12407450000251</v>
      </c>
    </row>
    <row r="8" spans="1:18">
      <c r="D8" s="44"/>
      <c r="H8" s="65"/>
      <c r="I8" s="66"/>
      <c r="K8" s="54"/>
      <c r="L8" s="45"/>
      <c r="M8" s="54"/>
      <c r="P8" s="67"/>
      <c r="Q8" s="67"/>
      <c r="R8" s="10"/>
    </row>
    <row r="9" spans="1:18">
      <c r="A9">
        <v>2</v>
      </c>
      <c r="C9">
        <v>37</v>
      </c>
      <c r="D9" s="44">
        <v>41534</v>
      </c>
      <c r="E9" t="s">
        <v>49</v>
      </c>
      <c r="F9">
        <v>0</v>
      </c>
      <c r="G9" t="s">
        <v>8</v>
      </c>
      <c r="H9" s="65">
        <v>76.745999999999995</v>
      </c>
      <c r="I9" s="66">
        <f>I8+H9</f>
        <v>76.745999999999995</v>
      </c>
      <c r="J9">
        <v>13.03</v>
      </c>
      <c r="K9" s="54">
        <v>13.029995048601799</v>
      </c>
      <c r="L9" s="45"/>
      <c r="M9" s="54">
        <f>H9*J9</f>
        <v>1000.0003799999998</v>
      </c>
      <c r="P9" s="10"/>
      <c r="Q9" s="67"/>
      <c r="R9" s="67"/>
    </row>
    <row r="10" spans="1:18">
      <c r="A10">
        <v>2</v>
      </c>
      <c r="C10">
        <v>38</v>
      </c>
      <c r="D10" s="44">
        <v>41673</v>
      </c>
      <c r="E10" t="s">
        <v>49</v>
      </c>
      <c r="F10">
        <v>1</v>
      </c>
      <c r="G10" t="s">
        <v>81</v>
      </c>
      <c r="H10" s="65">
        <v>75</v>
      </c>
      <c r="I10" s="66">
        <f>I9-H10</f>
        <v>1.7459999999999951</v>
      </c>
      <c r="J10">
        <v>13.03</v>
      </c>
      <c r="K10" s="54">
        <v>12.78</v>
      </c>
      <c r="L10" s="45"/>
      <c r="M10" s="54"/>
    </row>
    <row r="11" spans="1:18">
      <c r="A11">
        <v>2</v>
      </c>
      <c r="C11">
        <v>103</v>
      </c>
      <c r="D11" s="44">
        <v>42310.831203703703</v>
      </c>
      <c r="E11" t="s">
        <v>49</v>
      </c>
      <c r="F11">
        <v>1</v>
      </c>
      <c r="G11" t="s">
        <v>81</v>
      </c>
      <c r="H11" s="65">
        <v>1.746</v>
      </c>
      <c r="I11" s="66">
        <f>I10-H11</f>
        <v>-4.8849813083506888E-15</v>
      </c>
      <c r="J11">
        <v>13.03</v>
      </c>
      <c r="K11" s="54">
        <v>13.6483390607101</v>
      </c>
      <c r="L11" s="45"/>
      <c r="M11" s="54"/>
      <c r="O11" s="54">
        <f>I11*J11</f>
        <v>-6.3651306447809468E-14</v>
      </c>
    </row>
    <row r="12" spans="1:18">
      <c r="D12" s="44"/>
      <c r="H12" s="65"/>
      <c r="I12" s="66"/>
      <c r="K12" s="54"/>
      <c r="L12" s="45"/>
      <c r="M12" s="54"/>
    </row>
    <row r="13" spans="1:18">
      <c r="A13">
        <v>3</v>
      </c>
      <c r="C13">
        <v>1</v>
      </c>
      <c r="D13" s="44">
        <v>41172</v>
      </c>
      <c r="E13" t="s">
        <v>52</v>
      </c>
      <c r="F13">
        <v>0</v>
      </c>
      <c r="G13" t="s">
        <v>8</v>
      </c>
      <c r="H13" s="65">
        <v>325.52199999999999</v>
      </c>
      <c r="I13" s="66">
        <f>I12+H13</f>
        <v>325.52199999999999</v>
      </c>
      <c r="J13">
        <v>30.719899999999999</v>
      </c>
      <c r="K13" s="54">
        <v>30.719859180024699</v>
      </c>
      <c r="L13" s="58"/>
      <c r="M13" s="54">
        <f>H13*J13</f>
        <v>10000.0032878</v>
      </c>
    </row>
    <row r="14" spans="1:18">
      <c r="A14">
        <v>3</v>
      </c>
      <c r="C14">
        <v>2</v>
      </c>
      <c r="D14" s="44">
        <v>41187</v>
      </c>
      <c r="E14" t="s">
        <v>52</v>
      </c>
      <c r="F14">
        <v>0</v>
      </c>
      <c r="G14" t="s">
        <v>8</v>
      </c>
      <c r="H14" s="65">
        <v>1267.6880000000001</v>
      </c>
      <c r="I14" s="66">
        <f>I13+H14</f>
        <v>1593.21</v>
      </c>
      <c r="J14">
        <v>31.5535</v>
      </c>
      <c r="K14" s="54">
        <v>31.5534895021487</v>
      </c>
      <c r="L14" s="58"/>
      <c r="M14" s="54">
        <f>H14*J14</f>
        <v>39999.993308000005</v>
      </c>
    </row>
    <row r="15" spans="1:18">
      <c r="A15">
        <v>3</v>
      </c>
      <c r="C15">
        <v>3</v>
      </c>
      <c r="D15" s="44">
        <v>41410</v>
      </c>
      <c r="E15" t="s">
        <v>52</v>
      </c>
      <c r="F15">
        <v>0</v>
      </c>
      <c r="G15" t="s">
        <v>8</v>
      </c>
      <c r="H15" s="65">
        <v>522.37400000000002</v>
      </c>
      <c r="I15" s="66">
        <f>I14+H15</f>
        <v>2115.5839999999998</v>
      </c>
      <c r="J15">
        <v>38.286799999999999</v>
      </c>
      <c r="K15" s="54">
        <v>38.286783032846103</v>
      </c>
      <c r="L15" s="45"/>
      <c r="M15" s="54">
        <f>H15*J15</f>
        <v>20000.028863200001</v>
      </c>
    </row>
    <row r="16" spans="1:18">
      <c r="A16">
        <v>3</v>
      </c>
      <c r="C16">
        <v>4</v>
      </c>
      <c r="D16" s="44">
        <v>41438</v>
      </c>
      <c r="E16" t="s">
        <v>52</v>
      </c>
      <c r="F16">
        <v>1</v>
      </c>
      <c r="G16" t="s">
        <v>41</v>
      </c>
      <c r="H16" s="65">
        <v>1415.5820000000001</v>
      </c>
      <c r="I16" s="66">
        <f>I15-H16</f>
        <v>700.00199999999973</v>
      </c>
      <c r="J16">
        <v>31.361799999999999</v>
      </c>
      <c r="K16" s="54">
        <v>33.983393402854702</v>
      </c>
      <c r="L16" s="45"/>
      <c r="M16" s="54"/>
      <c r="N16" s="54">
        <f>H16*J16</f>
        <v>44395.199567600001</v>
      </c>
    </row>
    <row r="17" spans="1:18">
      <c r="A17">
        <v>3</v>
      </c>
      <c r="C17">
        <v>5</v>
      </c>
      <c r="D17" s="44">
        <v>41492</v>
      </c>
      <c r="E17" t="s">
        <v>52</v>
      </c>
      <c r="F17">
        <v>1</v>
      </c>
      <c r="G17" t="s">
        <v>41</v>
      </c>
      <c r="H17" s="65">
        <v>178</v>
      </c>
      <c r="I17" s="66">
        <f>I16-H17</f>
        <v>522.00199999999973</v>
      </c>
      <c r="J17">
        <v>31.567599999999999</v>
      </c>
      <c r="K17" s="54">
        <v>33.896398876404497</v>
      </c>
      <c r="L17" s="45"/>
      <c r="M17" s="54"/>
      <c r="N17" s="54">
        <f>H17*J17</f>
        <v>5619.0328</v>
      </c>
    </row>
    <row r="18" spans="1:18">
      <c r="A18">
        <v>3</v>
      </c>
      <c r="C18">
        <v>6</v>
      </c>
      <c r="D18" s="44">
        <v>41506</v>
      </c>
      <c r="E18" t="s">
        <v>52</v>
      </c>
      <c r="F18">
        <v>1</v>
      </c>
      <c r="G18" t="s">
        <v>41</v>
      </c>
      <c r="H18" s="65">
        <v>522.00199999999995</v>
      </c>
      <c r="I18" s="66">
        <f>I17-H18</f>
        <v>0</v>
      </c>
      <c r="J18">
        <v>38.286799999999999</v>
      </c>
      <c r="K18" s="54">
        <v>32.470297048670297</v>
      </c>
      <c r="L18" s="45"/>
      <c r="M18" s="54"/>
      <c r="N18" s="54">
        <f>H18*J18</f>
        <v>19985.786173599998</v>
      </c>
    </row>
    <row r="19" spans="1:18">
      <c r="A19">
        <v>3</v>
      </c>
      <c r="B19">
        <v>40</v>
      </c>
      <c r="C19">
        <v>41</v>
      </c>
      <c r="D19" s="44">
        <v>42047.000011574077</v>
      </c>
      <c r="E19" t="s">
        <v>52</v>
      </c>
      <c r="F19">
        <v>0</v>
      </c>
      <c r="G19" t="s">
        <v>80</v>
      </c>
      <c r="H19" s="65">
        <v>174.22900000000001</v>
      </c>
      <c r="I19" s="66">
        <f>I18+H19</f>
        <v>174.22900000000001</v>
      </c>
      <c r="J19">
        <v>21.561399999999999</v>
      </c>
      <c r="K19" s="54">
        <v>39.4291363665061</v>
      </c>
      <c r="L19" s="45"/>
      <c r="M19" s="54"/>
    </row>
    <row r="20" spans="1:18">
      <c r="A20">
        <v>3</v>
      </c>
      <c r="C20">
        <v>95</v>
      </c>
      <c r="D20" s="44">
        <v>42207.759375000001</v>
      </c>
      <c r="E20" t="s">
        <v>52</v>
      </c>
      <c r="F20">
        <v>1</v>
      </c>
      <c r="G20" t="s">
        <v>81</v>
      </c>
      <c r="H20" s="65">
        <v>150</v>
      </c>
      <c r="I20" s="66">
        <f>I19-H20</f>
        <v>24.229000000000013</v>
      </c>
      <c r="J20">
        <v>21.561399999999999</v>
      </c>
      <c r="K20" s="54">
        <v>39.577666666666602</v>
      </c>
      <c r="L20" s="54">
        <v>37.983899999999998</v>
      </c>
      <c r="M20" s="54"/>
      <c r="N20" s="54"/>
      <c r="O20" s="54">
        <f>I20*J20</f>
        <v>522.41116060000024</v>
      </c>
      <c r="P20" s="47"/>
    </row>
    <row r="21" spans="1:18">
      <c r="D21" s="44"/>
      <c r="H21" s="65"/>
      <c r="I21" s="66"/>
      <c r="K21" s="54"/>
      <c r="L21" s="45"/>
      <c r="M21" s="54"/>
      <c r="P21" s="67"/>
      <c r="Q21" s="67"/>
      <c r="R21" s="67"/>
    </row>
    <row r="22" spans="1:18">
      <c r="A22">
        <v>4</v>
      </c>
      <c r="C22">
        <v>11</v>
      </c>
      <c r="D22" s="44">
        <v>41554</v>
      </c>
      <c r="E22" t="s">
        <v>79</v>
      </c>
      <c r="F22">
        <v>0</v>
      </c>
      <c r="G22" t="s">
        <v>8</v>
      </c>
      <c r="H22" s="65">
        <v>28.28</v>
      </c>
      <c r="I22" s="66">
        <f>I21+H22</f>
        <v>28.28</v>
      </c>
      <c r="J22">
        <v>35.357100000000003</v>
      </c>
      <c r="K22" s="54">
        <v>35.357142857142797</v>
      </c>
      <c r="L22" s="45"/>
      <c r="M22" s="54">
        <f>H22*J22</f>
        <v>999.89878800000008</v>
      </c>
      <c r="R22" s="67"/>
    </row>
    <row r="23" spans="1:18">
      <c r="A23">
        <v>4</v>
      </c>
      <c r="C23">
        <v>12</v>
      </c>
      <c r="D23" s="44">
        <v>41565</v>
      </c>
      <c r="E23" t="s">
        <v>79</v>
      </c>
      <c r="F23">
        <v>0</v>
      </c>
      <c r="G23" t="s">
        <v>8</v>
      </c>
      <c r="H23" s="65">
        <v>134.86000000000001</v>
      </c>
      <c r="I23" s="66">
        <f>I22+H23</f>
        <v>163.14000000000001</v>
      </c>
      <c r="J23">
        <v>37.076300000000003</v>
      </c>
      <c r="K23" s="54">
        <v>37.076301349547599</v>
      </c>
      <c r="L23" s="45"/>
      <c r="M23" s="54">
        <f>H23*J23</f>
        <v>5000.1098180000008</v>
      </c>
    </row>
    <row r="24" spans="1:18">
      <c r="A24">
        <v>4</v>
      </c>
      <c r="C24">
        <v>13</v>
      </c>
      <c r="D24" s="44">
        <v>41639</v>
      </c>
      <c r="E24" t="s">
        <v>79</v>
      </c>
      <c r="F24">
        <v>1</v>
      </c>
      <c r="G24" t="s">
        <v>41</v>
      </c>
      <c r="H24" s="65">
        <v>160</v>
      </c>
      <c r="I24" s="66">
        <f>I23-H24</f>
        <v>3.1400000000000148</v>
      </c>
      <c r="J24">
        <v>36.772399999999998</v>
      </c>
      <c r="K24" s="54">
        <v>30.947749999999999</v>
      </c>
      <c r="L24" s="54">
        <v>45.0839</v>
      </c>
      <c r="M24" s="54"/>
      <c r="N24" s="54">
        <f>H24*J24</f>
        <v>5883.5839999999998</v>
      </c>
      <c r="O24" s="54">
        <f>I24*J24</f>
        <v>115.46533600000053</v>
      </c>
      <c r="P24" s="47"/>
    </row>
    <row r="25" spans="1:18">
      <c r="D25" s="44"/>
      <c r="H25" s="65"/>
      <c r="I25" s="66"/>
      <c r="K25" s="54"/>
      <c r="L25" s="45"/>
      <c r="M25" s="54"/>
      <c r="P25" s="67"/>
      <c r="Q25" s="67"/>
      <c r="R25" s="67"/>
    </row>
    <row r="26" spans="1:18">
      <c r="A26">
        <v>5</v>
      </c>
      <c r="B26">
        <v>25</v>
      </c>
      <c r="C26">
        <v>26</v>
      </c>
      <c r="D26" s="44">
        <v>41439.000011574077</v>
      </c>
      <c r="E26" t="s">
        <v>9</v>
      </c>
      <c r="F26">
        <v>0</v>
      </c>
      <c r="G26" t="s">
        <v>80</v>
      </c>
      <c r="H26" s="65">
        <v>249.34710000000001</v>
      </c>
      <c r="I26" s="66">
        <f>I25+H26</f>
        <v>249.34710000000001</v>
      </c>
      <c r="J26">
        <v>182.98320000000001</v>
      </c>
      <c r="K26" s="54">
        <v>139.70998660100699</v>
      </c>
      <c r="L26" s="45"/>
      <c r="M26" s="54"/>
      <c r="R26" s="67"/>
    </row>
    <row r="27" spans="1:18">
      <c r="A27">
        <v>5</v>
      </c>
      <c r="C27">
        <v>28</v>
      </c>
      <c r="D27" s="44">
        <v>41794</v>
      </c>
      <c r="E27" t="s">
        <v>9</v>
      </c>
      <c r="F27">
        <v>1</v>
      </c>
      <c r="G27" t="s">
        <v>81</v>
      </c>
      <c r="H27" s="65">
        <v>249</v>
      </c>
      <c r="I27" s="66">
        <f>I26-H27</f>
        <v>0.34710000000001173</v>
      </c>
      <c r="J27">
        <v>182.98320000000001</v>
      </c>
      <c r="K27" s="54">
        <v>172.04</v>
      </c>
      <c r="L27" s="45"/>
      <c r="M27" s="54"/>
    </row>
    <row r="28" spans="1:18">
      <c r="A28">
        <v>5</v>
      </c>
      <c r="B28">
        <v>30</v>
      </c>
      <c r="C28">
        <v>31</v>
      </c>
      <c r="D28" s="44">
        <v>41976</v>
      </c>
      <c r="E28" t="s">
        <v>9</v>
      </c>
      <c r="F28">
        <v>0</v>
      </c>
      <c r="G28" t="s">
        <v>80</v>
      </c>
      <c r="H28" s="65">
        <v>264.18049999999999</v>
      </c>
      <c r="I28" s="66">
        <f>I27+H28</f>
        <v>264.52760000000001</v>
      </c>
      <c r="J28">
        <v>176.11920000000001</v>
      </c>
      <c r="K28" s="54">
        <v>168.57001179118001</v>
      </c>
      <c r="L28" s="45"/>
      <c r="M28" s="54"/>
    </row>
    <row r="29" spans="1:18">
      <c r="A29">
        <v>5</v>
      </c>
      <c r="C29">
        <v>91</v>
      </c>
      <c r="D29" s="44">
        <v>42201.719108796293</v>
      </c>
      <c r="E29" t="s">
        <v>9</v>
      </c>
      <c r="F29">
        <v>1</v>
      </c>
      <c r="G29" t="s">
        <v>81</v>
      </c>
      <c r="H29" s="65">
        <v>259.52999999999997</v>
      </c>
      <c r="I29" s="66">
        <f>I28-H29</f>
        <v>4.997600000000034</v>
      </c>
      <c r="J29">
        <v>176.1284</v>
      </c>
      <c r="K29" s="54">
        <v>207.11000655030199</v>
      </c>
      <c r="L29" s="54">
        <v>227.7</v>
      </c>
      <c r="M29" s="54"/>
      <c r="O29" s="54">
        <f>I29*J29</f>
        <v>880.21929184000601</v>
      </c>
      <c r="P29" s="47"/>
    </row>
    <row r="30" spans="1:18">
      <c r="D30" s="44"/>
      <c r="H30" s="65"/>
      <c r="I30" s="66"/>
      <c r="K30" s="54"/>
      <c r="L30" s="45"/>
      <c r="M30" s="54"/>
      <c r="P30" s="67"/>
      <c r="Q30" s="67"/>
      <c r="R30" s="67"/>
    </row>
    <row r="31" spans="1:18">
      <c r="A31">
        <v>6</v>
      </c>
      <c r="C31">
        <v>7</v>
      </c>
      <c r="D31" s="44">
        <v>41492.000011574077</v>
      </c>
      <c r="E31" t="s">
        <v>50</v>
      </c>
      <c r="F31">
        <v>0</v>
      </c>
      <c r="G31" t="s">
        <v>8</v>
      </c>
      <c r="H31" s="65">
        <v>24.091999999999999</v>
      </c>
      <c r="I31" s="66">
        <f>I30+H31</f>
        <v>24.091999999999999</v>
      </c>
      <c r="J31">
        <v>250.44120000000001</v>
      </c>
      <c r="K31" s="54">
        <v>250.44122530300501</v>
      </c>
      <c r="L31" s="45"/>
      <c r="M31" s="54">
        <f>H31*J31</f>
        <v>6033.6293903999995</v>
      </c>
      <c r="R31" s="67"/>
    </row>
    <row r="32" spans="1:18">
      <c r="A32">
        <v>6</v>
      </c>
      <c r="B32">
        <v>38</v>
      </c>
      <c r="C32">
        <v>39</v>
      </c>
      <c r="D32" s="44">
        <v>41673.000011574077</v>
      </c>
      <c r="E32" t="s">
        <v>50</v>
      </c>
      <c r="F32">
        <v>0</v>
      </c>
      <c r="G32" t="s">
        <v>80</v>
      </c>
      <c r="H32" s="65">
        <v>3.1440000000000001</v>
      </c>
      <c r="I32" s="66">
        <f>I31+H32</f>
        <v>27.235999999999997</v>
      </c>
      <c r="J32">
        <v>310.83019999999999</v>
      </c>
      <c r="K32" s="54">
        <v>304.86641221373998</v>
      </c>
      <c r="L32" s="45"/>
      <c r="M32" s="54"/>
    </row>
    <row r="33" spans="1:18">
      <c r="A33">
        <v>6</v>
      </c>
      <c r="C33">
        <v>40</v>
      </c>
      <c r="D33" s="44">
        <v>42047</v>
      </c>
      <c r="E33" t="s">
        <v>50</v>
      </c>
      <c r="F33">
        <v>1</v>
      </c>
      <c r="G33" t="s">
        <v>81</v>
      </c>
      <c r="H33" s="65">
        <v>15</v>
      </c>
      <c r="I33" s="66">
        <f>I32-H33</f>
        <v>12.235999999999997</v>
      </c>
      <c r="J33">
        <v>250.44120000000001</v>
      </c>
      <c r="K33" s="54">
        <v>457.97993333333301</v>
      </c>
      <c r="L33" s="45"/>
      <c r="M33" s="54"/>
    </row>
    <row r="34" spans="1:18">
      <c r="A34">
        <v>6</v>
      </c>
      <c r="B34">
        <v>95</v>
      </c>
      <c r="C34">
        <v>96</v>
      </c>
      <c r="D34" s="44">
        <v>42208.759375000001</v>
      </c>
      <c r="E34" t="s">
        <v>50</v>
      </c>
      <c r="F34">
        <v>0</v>
      </c>
      <c r="G34" t="s">
        <v>80</v>
      </c>
      <c r="H34" s="65">
        <v>10.042999999999999</v>
      </c>
      <c r="I34" s="66">
        <f>I33+H34</f>
        <v>22.278999999999996</v>
      </c>
      <c r="J34">
        <v>322.03620000000001</v>
      </c>
      <c r="K34" s="54">
        <v>591.12317036742002</v>
      </c>
      <c r="L34" s="45"/>
      <c r="M34" s="54"/>
      <c r="Q34" s="47"/>
    </row>
    <row r="35" spans="1:18">
      <c r="A35">
        <v>6</v>
      </c>
      <c r="B35">
        <v>103</v>
      </c>
      <c r="C35">
        <v>104</v>
      </c>
      <c r="D35" s="44">
        <v>42311.831203703703</v>
      </c>
      <c r="E35" t="s">
        <v>50</v>
      </c>
      <c r="F35">
        <v>0</v>
      </c>
      <c r="G35" t="s">
        <v>80</v>
      </c>
      <c r="H35" s="65">
        <v>4.7E-2</v>
      </c>
      <c r="I35" s="66">
        <f>I34+H35</f>
        <v>22.325999999999997</v>
      </c>
      <c r="J35">
        <v>484.05059999999997</v>
      </c>
      <c r="K35" s="54">
        <v>507.02127659574398</v>
      </c>
      <c r="L35" s="54">
        <v>493.9513</v>
      </c>
      <c r="M35" s="54"/>
      <c r="O35" s="54">
        <f>H35*J35+H34*J34+(H31+H32-H33)*J31</f>
        <v>6321.3584579999988</v>
      </c>
      <c r="Q35" s="47"/>
      <c r="R35" s="54"/>
    </row>
    <row r="36" spans="1:18">
      <c r="D36" s="44"/>
      <c r="H36" s="65"/>
      <c r="I36" s="66"/>
      <c r="K36" s="54"/>
      <c r="L36" s="45"/>
      <c r="M36" s="54"/>
      <c r="P36" s="67"/>
      <c r="Q36" s="67"/>
      <c r="R36" s="67"/>
    </row>
    <row r="37" spans="1:18">
      <c r="A37">
        <v>10</v>
      </c>
      <c r="C37">
        <v>15</v>
      </c>
      <c r="D37" s="44">
        <v>36841</v>
      </c>
      <c r="E37" t="s">
        <v>12</v>
      </c>
      <c r="F37">
        <v>0</v>
      </c>
      <c r="G37" t="s">
        <v>8</v>
      </c>
      <c r="H37" s="65">
        <v>679.64</v>
      </c>
      <c r="I37" s="66">
        <f>I36+H37</f>
        <v>679.64</v>
      </c>
      <c r="J37">
        <v>22.992000000000001</v>
      </c>
      <c r="K37" s="54">
        <v>22.9920399034783</v>
      </c>
      <c r="L37" s="45"/>
      <c r="M37" s="54">
        <f>H37*J37</f>
        <v>15626.282880000001</v>
      </c>
      <c r="R37" s="67"/>
    </row>
    <row r="38" spans="1:18">
      <c r="A38">
        <v>10</v>
      </c>
      <c r="C38">
        <v>23</v>
      </c>
      <c r="D38" s="44">
        <v>41383</v>
      </c>
      <c r="E38" t="s">
        <v>12</v>
      </c>
      <c r="F38">
        <v>1</v>
      </c>
      <c r="G38" t="s">
        <v>81</v>
      </c>
      <c r="H38" s="65">
        <v>679.64</v>
      </c>
      <c r="I38" s="66">
        <f>I37-H38</f>
        <v>0</v>
      </c>
      <c r="J38">
        <v>22.992000000000001</v>
      </c>
      <c r="K38" s="54">
        <v>8.1098375610617399</v>
      </c>
      <c r="L38" s="45"/>
      <c r="M38" s="54"/>
      <c r="O38" s="54">
        <f>I38*J38</f>
        <v>0</v>
      </c>
      <c r="R38" s="54"/>
    </row>
    <row r="39" spans="1:18">
      <c r="D39" s="44"/>
      <c r="H39" s="65"/>
      <c r="I39" s="66"/>
      <c r="K39" s="54"/>
      <c r="L39" s="45"/>
      <c r="M39" s="54"/>
      <c r="P39" s="67"/>
      <c r="Q39" s="67"/>
      <c r="R39" s="67"/>
    </row>
    <row r="40" spans="1:18">
      <c r="A40">
        <v>11</v>
      </c>
      <c r="C40">
        <v>16</v>
      </c>
      <c r="D40" s="44">
        <v>41166</v>
      </c>
      <c r="E40" t="s">
        <v>11</v>
      </c>
      <c r="F40">
        <v>0</v>
      </c>
      <c r="G40" t="s">
        <v>8</v>
      </c>
      <c r="H40" s="65">
        <v>547.645126</v>
      </c>
      <c r="I40" s="66">
        <f>I39+H40</f>
        <v>547.645126</v>
      </c>
      <c r="J40">
        <v>18.260000000000002</v>
      </c>
      <c r="K40" s="54">
        <v>18.259999998612201</v>
      </c>
      <c r="L40" s="45"/>
      <c r="M40" s="54">
        <f>H40*J40</f>
        <v>10000.000000760001</v>
      </c>
      <c r="R40" s="67"/>
    </row>
    <row r="41" spans="1:18">
      <c r="A41">
        <v>11</v>
      </c>
      <c r="C41">
        <v>17</v>
      </c>
      <c r="D41" s="44">
        <v>41377</v>
      </c>
      <c r="E41" t="s">
        <v>11</v>
      </c>
      <c r="F41">
        <v>0</v>
      </c>
      <c r="G41" t="s">
        <v>8</v>
      </c>
      <c r="H41" s="65">
        <v>1010.611</v>
      </c>
      <c r="I41" s="66">
        <f>I40+H41</f>
        <v>1558.256126</v>
      </c>
      <c r="J41">
        <v>19.79</v>
      </c>
      <c r="K41" s="54">
        <v>19.7899983277443</v>
      </c>
      <c r="L41" s="45"/>
      <c r="M41" s="54">
        <f>H41*J41</f>
        <v>19999.991689999999</v>
      </c>
    </row>
    <row r="42" spans="1:18">
      <c r="A42">
        <v>11</v>
      </c>
      <c r="B42">
        <v>23</v>
      </c>
      <c r="C42">
        <v>24</v>
      </c>
      <c r="D42" s="44">
        <v>41383.000011574077</v>
      </c>
      <c r="E42" t="s">
        <v>11</v>
      </c>
      <c r="F42">
        <v>0</v>
      </c>
      <c r="G42" t="s">
        <v>80</v>
      </c>
      <c r="H42" s="65">
        <v>280.07</v>
      </c>
      <c r="I42" s="66">
        <f>I41+H42</f>
        <v>1838.3261259999999</v>
      </c>
      <c r="J42">
        <v>55.794199999999996</v>
      </c>
      <c r="K42" s="54">
        <v>19.6799728639268</v>
      </c>
      <c r="L42" s="45"/>
      <c r="M42" s="54"/>
    </row>
    <row r="43" spans="1:18">
      <c r="A43">
        <v>11</v>
      </c>
      <c r="C43">
        <v>25</v>
      </c>
      <c r="D43" s="44">
        <v>41439</v>
      </c>
      <c r="E43" t="s">
        <v>11</v>
      </c>
      <c r="F43">
        <v>1</v>
      </c>
      <c r="G43" t="s">
        <v>81</v>
      </c>
      <c r="H43" s="65">
        <v>1838.3261259999999</v>
      </c>
      <c r="I43" s="66">
        <f>I42-H43</f>
        <v>0</v>
      </c>
      <c r="J43">
        <v>24.819500000000001</v>
      </c>
      <c r="K43" s="54">
        <v>18.949999952293499</v>
      </c>
      <c r="L43" s="45"/>
      <c r="M43" s="54"/>
      <c r="O43" s="54">
        <f>I43*J43</f>
        <v>0</v>
      </c>
      <c r="R43" s="54"/>
    </row>
    <row r="44" spans="1:18">
      <c r="D44" s="44"/>
      <c r="H44" s="65"/>
      <c r="I44" s="66"/>
      <c r="K44" s="54"/>
      <c r="L44" s="45"/>
      <c r="M44" s="54"/>
      <c r="P44" s="67"/>
      <c r="Q44" s="67"/>
      <c r="R44" s="67"/>
    </row>
    <row r="45" spans="1:18">
      <c r="A45">
        <v>12</v>
      </c>
      <c r="C45">
        <v>32</v>
      </c>
      <c r="D45" s="44">
        <v>41166.000011574077</v>
      </c>
      <c r="E45" t="s">
        <v>54</v>
      </c>
      <c r="F45">
        <v>0</v>
      </c>
      <c r="G45" t="s">
        <v>8</v>
      </c>
      <c r="H45" s="65">
        <v>5006.5078999999996</v>
      </c>
      <c r="I45" s="66">
        <f>I44+H45</f>
        <v>5006.5078999999996</v>
      </c>
      <c r="J45">
        <v>1.9974000000000001</v>
      </c>
      <c r="K45" s="54">
        <v>1.9974000000000001</v>
      </c>
      <c r="L45" s="45"/>
      <c r="M45" s="54">
        <f>H45*J45</f>
        <v>9999.9988794599994</v>
      </c>
      <c r="R45" s="67"/>
    </row>
    <row r="46" spans="1:18">
      <c r="A46">
        <v>12</v>
      </c>
      <c r="C46">
        <v>33</v>
      </c>
      <c r="D46" s="44">
        <v>41385</v>
      </c>
      <c r="E46" t="s">
        <v>54</v>
      </c>
      <c r="F46">
        <v>1</v>
      </c>
      <c r="G46" t="s">
        <v>81</v>
      </c>
      <c r="H46" s="65">
        <v>5006.5078999999996</v>
      </c>
      <c r="I46" s="66">
        <f>I45-H46</f>
        <v>0</v>
      </c>
      <c r="J46">
        <v>1.9974000000000001</v>
      </c>
      <c r="K46" s="54">
        <v>2.0725623942389002</v>
      </c>
      <c r="L46" s="45"/>
      <c r="O46" s="54">
        <f>I46*J46</f>
        <v>0</v>
      </c>
      <c r="R46" s="54"/>
    </row>
    <row r="47" spans="1:18">
      <c r="D47" s="44"/>
      <c r="H47" s="65"/>
      <c r="I47" s="66"/>
      <c r="K47" s="54"/>
      <c r="L47" s="45"/>
      <c r="P47" s="67"/>
      <c r="Q47" s="67"/>
      <c r="R47" s="67"/>
    </row>
    <row r="48" spans="1:18">
      <c r="A48">
        <v>13</v>
      </c>
      <c r="B48">
        <v>33</v>
      </c>
      <c r="C48">
        <v>34</v>
      </c>
      <c r="D48" s="44">
        <v>41385.000011574077</v>
      </c>
      <c r="E48" t="s">
        <v>53</v>
      </c>
      <c r="F48">
        <v>0</v>
      </c>
      <c r="G48" t="s">
        <v>80</v>
      </c>
      <c r="H48" s="65">
        <v>394.85</v>
      </c>
      <c r="I48" s="66">
        <f>I47+H48</f>
        <v>394.85</v>
      </c>
      <c r="J48">
        <v>25.3261</v>
      </c>
      <c r="K48" s="54">
        <v>26.279093326579702</v>
      </c>
      <c r="L48" s="45"/>
      <c r="R48" s="67"/>
    </row>
    <row r="49" spans="1:18">
      <c r="A49">
        <v>13</v>
      </c>
      <c r="C49">
        <v>42</v>
      </c>
      <c r="D49" s="44">
        <v>41436.000011574077</v>
      </c>
      <c r="E49" t="s">
        <v>53</v>
      </c>
      <c r="F49">
        <v>1</v>
      </c>
      <c r="G49" t="s">
        <v>41</v>
      </c>
      <c r="H49" s="65">
        <v>394.85</v>
      </c>
      <c r="I49" s="66">
        <f>I48-H49</f>
        <v>0</v>
      </c>
      <c r="J49">
        <v>25.3261</v>
      </c>
      <c r="K49" s="54">
        <v>24.609000886412499</v>
      </c>
      <c r="L49" s="45"/>
      <c r="N49" s="54">
        <f>H49*J49</f>
        <v>10000.010585</v>
      </c>
      <c r="O49" s="54">
        <f>I49*J49</f>
        <v>0</v>
      </c>
      <c r="R49" s="54"/>
    </row>
    <row r="50" spans="1:18">
      <c r="D50" s="44"/>
      <c r="H50" s="65"/>
      <c r="I50" s="66"/>
      <c r="K50" s="54"/>
      <c r="L50" s="45"/>
      <c r="P50" s="67"/>
      <c r="Q50" s="67"/>
      <c r="R50" s="67"/>
    </row>
    <row r="51" spans="1:18">
      <c r="A51">
        <v>14</v>
      </c>
      <c r="C51">
        <v>35</v>
      </c>
      <c r="D51" s="44">
        <v>41201</v>
      </c>
      <c r="E51" t="s">
        <v>77</v>
      </c>
      <c r="F51">
        <v>0</v>
      </c>
      <c r="G51" t="s">
        <v>8</v>
      </c>
      <c r="H51" s="65">
        <v>21.84</v>
      </c>
      <c r="I51" s="66">
        <f>I50+H51</f>
        <v>21.84</v>
      </c>
      <c r="J51">
        <v>549.56460000000004</v>
      </c>
      <c r="K51" s="54">
        <v>549.56456043955995</v>
      </c>
      <c r="L51" s="45"/>
      <c r="M51" s="54">
        <f>H51*J51</f>
        <v>12002.490864000001</v>
      </c>
      <c r="R51" s="67"/>
    </row>
    <row r="52" spans="1:18">
      <c r="A52">
        <v>14</v>
      </c>
      <c r="C52">
        <v>36</v>
      </c>
      <c r="D52" s="44">
        <v>41436</v>
      </c>
      <c r="E52" t="s">
        <v>77</v>
      </c>
      <c r="F52">
        <v>1</v>
      </c>
      <c r="G52" t="s">
        <v>41</v>
      </c>
      <c r="H52" s="65">
        <v>21.84</v>
      </c>
      <c r="I52" s="66">
        <f>I51-H52</f>
        <v>0</v>
      </c>
      <c r="J52">
        <v>549.56460000000004</v>
      </c>
      <c r="K52" s="54">
        <v>547.44001831501805</v>
      </c>
      <c r="L52" s="45"/>
      <c r="N52" s="54">
        <f>H52*J52</f>
        <v>12002.490864000001</v>
      </c>
      <c r="O52" s="54">
        <f>I52*J52</f>
        <v>0</v>
      </c>
      <c r="R52" s="54"/>
    </row>
    <row r="53" spans="1:18">
      <c r="D53" s="44"/>
      <c r="H53" s="65"/>
      <c r="I53" s="66"/>
      <c r="K53" s="54"/>
      <c r="L53" s="45"/>
      <c r="P53" s="67"/>
      <c r="Q53" s="67"/>
      <c r="R53" s="67"/>
    </row>
    <row r="54" spans="1:18">
      <c r="A54">
        <v>15</v>
      </c>
      <c r="C54">
        <v>98</v>
      </c>
      <c r="D54" s="44">
        <v>42219.795451388891</v>
      </c>
      <c r="E54" t="s">
        <v>78</v>
      </c>
      <c r="F54">
        <v>0</v>
      </c>
      <c r="G54" t="s">
        <v>8</v>
      </c>
      <c r="H54" s="65">
        <v>112.246</v>
      </c>
      <c r="I54" s="66">
        <f>I53+H54</f>
        <v>112.246</v>
      </c>
      <c r="J54">
        <v>8.9090000000000007</v>
      </c>
      <c r="K54" s="54">
        <v>8.9090034388753203</v>
      </c>
      <c r="L54" s="45"/>
      <c r="M54" s="54">
        <f>H54*J54</f>
        <v>999.99961400000007</v>
      </c>
      <c r="R54" s="67"/>
    </row>
    <row r="55" spans="1:18">
      <c r="A55">
        <v>15</v>
      </c>
      <c r="C55">
        <v>122</v>
      </c>
      <c r="D55" s="44">
        <v>42635.715057870373</v>
      </c>
      <c r="E55" t="s">
        <v>78</v>
      </c>
      <c r="F55">
        <v>0</v>
      </c>
      <c r="G55" t="s">
        <v>8</v>
      </c>
      <c r="H55" s="65">
        <v>5585.1589999999997</v>
      </c>
      <c r="I55" s="66">
        <f>I54+H55</f>
        <v>5697.4049999999997</v>
      </c>
      <c r="J55">
        <v>8.952</v>
      </c>
      <c r="K55" s="54">
        <v>8.952</v>
      </c>
      <c r="L55" s="54">
        <v>9.6896000000000004</v>
      </c>
      <c r="M55" s="54">
        <f>H55*J55</f>
        <v>49998.343367999994</v>
      </c>
      <c r="O55" s="54">
        <f>H54*J54+H55*J55</f>
        <v>50998.342981999995</v>
      </c>
      <c r="R55" s="54"/>
    </row>
    <row r="56" spans="1:18">
      <c r="D56" s="44"/>
      <c r="H56" s="65"/>
      <c r="I56" s="66"/>
      <c r="K56" s="54"/>
      <c r="L56" s="45"/>
      <c r="O56" s="54"/>
      <c r="P56" s="67"/>
      <c r="Q56" s="67"/>
      <c r="R56" s="67"/>
    </row>
    <row r="57" spans="1:18">
      <c r="A57">
        <v>16</v>
      </c>
      <c r="B57">
        <v>100</v>
      </c>
      <c r="C57">
        <v>101</v>
      </c>
      <c r="D57" s="44">
        <v>42279.463807870372</v>
      </c>
      <c r="E57" t="s">
        <v>0</v>
      </c>
      <c r="F57">
        <v>0</v>
      </c>
      <c r="G57" t="s">
        <v>80</v>
      </c>
      <c r="H57" s="65">
        <v>160.75280000000001</v>
      </c>
      <c r="I57" s="66">
        <f>I56+H57</f>
        <v>160.75280000000001</v>
      </c>
      <c r="J57">
        <v>280.20139999999998</v>
      </c>
      <c r="K57" s="54">
        <v>323.52997894904399</v>
      </c>
      <c r="L57" s="54">
        <v>395.12</v>
      </c>
      <c r="O57" s="54">
        <f>I57*J57</f>
        <v>45043.159613919997</v>
      </c>
      <c r="Q57" s="54"/>
      <c r="R57" s="67"/>
    </row>
    <row r="58" spans="1:18">
      <c r="D58" s="44"/>
      <c r="H58" s="65"/>
      <c r="I58" s="66"/>
      <c r="K58" s="54"/>
      <c r="L58" s="45"/>
    </row>
    <row r="59" spans="1:18">
      <c r="A59">
        <v>19</v>
      </c>
      <c r="C59">
        <v>108</v>
      </c>
      <c r="D59" s="44">
        <v>42387.492534722223</v>
      </c>
      <c r="E59" t="s">
        <v>76</v>
      </c>
      <c r="F59">
        <v>0</v>
      </c>
      <c r="G59" t="s">
        <v>8</v>
      </c>
      <c r="H59" s="65">
        <v>0.53749999999999998</v>
      </c>
      <c r="I59" s="66">
        <f>I58+H59</f>
        <v>0.53749999999999998</v>
      </c>
      <c r="J59">
        <v>1860.4650999999999</v>
      </c>
      <c r="K59" s="54">
        <v>1860.4651162790699</v>
      </c>
      <c r="L59" s="54">
        <v>1913.5847000000001</v>
      </c>
      <c r="M59" s="54">
        <f>H59*J59</f>
        <v>999.99999124999988</v>
      </c>
      <c r="O59" s="54">
        <f>I59*J59</f>
        <v>999.99999124999988</v>
      </c>
      <c r="Q59" s="54"/>
    </row>
    <row r="60" spans="1:18">
      <c r="D60" s="44"/>
      <c r="I60" s="66"/>
      <c r="L60" s="45"/>
    </row>
    <row r="61" spans="1:18">
      <c r="D61" s="44"/>
      <c r="L61" s="45"/>
      <c r="M61" s="59">
        <f>-SUM(M3:M60)</f>
        <v>-203660.76335947</v>
      </c>
      <c r="N61" s="60">
        <f>SUM(N3:N60)</f>
        <v>97886.103990200005</v>
      </c>
      <c r="O61" s="60">
        <f>SUM(O3:O60)</f>
        <v>105584.08090811</v>
      </c>
    </row>
    <row r="62" spans="1:18">
      <c r="D62" s="44"/>
      <c r="L62" s="45"/>
      <c r="M62" s="54"/>
      <c r="N62" s="54"/>
      <c r="O62" s="61">
        <f>M61+N61+O61</f>
        <v>-190.57846115999564</v>
      </c>
    </row>
    <row r="63" spans="1:18">
      <c r="D63" s="44"/>
      <c r="L63" s="45"/>
    </row>
    <row r="64" spans="1:18" ht="23.4">
      <c r="A64" s="53" t="s">
        <v>96</v>
      </c>
      <c r="D64" s="44"/>
      <c r="L64" s="45"/>
    </row>
    <row r="65" spans="1:13">
      <c r="A65">
        <v>7</v>
      </c>
      <c r="C65">
        <v>79</v>
      </c>
      <c r="D65" s="44">
        <v>41711</v>
      </c>
      <c r="E65" t="s">
        <v>87</v>
      </c>
      <c r="F65">
        <v>0</v>
      </c>
      <c r="G65" t="s">
        <v>8</v>
      </c>
      <c r="H65" s="63">
        <v>925</v>
      </c>
      <c r="I65" s="66"/>
      <c r="J65" s="54">
        <v>10.824999999999999</v>
      </c>
      <c r="K65" s="54">
        <v>10.824999999999999</v>
      </c>
      <c r="L65" s="55"/>
      <c r="M65" s="54"/>
    </row>
    <row r="66" spans="1:13">
      <c r="A66">
        <v>7</v>
      </c>
      <c r="C66">
        <v>80</v>
      </c>
      <c r="D66" s="44">
        <v>41717</v>
      </c>
      <c r="E66" t="s">
        <v>87</v>
      </c>
      <c r="F66">
        <v>1</v>
      </c>
      <c r="G66" t="s">
        <v>41</v>
      </c>
      <c r="H66" s="63">
        <v>925</v>
      </c>
      <c r="I66" s="66"/>
      <c r="J66" s="54">
        <v>10.824999999999999</v>
      </c>
      <c r="K66" s="54">
        <v>11.05</v>
      </c>
      <c r="L66" s="55"/>
    </row>
    <row r="67" spans="1:13">
      <c r="A67">
        <v>7</v>
      </c>
      <c r="C67">
        <v>81</v>
      </c>
      <c r="D67" s="44">
        <v>41830</v>
      </c>
      <c r="E67" t="s">
        <v>87</v>
      </c>
      <c r="F67">
        <v>0</v>
      </c>
      <c r="G67" t="s">
        <v>8</v>
      </c>
      <c r="H67" s="63">
        <v>929</v>
      </c>
      <c r="I67" s="66"/>
      <c r="J67" s="54">
        <v>10.74</v>
      </c>
      <c r="K67" s="54">
        <v>10.74</v>
      </c>
      <c r="L67" s="55"/>
    </row>
    <row r="68" spans="1:13">
      <c r="A68">
        <v>7</v>
      </c>
      <c r="C68">
        <v>82</v>
      </c>
      <c r="D68" s="44">
        <v>41877</v>
      </c>
      <c r="E68" t="s">
        <v>87</v>
      </c>
      <c r="F68">
        <v>1</v>
      </c>
      <c r="G68" t="s">
        <v>41</v>
      </c>
      <c r="H68" s="63">
        <v>929</v>
      </c>
      <c r="I68" s="66"/>
      <c r="J68" s="54">
        <v>10.74</v>
      </c>
      <c r="K68" s="54">
        <v>10.98</v>
      </c>
      <c r="L68" s="55"/>
    </row>
    <row r="69" spans="1:13">
      <c r="A69">
        <v>7</v>
      </c>
      <c r="C69">
        <v>83</v>
      </c>
      <c r="D69" s="44">
        <v>41984</v>
      </c>
      <c r="E69" t="s">
        <v>87</v>
      </c>
      <c r="F69">
        <v>0</v>
      </c>
      <c r="G69" t="s">
        <v>8</v>
      </c>
      <c r="H69" s="63">
        <v>5386</v>
      </c>
      <c r="I69" s="66"/>
      <c r="J69" s="54">
        <v>9.2677385815076097</v>
      </c>
      <c r="K69" s="54">
        <v>9.2677385815076097</v>
      </c>
      <c r="L69" s="55"/>
    </row>
    <row r="70" spans="1:13">
      <c r="A70">
        <v>7</v>
      </c>
      <c r="C70">
        <v>84</v>
      </c>
      <c r="D70" s="44">
        <v>42047.000023148146</v>
      </c>
      <c r="E70" t="s">
        <v>87</v>
      </c>
      <c r="F70">
        <v>1</v>
      </c>
      <c r="G70" t="s">
        <v>41</v>
      </c>
      <c r="H70" s="63">
        <v>5386</v>
      </c>
      <c r="I70" s="66"/>
      <c r="J70" s="54">
        <v>9.2676999999999996</v>
      </c>
      <c r="K70" s="54">
        <v>9.0449999999999999</v>
      </c>
      <c r="L70" s="55"/>
    </row>
    <row r="71" spans="1:13">
      <c r="A71">
        <v>7</v>
      </c>
      <c r="C71">
        <v>94</v>
      </c>
      <c r="D71" s="44">
        <v>42212.556203703702</v>
      </c>
      <c r="E71" t="s">
        <v>87</v>
      </c>
      <c r="F71">
        <v>0</v>
      </c>
      <c r="G71" t="s">
        <v>8</v>
      </c>
      <c r="H71" s="63">
        <v>6415</v>
      </c>
      <c r="I71" s="66"/>
      <c r="J71" s="54">
        <v>7.7939999999999996</v>
      </c>
      <c r="K71" s="54">
        <v>7.7939999999999996</v>
      </c>
      <c r="L71" s="55"/>
    </row>
    <row r="72" spans="1:13">
      <c r="A72">
        <v>7</v>
      </c>
      <c r="C72">
        <v>97</v>
      </c>
      <c r="D72" s="44">
        <v>42214.282905092594</v>
      </c>
      <c r="E72" t="s">
        <v>87</v>
      </c>
      <c r="F72">
        <v>1</v>
      </c>
      <c r="G72" t="s">
        <v>41</v>
      </c>
      <c r="H72" s="63">
        <v>6415</v>
      </c>
      <c r="I72" s="66"/>
      <c r="J72" s="54">
        <v>7.7939999999999996</v>
      </c>
      <c r="K72" s="54">
        <v>8.19</v>
      </c>
      <c r="L72" s="55"/>
    </row>
    <row r="73" spans="1:13">
      <c r="A73">
        <v>7</v>
      </c>
      <c r="C73">
        <v>138</v>
      </c>
      <c r="D73" s="44">
        <v>42822.416643518518</v>
      </c>
      <c r="E73" t="s">
        <v>87</v>
      </c>
      <c r="F73">
        <v>0</v>
      </c>
      <c r="G73" t="s">
        <v>8</v>
      </c>
      <c r="H73" s="63">
        <v>527</v>
      </c>
      <c r="I73" s="66"/>
      <c r="J73" s="54">
        <v>22.773</v>
      </c>
      <c r="K73" s="54">
        <v>22.773</v>
      </c>
      <c r="L73" s="56">
        <v>23</v>
      </c>
    </row>
    <row r="74" spans="1:13">
      <c r="D74" s="44" t="s">
        <v>97</v>
      </c>
      <c r="J74" s="54"/>
      <c r="K74" s="54"/>
      <c r="L74" s="55"/>
    </row>
    <row r="75" spans="1:13">
      <c r="A75">
        <v>8</v>
      </c>
      <c r="C75">
        <v>78</v>
      </c>
      <c r="D75" s="44">
        <v>42058</v>
      </c>
      <c r="E75" t="s">
        <v>88</v>
      </c>
      <c r="F75">
        <v>0</v>
      </c>
      <c r="G75" t="s">
        <v>8</v>
      </c>
      <c r="H75" s="63">
        <v>7743</v>
      </c>
      <c r="J75" s="54">
        <v>6.4550000000000001</v>
      </c>
      <c r="K75" s="54">
        <v>6.4550000000000001</v>
      </c>
      <c r="L75" s="55"/>
    </row>
    <row r="76" spans="1:13">
      <c r="A76">
        <v>8</v>
      </c>
      <c r="C76">
        <v>86</v>
      </c>
      <c r="D76" s="44">
        <v>42123.703634259262</v>
      </c>
      <c r="E76" t="s">
        <v>88</v>
      </c>
      <c r="F76">
        <v>0</v>
      </c>
      <c r="G76" t="s">
        <v>8</v>
      </c>
      <c r="H76" s="63">
        <v>168</v>
      </c>
      <c r="J76" s="54">
        <v>0</v>
      </c>
      <c r="K76" s="54">
        <v>0</v>
      </c>
      <c r="L76" s="55"/>
    </row>
    <row r="77" spans="1:13">
      <c r="A77">
        <v>8</v>
      </c>
      <c r="C77">
        <v>89</v>
      </c>
      <c r="D77" s="44">
        <v>42200.864814814813</v>
      </c>
      <c r="E77" t="s">
        <v>88</v>
      </c>
      <c r="F77">
        <v>1</v>
      </c>
      <c r="G77" t="s">
        <v>41</v>
      </c>
      <c r="H77" s="63">
        <v>7911</v>
      </c>
      <c r="J77" s="54">
        <v>6.3178999999999998</v>
      </c>
      <c r="K77" s="54">
        <v>6.63</v>
      </c>
      <c r="L77" s="55"/>
    </row>
    <row r="78" spans="1:13">
      <c r="D78" s="44" t="s">
        <v>97</v>
      </c>
      <c r="J78" s="54"/>
      <c r="K78" s="54"/>
      <c r="L78" s="55"/>
    </row>
    <row r="79" spans="1:13">
      <c r="A79">
        <v>9</v>
      </c>
      <c r="C79">
        <v>43</v>
      </c>
      <c r="D79" s="44">
        <v>36850</v>
      </c>
      <c r="E79" t="s">
        <v>89</v>
      </c>
      <c r="F79">
        <v>0</v>
      </c>
      <c r="G79" t="s">
        <v>8</v>
      </c>
      <c r="H79" s="63">
        <v>60</v>
      </c>
      <c r="I79" s="63">
        <f t="shared" ref="I79:I87" si="0">I78+H79</f>
        <v>60</v>
      </c>
      <c r="J79" s="54">
        <v>20.100000000000001</v>
      </c>
      <c r="K79" s="54">
        <v>20.100000000000001</v>
      </c>
      <c r="L79" s="55"/>
    </row>
    <row r="80" spans="1:13">
      <c r="A80">
        <v>9</v>
      </c>
      <c r="C80">
        <v>46</v>
      </c>
      <c r="D80" s="44">
        <v>36910</v>
      </c>
      <c r="E80" t="s">
        <v>89</v>
      </c>
      <c r="F80">
        <v>0</v>
      </c>
      <c r="G80" t="s">
        <v>8</v>
      </c>
      <c r="H80" s="63">
        <v>1</v>
      </c>
      <c r="I80" s="63">
        <f t="shared" si="0"/>
        <v>61</v>
      </c>
      <c r="J80" s="54">
        <v>3.25</v>
      </c>
      <c r="K80" s="54">
        <v>3.25</v>
      </c>
      <c r="L80" s="55"/>
    </row>
    <row r="81" spans="1:12">
      <c r="A81">
        <v>9</v>
      </c>
      <c r="C81">
        <v>49</v>
      </c>
      <c r="D81" s="44">
        <v>36970.000011574077</v>
      </c>
      <c r="E81" t="s">
        <v>89</v>
      </c>
      <c r="F81">
        <v>0</v>
      </c>
      <c r="G81" t="s">
        <v>8</v>
      </c>
      <c r="H81" s="63">
        <v>1</v>
      </c>
      <c r="I81" s="63">
        <f t="shared" si="0"/>
        <v>62</v>
      </c>
      <c r="J81" s="54">
        <v>3.25</v>
      </c>
      <c r="K81" s="54">
        <v>3.25</v>
      </c>
      <c r="L81" s="55"/>
    </row>
    <row r="82" spans="1:12">
      <c r="A82">
        <v>9</v>
      </c>
      <c r="C82">
        <v>51</v>
      </c>
      <c r="D82" s="44">
        <v>37295</v>
      </c>
      <c r="E82" t="s">
        <v>89</v>
      </c>
      <c r="F82">
        <v>0</v>
      </c>
      <c r="G82" t="s">
        <v>8</v>
      </c>
      <c r="H82" s="63">
        <v>1</v>
      </c>
      <c r="I82" s="63">
        <f t="shared" si="0"/>
        <v>63</v>
      </c>
      <c r="J82" s="54">
        <v>3.25</v>
      </c>
      <c r="K82" s="54">
        <v>3.25</v>
      </c>
      <c r="L82" s="55"/>
    </row>
    <row r="83" spans="1:12">
      <c r="A83">
        <v>9</v>
      </c>
      <c r="C83">
        <v>53</v>
      </c>
      <c r="D83" s="44">
        <v>37351</v>
      </c>
      <c r="E83" t="s">
        <v>89</v>
      </c>
      <c r="F83">
        <v>0</v>
      </c>
      <c r="G83" t="s">
        <v>8</v>
      </c>
      <c r="H83" s="63">
        <v>1</v>
      </c>
      <c r="I83" s="63">
        <f t="shared" si="0"/>
        <v>64</v>
      </c>
      <c r="J83" s="54">
        <v>3.25</v>
      </c>
      <c r="K83" s="54">
        <v>3.25</v>
      </c>
      <c r="L83" s="55"/>
    </row>
    <row r="84" spans="1:12">
      <c r="A84">
        <v>9</v>
      </c>
      <c r="C84">
        <v>55</v>
      </c>
      <c r="D84" s="44">
        <v>37667</v>
      </c>
      <c r="E84" t="s">
        <v>89</v>
      </c>
      <c r="F84">
        <v>0</v>
      </c>
      <c r="G84" t="s">
        <v>8</v>
      </c>
      <c r="H84" s="63">
        <v>1</v>
      </c>
      <c r="I84" s="63">
        <f t="shared" si="0"/>
        <v>65</v>
      </c>
      <c r="J84" s="54">
        <v>3.25</v>
      </c>
      <c r="K84" s="54">
        <v>3.25</v>
      </c>
      <c r="L84" s="55"/>
    </row>
    <row r="85" spans="1:12">
      <c r="A85">
        <v>9</v>
      </c>
      <c r="C85">
        <v>58</v>
      </c>
      <c r="D85" s="44">
        <v>37712</v>
      </c>
      <c r="E85" t="s">
        <v>89</v>
      </c>
      <c r="F85">
        <v>0</v>
      </c>
      <c r="G85" t="s">
        <v>8</v>
      </c>
      <c r="H85" s="63">
        <v>1</v>
      </c>
      <c r="I85" s="63">
        <f t="shared" si="0"/>
        <v>66</v>
      </c>
      <c r="J85" s="54">
        <v>3</v>
      </c>
      <c r="K85" s="54">
        <v>3</v>
      </c>
      <c r="L85" s="55"/>
    </row>
    <row r="86" spans="1:12">
      <c r="A86">
        <v>9</v>
      </c>
      <c r="C86">
        <v>63</v>
      </c>
      <c r="D86" s="44">
        <v>38531.000011574077</v>
      </c>
      <c r="E86" t="s">
        <v>89</v>
      </c>
      <c r="F86">
        <v>0</v>
      </c>
      <c r="G86" t="s">
        <v>8</v>
      </c>
      <c r="H86" s="63">
        <v>3</v>
      </c>
      <c r="I86" s="63">
        <f t="shared" si="0"/>
        <v>69</v>
      </c>
      <c r="J86" s="54">
        <v>3.3333333333333301E-3</v>
      </c>
      <c r="K86" s="54">
        <v>3.3333333333333301E-3</v>
      </c>
      <c r="L86" s="55"/>
    </row>
    <row r="87" spans="1:12">
      <c r="A87">
        <v>9</v>
      </c>
      <c r="C87">
        <v>64</v>
      </c>
      <c r="D87" s="44">
        <v>41222</v>
      </c>
      <c r="E87" t="s">
        <v>89</v>
      </c>
      <c r="F87">
        <v>0</v>
      </c>
      <c r="G87" t="s">
        <v>8</v>
      </c>
      <c r="H87" s="63">
        <v>1006</v>
      </c>
      <c r="I87" s="63">
        <f t="shared" si="0"/>
        <v>1075</v>
      </c>
      <c r="J87" s="54">
        <v>9.92</v>
      </c>
      <c r="K87" s="54">
        <v>9.92</v>
      </c>
      <c r="L87" s="55"/>
    </row>
    <row r="88" spans="1:12">
      <c r="A88">
        <v>9</v>
      </c>
      <c r="C88">
        <v>65</v>
      </c>
      <c r="D88" s="44">
        <v>41289</v>
      </c>
      <c r="E88" t="s">
        <v>89</v>
      </c>
      <c r="F88">
        <v>1</v>
      </c>
      <c r="G88" t="s">
        <v>41</v>
      </c>
      <c r="H88" s="63">
        <v>69</v>
      </c>
      <c r="I88" s="63">
        <f>I87-H88</f>
        <v>1006</v>
      </c>
      <c r="J88" s="54">
        <v>17.757400000000001</v>
      </c>
      <c r="K88" s="54">
        <v>10.96</v>
      </c>
      <c r="L88" s="55"/>
    </row>
    <row r="89" spans="1:12">
      <c r="A89">
        <v>9</v>
      </c>
      <c r="C89">
        <v>66</v>
      </c>
      <c r="D89" s="44">
        <v>41289.000011574077</v>
      </c>
      <c r="E89" t="s">
        <v>89</v>
      </c>
      <c r="F89">
        <v>1</v>
      </c>
      <c r="G89" t="s">
        <v>41</v>
      </c>
      <c r="H89" s="63">
        <v>1006</v>
      </c>
      <c r="I89" s="63">
        <f>I88-H89</f>
        <v>0</v>
      </c>
      <c r="J89" s="54">
        <v>9.92</v>
      </c>
      <c r="K89" s="54">
        <v>10.96</v>
      </c>
      <c r="L89" s="55"/>
    </row>
    <row r="90" spans="1:12">
      <c r="A90">
        <v>9</v>
      </c>
      <c r="C90">
        <v>67</v>
      </c>
      <c r="D90" s="44">
        <v>41317</v>
      </c>
      <c r="E90" t="s">
        <v>89</v>
      </c>
      <c r="F90">
        <v>0</v>
      </c>
      <c r="G90" t="s">
        <v>8</v>
      </c>
      <c r="H90" s="63">
        <v>920</v>
      </c>
      <c r="I90" s="63">
        <f>I89+H90</f>
        <v>920</v>
      </c>
      <c r="J90" s="54">
        <v>9.8949999999999996</v>
      </c>
      <c r="K90" s="54">
        <v>9.8949999999999996</v>
      </c>
      <c r="L90" s="55"/>
    </row>
    <row r="91" spans="1:12">
      <c r="A91">
        <v>9</v>
      </c>
      <c r="C91">
        <v>68</v>
      </c>
      <c r="D91" s="44">
        <v>41317.000011574077</v>
      </c>
      <c r="E91" t="s">
        <v>89</v>
      </c>
      <c r="F91">
        <v>0</v>
      </c>
      <c r="G91" t="s">
        <v>8</v>
      </c>
      <c r="H91" s="63">
        <v>90</v>
      </c>
      <c r="I91" s="63">
        <f>I90+H91</f>
        <v>1010</v>
      </c>
      <c r="J91" s="54">
        <v>9.8960000000000008</v>
      </c>
      <c r="K91" s="54">
        <v>9.8960000000000008</v>
      </c>
      <c r="L91" s="55"/>
    </row>
    <row r="92" spans="1:12">
      <c r="A92">
        <v>9</v>
      </c>
      <c r="C92">
        <v>69</v>
      </c>
      <c r="D92" s="44">
        <v>41351</v>
      </c>
      <c r="E92" t="s">
        <v>89</v>
      </c>
      <c r="F92">
        <v>1</v>
      </c>
      <c r="G92" t="s">
        <v>41</v>
      </c>
      <c r="H92" s="63">
        <v>1010</v>
      </c>
      <c r="I92" s="63">
        <f>I91-H92</f>
        <v>0</v>
      </c>
      <c r="J92" s="54">
        <v>9.8950999999999993</v>
      </c>
      <c r="K92" s="54">
        <v>11.2</v>
      </c>
      <c r="L92" s="55"/>
    </row>
    <row r="93" spans="1:12">
      <c r="A93">
        <v>9</v>
      </c>
      <c r="C93">
        <v>70</v>
      </c>
      <c r="D93" s="44">
        <v>41445</v>
      </c>
      <c r="E93" t="s">
        <v>89</v>
      </c>
      <c r="F93">
        <v>0</v>
      </c>
      <c r="G93" t="s">
        <v>8</v>
      </c>
      <c r="H93" s="63">
        <v>2008</v>
      </c>
      <c r="I93" s="63">
        <f>I92+H93</f>
        <v>2008</v>
      </c>
      <c r="J93" s="54">
        <v>9.9210009960159393</v>
      </c>
      <c r="K93" s="54">
        <v>9.9210009960159393</v>
      </c>
      <c r="L93" s="55"/>
    </row>
    <row r="94" spans="1:12">
      <c r="A94">
        <v>9</v>
      </c>
      <c r="C94">
        <v>71</v>
      </c>
      <c r="D94" s="44">
        <v>41458</v>
      </c>
      <c r="E94" t="s">
        <v>89</v>
      </c>
      <c r="F94">
        <v>0</v>
      </c>
      <c r="G94" t="s">
        <v>8</v>
      </c>
      <c r="H94" s="63">
        <v>806</v>
      </c>
      <c r="I94" s="63">
        <f>I93+H94</f>
        <v>2814</v>
      </c>
      <c r="J94" s="54">
        <v>9.5739950372208398</v>
      </c>
      <c r="K94" s="54">
        <v>9.5739950372208398</v>
      </c>
      <c r="L94" s="55"/>
    </row>
    <row r="95" spans="1:12">
      <c r="A95">
        <v>9</v>
      </c>
      <c r="C95">
        <v>72</v>
      </c>
      <c r="D95" s="44">
        <v>41458.000011574077</v>
      </c>
      <c r="E95" t="s">
        <v>89</v>
      </c>
      <c r="F95">
        <v>0</v>
      </c>
      <c r="G95" t="s">
        <v>8</v>
      </c>
      <c r="H95" s="63">
        <v>1276</v>
      </c>
      <c r="I95" s="63">
        <f>I94+H95</f>
        <v>4090</v>
      </c>
      <c r="J95" s="54">
        <v>9.5730015673981192</v>
      </c>
      <c r="K95" s="54">
        <v>9.5730015673981192</v>
      </c>
      <c r="L95" s="55"/>
    </row>
    <row r="96" spans="1:12">
      <c r="A96">
        <v>9</v>
      </c>
      <c r="C96">
        <v>74</v>
      </c>
      <c r="D96" s="44">
        <v>41667</v>
      </c>
      <c r="E96" t="s">
        <v>89</v>
      </c>
      <c r="F96">
        <v>0</v>
      </c>
      <c r="G96" t="s">
        <v>8</v>
      </c>
      <c r="H96" s="63">
        <v>1755</v>
      </c>
      <c r="I96" s="63">
        <f>I95+H96</f>
        <v>5845</v>
      </c>
      <c r="J96" s="54">
        <v>11.35</v>
      </c>
      <c r="K96" s="54">
        <v>11.35</v>
      </c>
      <c r="L96" s="55"/>
    </row>
    <row r="97" spans="1:12">
      <c r="A97">
        <v>9</v>
      </c>
      <c r="C97">
        <v>76</v>
      </c>
      <c r="D97" s="44">
        <v>41792</v>
      </c>
      <c r="E97" t="s">
        <v>89</v>
      </c>
      <c r="F97">
        <v>1</v>
      </c>
      <c r="G97" t="s">
        <v>41</v>
      </c>
      <c r="H97" s="63">
        <v>5845</v>
      </c>
      <c r="I97" s="63">
        <f>I96-H97</f>
        <v>0</v>
      </c>
      <c r="J97" s="54">
        <v>10.2262</v>
      </c>
      <c r="K97" s="54">
        <v>12.395000855432</v>
      </c>
      <c r="L97" s="55"/>
    </row>
    <row r="98" spans="1:12">
      <c r="A98">
        <v>9</v>
      </c>
      <c r="C98">
        <v>77</v>
      </c>
      <c r="D98" s="44">
        <v>42010</v>
      </c>
      <c r="E98" t="s">
        <v>89</v>
      </c>
      <c r="F98">
        <v>0</v>
      </c>
      <c r="G98" t="s">
        <v>8</v>
      </c>
      <c r="H98" s="63">
        <v>4388</v>
      </c>
      <c r="I98" s="63">
        <f>I97+H98</f>
        <v>4388</v>
      </c>
      <c r="J98" s="54">
        <v>11.45</v>
      </c>
      <c r="K98" s="54">
        <v>11.45</v>
      </c>
      <c r="L98" s="55"/>
    </row>
    <row r="99" spans="1:12">
      <c r="A99">
        <v>9</v>
      </c>
      <c r="C99">
        <v>85</v>
      </c>
      <c r="D99" s="44">
        <v>42115.562974537039</v>
      </c>
      <c r="E99" t="s">
        <v>89</v>
      </c>
      <c r="F99">
        <v>0</v>
      </c>
      <c r="G99" t="s">
        <v>8</v>
      </c>
      <c r="H99" s="63">
        <v>274</v>
      </c>
      <c r="I99" s="63">
        <f>I98+H99</f>
        <v>4662</v>
      </c>
      <c r="J99" s="54">
        <v>10.84</v>
      </c>
      <c r="K99" s="54">
        <v>10.84</v>
      </c>
      <c r="L99" s="55"/>
    </row>
    <row r="100" spans="1:12">
      <c r="A100">
        <v>9</v>
      </c>
      <c r="C100">
        <v>90</v>
      </c>
      <c r="D100" s="44">
        <v>42200.86482638889</v>
      </c>
      <c r="E100" t="s">
        <v>89</v>
      </c>
      <c r="F100">
        <v>1</v>
      </c>
      <c r="G100" t="s">
        <v>41</v>
      </c>
      <c r="H100" s="63">
        <v>4262</v>
      </c>
      <c r="I100" s="63">
        <f>I99-H100</f>
        <v>400</v>
      </c>
      <c r="J100" s="54">
        <v>11.45</v>
      </c>
      <c r="K100" s="54">
        <v>13.6</v>
      </c>
      <c r="L100" s="55"/>
    </row>
    <row r="101" spans="1:12">
      <c r="A101">
        <v>9</v>
      </c>
      <c r="C101">
        <v>93</v>
      </c>
      <c r="D101" s="44">
        <v>42201.88890046296</v>
      </c>
      <c r="E101" t="s">
        <v>89</v>
      </c>
      <c r="F101">
        <v>1</v>
      </c>
      <c r="G101" t="s">
        <v>41</v>
      </c>
      <c r="H101" s="63">
        <v>400</v>
      </c>
      <c r="I101" s="63">
        <f>I100-H101</f>
        <v>0</v>
      </c>
      <c r="J101" s="54">
        <v>11.0322</v>
      </c>
      <c r="K101" s="54">
        <v>13.78</v>
      </c>
      <c r="L101" s="55"/>
    </row>
    <row r="102" spans="1:12">
      <c r="A102">
        <v>9</v>
      </c>
      <c r="C102">
        <v>99</v>
      </c>
      <c r="D102" s="44">
        <v>42278.440972222219</v>
      </c>
      <c r="E102" t="s">
        <v>89</v>
      </c>
      <c r="F102">
        <v>0</v>
      </c>
      <c r="G102" t="s">
        <v>8</v>
      </c>
      <c r="H102" s="63">
        <v>4570</v>
      </c>
      <c r="I102" s="63">
        <f>I101+H102</f>
        <v>4570</v>
      </c>
      <c r="J102" s="54">
        <v>10.91</v>
      </c>
      <c r="K102" s="54">
        <v>10.91</v>
      </c>
      <c r="L102" s="55"/>
    </row>
    <row r="103" spans="1:12">
      <c r="A103">
        <v>9</v>
      </c>
      <c r="C103">
        <v>102</v>
      </c>
      <c r="D103" s="44">
        <v>42289.284166666665</v>
      </c>
      <c r="E103" t="s">
        <v>89</v>
      </c>
      <c r="F103">
        <v>1</v>
      </c>
      <c r="G103" t="s">
        <v>41</v>
      </c>
      <c r="H103" s="63">
        <v>4570</v>
      </c>
      <c r="I103" s="63">
        <f>I102-H103</f>
        <v>0</v>
      </c>
      <c r="J103" s="54">
        <v>10.91</v>
      </c>
      <c r="K103" s="54">
        <v>11.595000000000001</v>
      </c>
      <c r="L103" s="55"/>
    </row>
    <row r="104" spans="1:12">
      <c r="A104">
        <v>9</v>
      </c>
      <c r="C104">
        <v>106</v>
      </c>
      <c r="D104" s="44">
        <v>42342.482824074075</v>
      </c>
      <c r="E104" t="s">
        <v>89</v>
      </c>
      <c r="F104">
        <v>0</v>
      </c>
      <c r="G104" t="s">
        <v>8</v>
      </c>
      <c r="H104" s="63">
        <v>4492</v>
      </c>
      <c r="I104" s="63">
        <f>I103+H104</f>
        <v>4492</v>
      </c>
      <c r="J104" s="54">
        <v>11.13</v>
      </c>
      <c r="K104" s="54">
        <v>11.13</v>
      </c>
      <c r="L104" s="55"/>
    </row>
    <row r="105" spans="1:12">
      <c r="A105">
        <v>9</v>
      </c>
      <c r="C105">
        <v>107</v>
      </c>
      <c r="D105" s="44">
        <v>42369.818796296298</v>
      </c>
      <c r="E105" t="s">
        <v>89</v>
      </c>
      <c r="F105">
        <v>1</v>
      </c>
      <c r="G105" t="s">
        <v>41</v>
      </c>
      <c r="H105" s="63">
        <v>4492</v>
      </c>
      <c r="I105" s="63">
        <f>I104-H105</f>
        <v>0</v>
      </c>
      <c r="J105" s="54">
        <v>11.13</v>
      </c>
      <c r="K105" s="54">
        <v>10.275</v>
      </c>
      <c r="L105" s="55"/>
    </row>
    <row r="106" spans="1:12">
      <c r="D106" s="44" t="s">
        <v>97</v>
      </c>
      <c r="J106" s="54"/>
      <c r="K106" s="54"/>
      <c r="L106" s="55"/>
    </row>
    <row r="107" spans="1:12">
      <c r="A107">
        <v>17</v>
      </c>
      <c r="C107">
        <v>105</v>
      </c>
      <c r="D107" s="44">
        <v>42325.618148148147</v>
      </c>
      <c r="E107" t="s">
        <v>90</v>
      </c>
      <c r="F107">
        <v>0</v>
      </c>
      <c r="G107" t="s">
        <v>8</v>
      </c>
      <c r="H107" s="63">
        <v>15</v>
      </c>
      <c r="J107" s="54">
        <v>63.64</v>
      </c>
      <c r="K107" s="54">
        <v>63.64</v>
      </c>
      <c r="L107" s="55"/>
    </row>
    <row r="108" spans="1:12">
      <c r="A108">
        <v>17</v>
      </c>
      <c r="C108">
        <v>125</v>
      </c>
      <c r="D108" s="44">
        <v>42731.461006944446</v>
      </c>
      <c r="E108" t="s">
        <v>90</v>
      </c>
      <c r="F108">
        <v>1</v>
      </c>
      <c r="G108" t="s">
        <v>41</v>
      </c>
      <c r="H108" s="63">
        <v>15</v>
      </c>
      <c r="J108" s="54">
        <v>63.64</v>
      </c>
      <c r="K108" s="54">
        <v>40.207000000000001</v>
      </c>
      <c r="L108" s="55"/>
    </row>
    <row r="109" spans="1:12">
      <c r="D109" s="44" t="s">
        <v>97</v>
      </c>
      <c r="J109" s="54"/>
      <c r="K109" s="54"/>
      <c r="L109" s="55"/>
    </row>
    <row r="110" spans="1:12">
      <c r="A110">
        <v>18</v>
      </c>
      <c r="C110">
        <v>109</v>
      </c>
      <c r="D110" s="44">
        <v>42394.669849537036</v>
      </c>
      <c r="E110" t="s">
        <v>91</v>
      </c>
      <c r="F110">
        <v>0</v>
      </c>
      <c r="G110" t="s">
        <v>8</v>
      </c>
      <c r="H110" s="63">
        <v>235</v>
      </c>
      <c r="J110" s="54">
        <v>170</v>
      </c>
      <c r="K110" s="54">
        <v>170</v>
      </c>
      <c r="L110" s="55"/>
    </row>
    <row r="111" spans="1:12">
      <c r="A111">
        <v>18</v>
      </c>
      <c r="C111">
        <v>110</v>
      </c>
      <c r="D111" s="44">
        <v>42394.669861111113</v>
      </c>
      <c r="E111" t="s">
        <v>91</v>
      </c>
      <c r="F111">
        <v>0</v>
      </c>
      <c r="G111" t="s">
        <v>8</v>
      </c>
      <c r="H111" s="63">
        <v>55</v>
      </c>
      <c r="J111" s="54">
        <v>169.97</v>
      </c>
      <c r="K111" s="54">
        <v>169.97</v>
      </c>
      <c r="L111" s="55"/>
    </row>
    <row r="112" spans="1:12">
      <c r="A112">
        <v>18</v>
      </c>
      <c r="C112">
        <v>111</v>
      </c>
      <c r="D112" s="44">
        <v>42544.806469907409</v>
      </c>
      <c r="E112" t="s">
        <v>91</v>
      </c>
      <c r="F112">
        <v>1</v>
      </c>
      <c r="G112" t="s">
        <v>41</v>
      </c>
      <c r="H112" s="63">
        <v>290</v>
      </c>
      <c r="J112" s="54">
        <v>169.99430000000001</v>
      </c>
      <c r="K112" s="54">
        <v>181.5</v>
      </c>
      <c r="L112" s="55"/>
    </row>
    <row r="113" spans="1:12">
      <c r="D113" s="44" t="s">
        <v>97</v>
      </c>
      <c r="J113" s="54"/>
      <c r="K113" s="54"/>
      <c r="L113" s="55"/>
    </row>
    <row r="114" spans="1:12">
      <c r="A114">
        <v>23</v>
      </c>
      <c r="C114">
        <v>123</v>
      </c>
      <c r="D114" s="44">
        <v>42642.772696759261</v>
      </c>
      <c r="E114" t="s">
        <v>92</v>
      </c>
      <c r="F114">
        <v>0</v>
      </c>
      <c r="G114" t="s">
        <v>8</v>
      </c>
      <c r="H114" s="63">
        <v>175</v>
      </c>
      <c r="J114" s="54">
        <v>33.215000000000003</v>
      </c>
      <c r="K114" s="54">
        <v>33.215000000000003</v>
      </c>
      <c r="L114" s="55"/>
    </row>
    <row r="115" spans="1:12">
      <c r="A115">
        <v>23</v>
      </c>
      <c r="C115">
        <v>131</v>
      </c>
      <c r="D115" s="44">
        <v>42752.496111111112</v>
      </c>
      <c r="E115" t="s">
        <v>92</v>
      </c>
      <c r="F115">
        <v>0</v>
      </c>
      <c r="G115" t="s">
        <v>8</v>
      </c>
      <c r="H115" s="63">
        <v>200</v>
      </c>
      <c r="J115" s="54">
        <v>31.45</v>
      </c>
      <c r="K115" s="54">
        <v>31.45</v>
      </c>
      <c r="L115" s="55"/>
    </row>
    <row r="116" spans="1:12">
      <c r="A116">
        <v>23</v>
      </c>
      <c r="C116">
        <v>140</v>
      </c>
      <c r="D116" s="44">
        <v>42835.43141203704</v>
      </c>
      <c r="E116" t="s">
        <v>92</v>
      </c>
      <c r="F116">
        <v>1</v>
      </c>
      <c r="G116" t="s">
        <v>41</v>
      </c>
      <c r="H116" s="63">
        <v>375</v>
      </c>
      <c r="J116" s="54">
        <v>32.460299999999997</v>
      </c>
      <c r="K116" s="54">
        <v>33.799999999999997</v>
      </c>
      <c r="L116" s="55"/>
    </row>
    <row r="117" spans="1:12">
      <c r="D117" s="44" t="s">
        <v>97</v>
      </c>
      <c r="J117" s="54"/>
      <c r="K117" s="54"/>
      <c r="L117" s="55"/>
    </row>
    <row r="118" spans="1:12">
      <c r="A118">
        <v>24</v>
      </c>
      <c r="C118">
        <v>137</v>
      </c>
      <c r="D118" s="44">
        <v>42814.418206018519</v>
      </c>
      <c r="E118" t="s">
        <v>93</v>
      </c>
      <c r="F118">
        <v>0</v>
      </c>
      <c r="G118" t="s">
        <v>8</v>
      </c>
      <c r="H118" s="63">
        <v>25</v>
      </c>
      <c r="J118" s="54">
        <v>37.17</v>
      </c>
      <c r="K118" s="54">
        <v>37.17</v>
      </c>
      <c r="L118" s="55"/>
    </row>
    <row r="119" spans="1:12">
      <c r="A119">
        <v>24</v>
      </c>
      <c r="C119">
        <v>145</v>
      </c>
      <c r="D119" s="44">
        <v>42881.460057870368</v>
      </c>
      <c r="E119" t="s">
        <v>93</v>
      </c>
      <c r="F119">
        <v>1</v>
      </c>
      <c r="H119" s="63">
        <v>25</v>
      </c>
      <c r="J119" s="54">
        <v>37.17</v>
      </c>
      <c r="K119" s="54">
        <v>37.202488000000002</v>
      </c>
      <c r="L119" s="55"/>
    </row>
    <row r="120" spans="1:12">
      <c r="D120" s="44" t="s">
        <v>97</v>
      </c>
      <c r="J120" s="54"/>
      <c r="K120" s="54"/>
      <c r="L120" s="55"/>
    </row>
    <row r="121" spans="1:12">
      <c r="A121">
        <v>25</v>
      </c>
      <c r="C121">
        <v>136</v>
      </c>
      <c r="D121" s="44">
        <v>42814.417696759258</v>
      </c>
      <c r="E121" t="s">
        <v>94</v>
      </c>
      <c r="F121">
        <v>0</v>
      </c>
      <c r="G121" t="s">
        <v>8</v>
      </c>
      <c r="H121" s="63">
        <v>5</v>
      </c>
      <c r="J121" s="54">
        <v>204.52</v>
      </c>
      <c r="K121" s="54">
        <v>204.52</v>
      </c>
      <c r="L121" s="55"/>
    </row>
    <row r="122" spans="1:12">
      <c r="A122">
        <v>25</v>
      </c>
      <c r="C122">
        <v>146</v>
      </c>
      <c r="D122" s="44">
        <v>42881.463125000002</v>
      </c>
      <c r="E122" t="s">
        <v>94</v>
      </c>
      <c r="F122">
        <v>1</v>
      </c>
      <c r="G122" t="s">
        <v>41</v>
      </c>
      <c r="H122" s="63">
        <v>5</v>
      </c>
      <c r="J122" s="54">
        <v>204.52</v>
      </c>
      <c r="K122" s="54">
        <v>198.079802</v>
      </c>
      <c r="L122" s="55"/>
    </row>
    <row r="123" spans="1:12">
      <c r="D123" s="44" t="s">
        <v>97</v>
      </c>
      <c r="J123" s="54"/>
      <c r="K123" s="54"/>
      <c r="L123" s="55"/>
    </row>
    <row r="124" spans="1:12">
      <c r="D124" s="44" t="s">
        <v>97</v>
      </c>
      <c r="J124" s="54"/>
      <c r="K124" s="54"/>
      <c r="L124" s="55"/>
    </row>
    <row r="125" spans="1:12">
      <c r="D125" s="44" t="s">
        <v>97</v>
      </c>
      <c r="J125" s="54"/>
      <c r="K125" s="54"/>
      <c r="L125" s="55"/>
    </row>
    <row r="126" spans="1:12">
      <c r="D126" s="44" t="s">
        <v>97</v>
      </c>
      <c r="J126" s="54"/>
      <c r="K126" s="54"/>
      <c r="L126" s="55"/>
    </row>
    <row r="127" spans="1:12">
      <c r="A127">
        <v>7</v>
      </c>
      <c r="C127">
        <v>139</v>
      </c>
      <c r="D127" s="44">
        <v>42822.45480324074</v>
      </c>
      <c r="E127" t="s">
        <v>87</v>
      </c>
      <c r="F127">
        <v>0</v>
      </c>
      <c r="G127" t="s">
        <v>8</v>
      </c>
      <c r="H127" s="63">
        <v>2075</v>
      </c>
      <c r="J127" s="54">
        <v>22.750699999999998</v>
      </c>
      <c r="K127" s="54">
        <v>22.750699999999998</v>
      </c>
      <c r="L127" s="55"/>
    </row>
    <row r="128" spans="1:12">
      <c r="A128">
        <v>7</v>
      </c>
      <c r="C128">
        <v>142</v>
      </c>
      <c r="D128" s="44">
        <v>42871.778969907406</v>
      </c>
      <c r="E128" t="s">
        <v>87</v>
      </c>
      <c r="F128">
        <v>0</v>
      </c>
      <c r="G128" t="s">
        <v>8</v>
      </c>
      <c r="H128" s="63">
        <v>557</v>
      </c>
      <c r="J128" s="54">
        <v>20.390999999999998</v>
      </c>
      <c r="K128" s="54">
        <v>20.390999999999998</v>
      </c>
      <c r="L128" s="55"/>
    </row>
    <row r="129" spans="1:12">
      <c r="A129">
        <v>7</v>
      </c>
      <c r="C129">
        <v>144</v>
      </c>
      <c r="D129" s="44">
        <v>42871.788263888891</v>
      </c>
      <c r="E129" t="s">
        <v>87</v>
      </c>
      <c r="F129">
        <v>0</v>
      </c>
      <c r="G129" t="s">
        <v>8</v>
      </c>
      <c r="H129" s="63">
        <v>667</v>
      </c>
      <c r="J129" s="54">
        <v>20.388000000000002</v>
      </c>
      <c r="K129" s="54">
        <v>20.388000000000002</v>
      </c>
      <c r="L129" s="55">
        <v>23</v>
      </c>
    </row>
    <row r="130" spans="1:12">
      <c r="D130" s="44" t="s">
        <v>97</v>
      </c>
      <c r="J130" s="54"/>
      <c r="K130" s="54"/>
      <c r="L130" s="55"/>
    </row>
    <row r="131" spans="1:12">
      <c r="A131">
        <v>22</v>
      </c>
      <c r="C131">
        <v>112</v>
      </c>
      <c r="D131" s="44">
        <v>42328.817766203705</v>
      </c>
      <c r="E131" t="s">
        <v>95</v>
      </c>
      <c r="F131">
        <v>0</v>
      </c>
      <c r="G131" t="s">
        <v>8</v>
      </c>
      <c r="H131" s="63">
        <v>15925</v>
      </c>
      <c r="J131" s="54">
        <v>1.939684873</v>
      </c>
      <c r="K131" s="54">
        <v>1.939684873</v>
      </c>
      <c r="L131" s="55"/>
    </row>
    <row r="132" spans="1:12">
      <c r="A132">
        <v>22</v>
      </c>
      <c r="C132">
        <v>113</v>
      </c>
      <c r="D132" s="44">
        <v>42474.688692129632</v>
      </c>
      <c r="E132" t="s">
        <v>95</v>
      </c>
      <c r="F132">
        <v>0</v>
      </c>
      <c r="G132" t="s">
        <v>8</v>
      </c>
      <c r="H132" s="63">
        <v>191</v>
      </c>
      <c r="J132" s="54">
        <v>0</v>
      </c>
      <c r="K132" s="54">
        <v>0</v>
      </c>
      <c r="L132" s="55"/>
    </row>
    <row r="133" spans="1:12">
      <c r="A133">
        <v>22</v>
      </c>
      <c r="C133">
        <v>114</v>
      </c>
      <c r="D133" s="44">
        <v>42479.69158564815</v>
      </c>
      <c r="E133" t="s">
        <v>95</v>
      </c>
      <c r="F133">
        <v>0</v>
      </c>
      <c r="G133" t="s">
        <v>8</v>
      </c>
      <c r="H133" s="63">
        <v>468</v>
      </c>
      <c r="J133" s="54">
        <v>0</v>
      </c>
      <c r="K133" s="54">
        <v>0</v>
      </c>
      <c r="L133" s="55"/>
    </row>
    <row r="134" spans="1:12">
      <c r="A134">
        <v>22</v>
      </c>
      <c r="C134">
        <v>115</v>
      </c>
      <c r="D134" s="44">
        <v>42606.428784722222</v>
      </c>
      <c r="E134" t="s">
        <v>95</v>
      </c>
      <c r="F134">
        <v>1</v>
      </c>
      <c r="G134" t="s">
        <v>41</v>
      </c>
      <c r="H134" s="63">
        <v>11484</v>
      </c>
      <c r="J134" s="54">
        <v>2.2000000000000002</v>
      </c>
      <c r="K134" s="54">
        <v>1.2090000000000001</v>
      </c>
      <c r="L134" s="55"/>
    </row>
    <row r="135" spans="1:12">
      <c r="A135">
        <v>22</v>
      </c>
      <c r="C135">
        <v>132</v>
      </c>
      <c r="D135" s="44">
        <v>42711.564363425925</v>
      </c>
      <c r="E135" t="s">
        <v>95</v>
      </c>
      <c r="F135">
        <v>1</v>
      </c>
      <c r="G135" t="s">
        <v>41</v>
      </c>
      <c r="H135" s="63">
        <v>5100</v>
      </c>
      <c r="J135" s="54">
        <v>2.2000000000000002</v>
      </c>
      <c r="K135" s="54">
        <v>1.3049999999999999</v>
      </c>
      <c r="L135" s="55"/>
    </row>
    <row r="136" spans="1:12">
      <c r="D136" s="44" t="s">
        <v>97</v>
      </c>
      <c r="J136" s="54"/>
      <c r="K136" s="54"/>
      <c r="L136" s="55"/>
    </row>
    <row r="137" spans="1:12">
      <c r="A137">
        <v>23</v>
      </c>
      <c r="C137">
        <v>133</v>
      </c>
      <c r="D137" s="44">
        <v>42740.566516203704</v>
      </c>
      <c r="E137" t="s">
        <v>92</v>
      </c>
      <c r="F137">
        <v>0</v>
      </c>
      <c r="G137" t="s">
        <v>8</v>
      </c>
      <c r="H137" s="63">
        <v>470</v>
      </c>
      <c r="J137" s="54">
        <v>31.8</v>
      </c>
      <c r="K137" s="54">
        <v>31.8</v>
      </c>
      <c r="L137" s="55"/>
    </row>
    <row r="138" spans="1:12">
      <c r="A138">
        <v>23</v>
      </c>
      <c r="C138">
        <v>141</v>
      </c>
      <c r="D138" s="44">
        <v>42835.433761574073</v>
      </c>
      <c r="E138" t="s">
        <v>92</v>
      </c>
      <c r="F138">
        <v>1</v>
      </c>
      <c r="G138" t="s">
        <v>41</v>
      </c>
      <c r="H138" s="63">
        <v>470</v>
      </c>
      <c r="J138" s="54">
        <v>31.6511</v>
      </c>
      <c r="K138" s="54">
        <v>33.799999999999997</v>
      </c>
      <c r="L138" s="55"/>
    </row>
  </sheetData>
  <mergeCells count="1">
    <mergeCell ref="F2:G2"/>
  </mergeCells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>
      <pane ySplit="1" topLeftCell="A22" activePane="bottomLeft" state="frozen"/>
      <selection pane="bottomLeft" activeCell="M22" sqref="M22"/>
    </sheetView>
  </sheetViews>
  <sheetFormatPr defaultRowHeight="14.4"/>
  <cols>
    <col min="5" max="5" width="16.88671875" customWidth="1"/>
    <col min="6" max="8" width="9.109375" customWidth="1"/>
    <col min="9" max="9" width="11.44140625" customWidth="1"/>
    <col min="13" max="13" width="10.44140625" bestFit="1" customWidth="1"/>
    <col min="14" max="14" width="10.33203125" customWidth="1"/>
  </cols>
  <sheetData>
    <row r="1" spans="1:14">
      <c r="A1" s="68" t="s">
        <v>3</v>
      </c>
      <c r="B1" s="68" t="s">
        <v>102</v>
      </c>
      <c r="C1" s="68" t="s">
        <v>70</v>
      </c>
      <c r="D1" s="69"/>
      <c r="E1" s="68" t="s">
        <v>13</v>
      </c>
      <c r="F1" s="68" t="s">
        <v>103</v>
      </c>
      <c r="G1" s="68" t="s">
        <v>107</v>
      </c>
      <c r="H1" s="71"/>
      <c r="I1" s="68" t="s">
        <v>104</v>
      </c>
      <c r="J1" s="68" t="s">
        <v>105</v>
      </c>
      <c r="K1" s="68" t="s">
        <v>106</v>
      </c>
    </row>
    <row r="2" spans="1:14">
      <c r="A2">
        <v>79</v>
      </c>
      <c r="B2">
        <v>1</v>
      </c>
      <c r="C2">
        <v>0</v>
      </c>
      <c r="E2" s="44">
        <v>41711</v>
      </c>
      <c r="F2" s="63">
        <v>925</v>
      </c>
      <c r="G2" s="63">
        <f>F2</f>
        <v>925</v>
      </c>
      <c r="H2" s="63"/>
      <c r="I2" s="54">
        <v>10.824999999999999</v>
      </c>
      <c r="J2" s="54">
        <v>10.824999999999999</v>
      </c>
      <c r="K2" s="54">
        <v>15.06</v>
      </c>
      <c r="L2">
        <f>F2/3</f>
        <v>308.33333333333331</v>
      </c>
      <c r="M2" s="54">
        <f>I2*3</f>
        <v>32.474999999999994</v>
      </c>
      <c r="N2" s="70">
        <f>J2*3</f>
        <v>32.474999999999994</v>
      </c>
    </row>
    <row r="3" spans="1:14">
      <c r="A3">
        <v>80</v>
      </c>
      <c r="B3">
        <v>1</v>
      </c>
      <c r="C3">
        <v>1</v>
      </c>
      <c r="E3" s="44">
        <v>41717</v>
      </c>
      <c r="F3" s="63">
        <v>925</v>
      </c>
      <c r="G3" s="63">
        <f>G2-F3</f>
        <v>0</v>
      </c>
      <c r="H3" s="63"/>
      <c r="I3" s="54">
        <v>10.824999999999999</v>
      </c>
      <c r="J3" s="54">
        <v>11.05</v>
      </c>
      <c r="K3" s="54">
        <v>25.32</v>
      </c>
    </row>
    <row r="4" spans="1:14">
      <c r="A4">
        <v>81</v>
      </c>
      <c r="B4">
        <v>1</v>
      </c>
      <c r="C4">
        <v>0</v>
      </c>
      <c r="E4" s="44">
        <v>41830</v>
      </c>
      <c r="F4" s="63">
        <v>929</v>
      </c>
      <c r="G4" s="63">
        <f>G3+F4</f>
        <v>929</v>
      </c>
      <c r="H4" s="63"/>
      <c r="I4" s="54">
        <v>10.74</v>
      </c>
      <c r="J4" s="54">
        <v>10.739999999999901</v>
      </c>
      <c r="K4" s="54">
        <v>15.06</v>
      </c>
    </row>
    <row r="5" spans="1:14">
      <c r="A5">
        <v>82</v>
      </c>
      <c r="B5">
        <v>1</v>
      </c>
      <c r="C5">
        <v>1</v>
      </c>
      <c r="E5" s="44">
        <v>41877</v>
      </c>
      <c r="F5" s="63">
        <v>929</v>
      </c>
      <c r="G5" s="63">
        <f>G4-F5</f>
        <v>0</v>
      </c>
      <c r="H5" s="63"/>
      <c r="I5" s="54">
        <v>10.74</v>
      </c>
      <c r="J5" s="54">
        <v>10.98</v>
      </c>
      <c r="K5" s="54">
        <v>15.09</v>
      </c>
    </row>
    <row r="6" spans="1:14">
      <c r="A6">
        <v>83</v>
      </c>
      <c r="B6">
        <v>1</v>
      </c>
      <c r="C6">
        <v>0</v>
      </c>
      <c r="E6" s="44">
        <v>41984</v>
      </c>
      <c r="F6" s="63">
        <v>5386</v>
      </c>
      <c r="G6" s="63">
        <f>G5+F6</f>
        <v>5386</v>
      </c>
      <c r="H6" s="63"/>
      <c r="I6" s="54">
        <v>9.2676999999999996</v>
      </c>
      <c r="J6" s="54">
        <v>9.2677385815076097</v>
      </c>
      <c r="K6" s="54">
        <v>20.14</v>
      </c>
    </row>
    <row r="7" spans="1:14">
      <c r="A7">
        <v>84</v>
      </c>
      <c r="B7">
        <v>1</v>
      </c>
      <c r="C7">
        <v>1</v>
      </c>
      <c r="E7" s="44">
        <v>42047.000023148146</v>
      </c>
      <c r="F7" s="63">
        <v>5386</v>
      </c>
      <c r="G7" s="63">
        <f>G6-F7</f>
        <v>0</v>
      </c>
      <c r="H7" s="63"/>
      <c r="I7" s="54">
        <v>9.2676999999999996</v>
      </c>
      <c r="J7" s="54">
        <v>9.0449999999999999</v>
      </c>
      <c r="K7" s="54">
        <v>20.03</v>
      </c>
    </row>
    <row r="8" spans="1:14">
      <c r="A8">
        <v>94</v>
      </c>
      <c r="B8">
        <v>1</v>
      </c>
      <c r="C8">
        <v>0</v>
      </c>
      <c r="E8" s="44">
        <v>42212.556203703702</v>
      </c>
      <c r="F8" s="63">
        <v>6415</v>
      </c>
      <c r="G8" s="63">
        <f>G7+F8</f>
        <v>6415</v>
      </c>
      <c r="H8" s="63"/>
      <c r="I8" s="54">
        <v>7.7939999999999996</v>
      </c>
      <c r="J8" s="54">
        <v>7.7939999999999996</v>
      </c>
      <c r="K8" s="54">
        <v>20.149999999999999</v>
      </c>
    </row>
    <row r="9" spans="1:14">
      <c r="A9">
        <v>97</v>
      </c>
      <c r="B9">
        <v>1</v>
      </c>
      <c r="C9">
        <v>1</v>
      </c>
      <c r="E9" s="44">
        <v>42214.282905092594</v>
      </c>
      <c r="F9" s="63">
        <v>6415</v>
      </c>
      <c r="G9" s="63">
        <f>G8-F9</f>
        <v>0</v>
      </c>
      <c r="H9" s="63"/>
      <c r="I9" s="54">
        <v>7.7939999999999996</v>
      </c>
      <c r="J9" s="54">
        <v>8.19</v>
      </c>
      <c r="K9" s="54">
        <v>20.399999999999999</v>
      </c>
    </row>
    <row r="10" spans="1:14">
      <c r="A10">
        <v>138</v>
      </c>
      <c r="B10">
        <v>1</v>
      </c>
      <c r="C10">
        <v>0</v>
      </c>
      <c r="E10" s="44">
        <v>42822.416643518518</v>
      </c>
      <c r="F10" s="63">
        <v>1581</v>
      </c>
      <c r="G10" s="63">
        <f>G9+F10</f>
        <v>1581</v>
      </c>
      <c r="H10" s="63"/>
      <c r="I10" s="54">
        <v>7.5910000000000002</v>
      </c>
      <c r="J10" s="54">
        <v>7.5910000000000002</v>
      </c>
      <c r="K10" s="54">
        <v>15.15</v>
      </c>
      <c r="N10" s="54"/>
    </row>
    <row r="11" spans="1:14">
      <c r="E11" s="94">
        <f>+F3+F5+F7+F9</f>
        <v>13655</v>
      </c>
      <c r="F11" s="63">
        <v>527</v>
      </c>
      <c r="G11" s="63"/>
      <c r="H11" s="63"/>
      <c r="I11" s="54">
        <v>22.773</v>
      </c>
      <c r="J11" s="54">
        <v>22.773</v>
      </c>
      <c r="K11" s="54"/>
    </row>
    <row r="12" spans="1:14">
      <c r="E12" s="44"/>
      <c r="F12" s="63"/>
      <c r="G12" s="63"/>
      <c r="H12" s="63"/>
      <c r="K12" s="54"/>
    </row>
    <row r="13" spans="1:14">
      <c r="E13" s="44"/>
      <c r="F13" s="63"/>
      <c r="G13" s="63"/>
      <c r="H13" s="63"/>
      <c r="I13" s="54"/>
      <c r="J13" s="54"/>
      <c r="K13" s="54"/>
    </row>
    <row r="14" spans="1:14">
      <c r="A14">
        <v>139</v>
      </c>
      <c r="B14">
        <v>2</v>
      </c>
      <c r="C14">
        <v>0</v>
      </c>
      <c r="E14" s="44">
        <v>42822.45480324074</v>
      </c>
      <c r="F14" s="63">
        <v>2075</v>
      </c>
      <c r="G14" s="63"/>
      <c r="H14" s="63"/>
      <c r="I14" s="54">
        <v>22.750699999999998</v>
      </c>
      <c r="J14" s="54">
        <v>22.750699999999998</v>
      </c>
      <c r="K14" s="54">
        <v>33.31</v>
      </c>
    </row>
    <row r="15" spans="1:14">
      <c r="A15">
        <v>142</v>
      </c>
      <c r="B15">
        <v>2</v>
      </c>
      <c r="C15">
        <v>0</v>
      </c>
      <c r="E15" s="44">
        <v>42871.778969907406</v>
      </c>
      <c r="F15" s="63">
        <v>557</v>
      </c>
      <c r="G15" s="63"/>
      <c r="H15" s="63"/>
      <c r="I15" s="54">
        <v>20.390999999999998</v>
      </c>
      <c r="J15" s="54">
        <v>20.390999999999998</v>
      </c>
      <c r="K15" s="54">
        <v>15.07</v>
      </c>
    </row>
    <row r="16" spans="1:14">
      <c r="A16">
        <v>144</v>
      </c>
      <c r="B16">
        <v>2</v>
      </c>
      <c r="C16">
        <v>0</v>
      </c>
      <c r="E16" s="44">
        <v>42871.788263888891</v>
      </c>
      <c r="F16" s="63">
        <v>667</v>
      </c>
      <c r="G16" s="63"/>
      <c r="H16" s="63"/>
      <c r="I16" s="54">
        <v>20.388000000000002</v>
      </c>
      <c r="J16" s="54">
        <v>20.388000000000002</v>
      </c>
      <c r="K16" s="54">
        <v>15.34</v>
      </c>
    </row>
    <row r="20" spans="1:17">
      <c r="F20">
        <v>43</v>
      </c>
      <c r="G20">
        <v>100000</v>
      </c>
    </row>
    <row r="21" spans="1:17">
      <c r="F21">
        <v>18</v>
      </c>
      <c r="G21">
        <v>140000</v>
      </c>
    </row>
    <row r="23" spans="1:17">
      <c r="A23" s="10" t="s">
        <v>177</v>
      </c>
    </row>
    <row r="24" spans="1:17">
      <c r="A24" s="72">
        <v>94</v>
      </c>
      <c r="B24" s="73">
        <v>1</v>
      </c>
      <c r="C24" s="73">
        <v>0</v>
      </c>
      <c r="D24" s="73"/>
      <c r="E24" s="74">
        <v>42212.556203703702</v>
      </c>
      <c r="F24" s="75">
        <v>6415</v>
      </c>
      <c r="G24" s="75">
        <f>F24</f>
        <v>6415</v>
      </c>
      <c r="H24" s="75"/>
      <c r="I24" s="76">
        <v>7.7939999999999996</v>
      </c>
      <c r="J24" s="76">
        <v>7.7939999999999996</v>
      </c>
      <c r="K24" s="77">
        <v>20.149999999999999</v>
      </c>
    </row>
    <row r="25" spans="1:17">
      <c r="A25" s="78">
        <v>97</v>
      </c>
      <c r="B25" s="79">
        <v>1</v>
      </c>
      <c r="C25" s="79">
        <v>1</v>
      </c>
      <c r="D25" s="79"/>
      <c r="E25" s="80">
        <v>42214.282905092594</v>
      </c>
      <c r="F25" s="81">
        <v>6415</v>
      </c>
      <c r="G25" s="81">
        <f>G24-F25</f>
        <v>0</v>
      </c>
      <c r="H25" s="81"/>
      <c r="I25" s="82">
        <v>7.7939999999999996</v>
      </c>
      <c r="J25" s="82">
        <v>8.19</v>
      </c>
      <c r="K25" s="83">
        <v>20.399999999999999</v>
      </c>
      <c r="M25" s="47"/>
    </row>
    <row r="26" spans="1:17">
      <c r="A26" s="84">
        <v>138</v>
      </c>
      <c r="B26" s="85">
        <v>1</v>
      </c>
      <c r="C26" s="85">
        <v>0</v>
      </c>
      <c r="D26" s="85"/>
      <c r="E26" s="86">
        <v>42822.416643518518</v>
      </c>
      <c r="F26" s="87">
        <v>1581</v>
      </c>
      <c r="G26" s="87">
        <f>G25+F26</f>
        <v>1581</v>
      </c>
      <c r="H26" s="87"/>
      <c r="I26" s="88">
        <v>7.5910000000000002</v>
      </c>
      <c r="J26" s="88">
        <v>7.5910000000000002</v>
      </c>
      <c r="K26" s="89">
        <v>15.15</v>
      </c>
      <c r="M26" s="92"/>
      <c r="N26" s="54"/>
    </row>
    <row r="27" spans="1:17">
      <c r="E27" s="44"/>
      <c r="I27" s="54"/>
      <c r="J27" s="54"/>
      <c r="M27" s="47"/>
    </row>
    <row r="28" spans="1:17">
      <c r="M28" s="47"/>
    </row>
    <row r="30" spans="1:17">
      <c r="A30" s="10" t="s">
        <v>179</v>
      </c>
      <c r="G30" s="48"/>
      <c r="H30" s="10" t="s">
        <v>115</v>
      </c>
      <c r="K30" s="54"/>
    </row>
    <row r="31" spans="1:17">
      <c r="A31" s="72">
        <v>94</v>
      </c>
      <c r="B31" s="73">
        <v>1</v>
      </c>
      <c r="C31" s="73">
        <v>0</v>
      </c>
      <c r="D31" s="73"/>
      <c r="E31" s="74">
        <v>42212.556203703702</v>
      </c>
      <c r="F31" s="75">
        <v>6415</v>
      </c>
      <c r="G31" s="75">
        <f>F31</f>
        <v>6415</v>
      </c>
      <c r="H31" s="75"/>
      <c r="I31" s="76">
        <v>7.7939999999999996</v>
      </c>
      <c r="J31" s="76">
        <v>7.7939999999999996</v>
      </c>
      <c r="K31" s="77">
        <v>20.149999999999999</v>
      </c>
      <c r="L31" t="s">
        <v>109</v>
      </c>
    </row>
    <row r="32" spans="1:17">
      <c r="A32" s="72">
        <v>97</v>
      </c>
      <c r="B32" s="73">
        <v>1</v>
      </c>
      <c r="C32" s="73">
        <v>1</v>
      </c>
      <c r="D32" s="73"/>
      <c r="E32" s="74">
        <v>42214.282905092594</v>
      </c>
      <c r="F32" s="75">
        <v>6415</v>
      </c>
      <c r="G32" s="75">
        <f>G31-F32</f>
        <v>0</v>
      </c>
      <c r="H32" s="75"/>
      <c r="I32" s="76">
        <v>7.7939999999999996</v>
      </c>
      <c r="J32" s="76">
        <v>8.19</v>
      </c>
      <c r="K32" s="77">
        <v>20.399999999999999</v>
      </c>
      <c r="L32" t="s">
        <v>109</v>
      </c>
      <c r="Q32" s="48"/>
    </row>
    <row r="33" spans="1:17">
      <c r="A33" s="84">
        <v>138</v>
      </c>
      <c r="B33" s="85">
        <v>1</v>
      </c>
      <c r="C33" s="108">
        <v>5</v>
      </c>
      <c r="D33" s="85" t="s">
        <v>8</v>
      </c>
      <c r="E33" s="86">
        <v>42822.416643518518</v>
      </c>
      <c r="F33" s="87">
        <v>1581</v>
      </c>
      <c r="G33" s="87">
        <f>G32</f>
        <v>0</v>
      </c>
      <c r="H33" s="87"/>
      <c r="I33" s="88">
        <v>7.5910000000000002</v>
      </c>
      <c r="J33" s="88">
        <v>7.5910000000000002</v>
      </c>
      <c r="K33" s="89">
        <v>15.15</v>
      </c>
      <c r="L33" t="s">
        <v>181</v>
      </c>
      <c r="N33" s="54"/>
    </row>
    <row r="34" spans="1:17">
      <c r="C34">
        <v>0</v>
      </c>
      <c r="D34" s="90" t="s">
        <v>8</v>
      </c>
      <c r="E34" s="44">
        <v>42822.416643518518</v>
      </c>
      <c r="F34" s="63">
        <v>527</v>
      </c>
      <c r="G34" s="63">
        <f>G33+F34</f>
        <v>527</v>
      </c>
      <c r="H34" s="63"/>
      <c r="I34" s="54">
        <f>I33*3</f>
        <v>22.773</v>
      </c>
      <c r="J34" s="54">
        <f>J33*3</f>
        <v>22.773</v>
      </c>
      <c r="K34" s="54">
        <f>K33</f>
        <v>15.15</v>
      </c>
      <c r="L34" t="s">
        <v>182</v>
      </c>
    </row>
    <row r="35" spans="1:17">
      <c r="E35" s="44"/>
      <c r="I35" s="54"/>
      <c r="J35" s="54"/>
      <c r="M35" s="47"/>
    </row>
    <row r="36" spans="1:17">
      <c r="M36" s="47"/>
    </row>
    <row r="38" spans="1:17">
      <c r="A38" s="10" t="s">
        <v>178</v>
      </c>
      <c r="G38" s="48"/>
      <c r="H38" s="10" t="s">
        <v>115</v>
      </c>
      <c r="K38" s="54"/>
    </row>
    <row r="39" spans="1:17">
      <c r="A39" s="72">
        <v>94</v>
      </c>
      <c r="B39" s="73">
        <v>1</v>
      </c>
      <c r="C39" s="91">
        <v>5</v>
      </c>
      <c r="D39" s="73" t="s">
        <v>8</v>
      </c>
      <c r="E39" s="74">
        <v>42212.556203703702</v>
      </c>
      <c r="F39" s="75">
        <v>6515</v>
      </c>
      <c r="G39" s="75">
        <v>0</v>
      </c>
      <c r="H39" s="75"/>
      <c r="I39" s="76">
        <v>7.7939999999999996</v>
      </c>
      <c r="J39" s="76">
        <v>7.7939999999999996</v>
      </c>
      <c r="K39" s="77">
        <v>20.149999999999999</v>
      </c>
      <c r="L39" t="s">
        <v>108</v>
      </c>
    </row>
    <row r="40" spans="1:17">
      <c r="C40">
        <v>0</v>
      </c>
      <c r="D40" t="s">
        <v>8</v>
      </c>
      <c r="E40" s="44">
        <v>42212.556203703702</v>
      </c>
      <c r="F40" s="63">
        <f>F39-100+1</f>
        <v>6416</v>
      </c>
      <c r="G40" s="63">
        <f>G39+F40</f>
        <v>6416</v>
      </c>
      <c r="H40" s="63"/>
      <c r="I40" s="54">
        <v>7.7939999999999996</v>
      </c>
      <c r="J40" s="54">
        <v>7.7939999999999996</v>
      </c>
      <c r="K40" s="54">
        <v>19.843800000000002</v>
      </c>
      <c r="L40" t="s">
        <v>113</v>
      </c>
    </row>
    <row r="41" spans="1:17">
      <c r="C41">
        <v>0</v>
      </c>
      <c r="D41" t="s">
        <v>8</v>
      </c>
      <c r="E41" s="44">
        <v>42212.556203703702</v>
      </c>
      <c r="F41" s="63">
        <v>33</v>
      </c>
      <c r="G41" s="63">
        <f>G40+F41</f>
        <v>6449</v>
      </c>
      <c r="H41" s="63">
        <v>1</v>
      </c>
      <c r="I41" s="54">
        <f>I40*3</f>
        <v>23.381999999999998</v>
      </c>
      <c r="J41" s="54">
        <f>J40*3</f>
        <v>23.381999999999998</v>
      </c>
      <c r="K41" s="54">
        <v>0.30620000000000003</v>
      </c>
      <c r="L41" t="s">
        <v>112</v>
      </c>
    </row>
    <row r="42" spans="1:17">
      <c r="C42">
        <v>1</v>
      </c>
      <c r="D42" s="90" t="s">
        <v>41</v>
      </c>
      <c r="E42" s="44">
        <v>42212.556203703702</v>
      </c>
      <c r="F42" s="63">
        <v>1</v>
      </c>
      <c r="G42" s="63">
        <f>G41-F42</f>
        <v>6448</v>
      </c>
      <c r="H42" s="87"/>
      <c r="I42" s="54">
        <f>I40</f>
        <v>7.7939999999999996</v>
      </c>
      <c r="J42" s="54">
        <v>7.6</v>
      </c>
      <c r="K42" s="107">
        <v>0</v>
      </c>
      <c r="L42" t="s">
        <v>116</v>
      </c>
    </row>
    <row r="43" spans="1:17">
      <c r="A43" s="78">
        <v>97</v>
      </c>
      <c r="B43" s="79">
        <v>1</v>
      </c>
      <c r="C43" s="79">
        <v>1</v>
      </c>
      <c r="D43" s="79" t="s">
        <v>41</v>
      </c>
      <c r="E43" s="80">
        <v>42214.282905092594</v>
      </c>
      <c r="F43" s="81">
        <v>6415</v>
      </c>
      <c r="G43" s="81">
        <f>G42-F43</f>
        <v>33</v>
      </c>
      <c r="H43" s="81"/>
      <c r="I43" s="82">
        <v>7.7939999999999996</v>
      </c>
      <c r="J43" s="82">
        <v>8.19</v>
      </c>
      <c r="K43" s="83">
        <v>20.399999999999999</v>
      </c>
      <c r="L43" t="s">
        <v>109</v>
      </c>
      <c r="Q43" s="48"/>
    </row>
    <row r="44" spans="1:17">
      <c r="A44" s="84">
        <v>138</v>
      </c>
      <c r="B44" s="85">
        <v>1</v>
      </c>
      <c r="C44" s="91">
        <v>5</v>
      </c>
      <c r="D44" s="85" t="s">
        <v>8</v>
      </c>
      <c r="E44" s="86">
        <v>42822.416643518518</v>
      </c>
      <c r="F44" s="87">
        <v>1582</v>
      </c>
      <c r="G44" s="87">
        <f>G43</f>
        <v>33</v>
      </c>
      <c r="H44" s="87"/>
      <c r="I44" s="88">
        <v>7.5910000000000002</v>
      </c>
      <c r="J44" s="88">
        <v>7.5910000000000002</v>
      </c>
      <c r="K44" s="89">
        <v>15.15</v>
      </c>
      <c r="L44" t="s">
        <v>181</v>
      </c>
      <c r="N44" s="54"/>
    </row>
    <row r="45" spans="1:17">
      <c r="A45" s="23"/>
      <c r="B45" s="23"/>
      <c r="C45">
        <v>0</v>
      </c>
      <c r="D45" s="90" t="s">
        <v>8</v>
      </c>
      <c r="E45" s="44">
        <v>42822.416643518518</v>
      </c>
      <c r="F45" s="105">
        <v>1</v>
      </c>
      <c r="G45" s="105">
        <f>G44+F45</f>
        <v>34</v>
      </c>
      <c r="H45" s="105"/>
      <c r="I45" s="106">
        <f>I44</f>
        <v>7.5910000000000002</v>
      </c>
      <c r="J45" s="106">
        <v>7.5910000000000002</v>
      </c>
      <c r="K45" s="106">
        <v>0.01</v>
      </c>
      <c r="L45" t="s">
        <v>180</v>
      </c>
      <c r="N45" s="54"/>
    </row>
    <row r="46" spans="1:17">
      <c r="C46">
        <v>0</v>
      </c>
      <c r="D46" s="90" t="s">
        <v>8</v>
      </c>
      <c r="E46" s="44">
        <v>42822.416643518518</v>
      </c>
      <c r="F46" s="63">
        <v>527</v>
      </c>
      <c r="G46" s="63">
        <f>F46+G45</f>
        <v>561</v>
      </c>
      <c r="H46" s="63">
        <v>1</v>
      </c>
      <c r="I46" s="54">
        <f>I44*3</f>
        <v>22.773</v>
      </c>
      <c r="J46" s="54">
        <f>J44*3</f>
        <v>22.773</v>
      </c>
      <c r="K46" s="54">
        <v>15.1404</v>
      </c>
      <c r="L46" t="s">
        <v>111</v>
      </c>
    </row>
    <row r="47" spans="1:17">
      <c r="C47">
        <v>1</v>
      </c>
      <c r="D47" s="90" t="s">
        <v>41</v>
      </c>
      <c r="E47" s="44">
        <v>42872.416643518518</v>
      </c>
      <c r="F47" s="63">
        <v>1</v>
      </c>
      <c r="G47" s="63">
        <f>G46-F47</f>
        <v>560</v>
      </c>
      <c r="H47" s="63"/>
      <c r="I47" s="54">
        <f>I44</f>
        <v>7.5910000000000002</v>
      </c>
      <c r="J47" s="54">
        <v>7.6</v>
      </c>
      <c r="K47" s="54">
        <v>0</v>
      </c>
      <c r="L47" t="s">
        <v>116</v>
      </c>
    </row>
    <row r="48" spans="1:17">
      <c r="K48" s="54"/>
      <c r="P48" s="48"/>
    </row>
    <row r="49" spans="1:14">
      <c r="A49" s="10" t="s">
        <v>114</v>
      </c>
    </row>
    <row r="50" spans="1:14">
      <c r="A50" s="72">
        <v>94</v>
      </c>
      <c r="B50" s="73">
        <v>1</v>
      </c>
      <c r="C50" s="91">
        <v>4</v>
      </c>
      <c r="D50" s="73" t="s">
        <v>8</v>
      </c>
      <c r="E50" s="74">
        <v>42212.556203703702</v>
      </c>
      <c r="F50" s="75">
        <v>6515</v>
      </c>
      <c r="G50" s="75">
        <v>0</v>
      </c>
      <c r="H50" s="75"/>
      <c r="I50" s="76">
        <v>7.7939999999999996</v>
      </c>
      <c r="J50" s="76">
        <v>7.7939999999999996</v>
      </c>
      <c r="K50" s="77">
        <v>20.149999999999999</v>
      </c>
      <c r="L50" t="s">
        <v>108</v>
      </c>
    </row>
    <row r="51" spans="1:14">
      <c r="C51">
        <v>0</v>
      </c>
      <c r="D51" t="s">
        <v>8</v>
      </c>
      <c r="E51" s="44">
        <v>42212.556203703702</v>
      </c>
      <c r="F51" s="63">
        <f>F50-100</f>
        <v>6415</v>
      </c>
      <c r="G51" s="63">
        <f>G50+F51</f>
        <v>6415</v>
      </c>
      <c r="H51" s="63"/>
      <c r="I51" s="54">
        <v>7.7939999999999996</v>
      </c>
      <c r="J51" s="54">
        <v>7.7939999999999996</v>
      </c>
      <c r="K51" s="54"/>
      <c r="L51" t="s">
        <v>113</v>
      </c>
    </row>
    <row r="52" spans="1:14">
      <c r="C52">
        <v>0</v>
      </c>
      <c r="D52" t="s">
        <v>8</v>
      </c>
      <c r="E52" s="44">
        <v>42212.556203703702</v>
      </c>
      <c r="F52" s="63">
        <f>100*3</f>
        <v>300</v>
      </c>
      <c r="G52" s="63">
        <f>G51+F52</f>
        <v>6715</v>
      </c>
      <c r="H52" s="63"/>
      <c r="I52" s="54">
        <f>I51/3</f>
        <v>2.5979999999999999</v>
      </c>
      <c r="J52" s="54">
        <f>J51/3</f>
        <v>2.5979999999999999</v>
      </c>
      <c r="K52" s="54"/>
      <c r="L52" t="s">
        <v>112</v>
      </c>
    </row>
    <row r="53" spans="1:14">
      <c r="A53" s="78">
        <v>97</v>
      </c>
      <c r="B53" s="79">
        <v>1</v>
      </c>
      <c r="C53" s="79">
        <v>1</v>
      </c>
      <c r="D53" s="79" t="s">
        <v>41</v>
      </c>
      <c r="E53" s="80">
        <v>42214.282905092594</v>
      </c>
      <c r="F53" s="81">
        <v>6415</v>
      </c>
      <c r="G53" s="81">
        <f>G52-F53</f>
        <v>300</v>
      </c>
      <c r="H53" s="81"/>
      <c r="I53" s="82">
        <v>7.7939999999999996</v>
      </c>
      <c r="J53" s="82">
        <v>8.19</v>
      </c>
      <c r="K53" s="83">
        <v>20.399999999999999</v>
      </c>
      <c r="L53" t="s">
        <v>109</v>
      </c>
    </row>
    <row r="54" spans="1:14">
      <c r="A54" s="84">
        <v>138</v>
      </c>
      <c r="B54" s="85">
        <v>1</v>
      </c>
      <c r="C54" s="91">
        <v>4</v>
      </c>
      <c r="D54" s="85" t="s">
        <v>8</v>
      </c>
      <c r="E54" s="86">
        <v>42822.416643518518</v>
      </c>
      <c r="F54" s="87">
        <v>1582</v>
      </c>
      <c r="G54" s="87">
        <f>G53</f>
        <v>300</v>
      </c>
      <c r="H54" s="87"/>
      <c r="I54" s="88">
        <v>7.5910000000000002</v>
      </c>
      <c r="J54" s="88">
        <v>7.5910000000000002</v>
      </c>
      <c r="K54" s="89">
        <v>15.15</v>
      </c>
      <c r="L54" t="s">
        <v>110</v>
      </c>
      <c r="N54" s="54"/>
    </row>
    <row r="55" spans="1:14">
      <c r="C55">
        <v>0</v>
      </c>
      <c r="D55" s="90" t="s">
        <v>8</v>
      </c>
      <c r="E55" s="44">
        <v>42822.416643518518</v>
      </c>
      <c r="F55" s="63">
        <f>F54*3</f>
        <v>4746</v>
      </c>
      <c r="G55" s="63">
        <f>F55+G54</f>
        <v>5046</v>
      </c>
      <c r="H55" s="63"/>
      <c r="I55" s="54">
        <f>I54/3</f>
        <v>2.5303333333333335</v>
      </c>
      <c r="J55" s="54">
        <f>J54/3</f>
        <v>2.5303333333333335</v>
      </c>
      <c r="L55" t="s">
        <v>111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42"/>
  <sheetViews>
    <sheetView topLeftCell="C1" workbookViewId="0">
      <pane ySplit="1" topLeftCell="A80" activePane="bottomLeft" state="frozen"/>
      <selection pane="bottomLeft" activeCell="S104" sqref="S104"/>
    </sheetView>
  </sheetViews>
  <sheetFormatPr defaultRowHeight="14.4"/>
  <cols>
    <col min="1" max="3" width="9" bestFit="1" customWidth="1"/>
    <col min="4" max="4" width="7.44140625" customWidth="1"/>
    <col min="5" max="5" width="6.88671875" customWidth="1"/>
    <col min="6" max="6" width="6.77734375" customWidth="1"/>
    <col min="7" max="7" width="16.21875" customWidth="1"/>
    <col min="8" max="8" width="10.33203125" style="47" customWidth="1"/>
    <col min="9" max="9" width="11.5546875" style="70" bestFit="1" customWidth="1"/>
    <col min="10" max="10" width="9.88671875" style="70" customWidth="1"/>
    <col min="11" max="11" width="5.88671875" customWidth="1"/>
    <col min="12" max="12" width="5.6640625" customWidth="1"/>
    <col min="13" max="13" width="13.77734375" customWidth="1"/>
    <col min="14" max="14" width="14.77734375" customWidth="1"/>
    <col min="15" max="15" width="9.5546875" bestFit="1" customWidth="1"/>
    <col min="16" max="16" width="16" style="54" customWidth="1"/>
    <col min="17" max="17" width="12.88671875" style="54" customWidth="1"/>
    <col min="18" max="18" width="14.6640625" customWidth="1"/>
    <col min="19" max="19" width="9.88671875" bestFit="1" customWidth="1"/>
  </cols>
  <sheetData>
    <row r="1" spans="1:14">
      <c r="A1" s="93" t="s">
        <v>68</v>
      </c>
      <c r="B1" s="93" t="s">
        <v>66</v>
      </c>
      <c r="C1" s="10" t="s">
        <v>117</v>
      </c>
      <c r="D1" s="10"/>
      <c r="E1" s="93" t="s">
        <v>118</v>
      </c>
      <c r="F1" s="93" t="s">
        <v>119</v>
      </c>
      <c r="G1" s="93" t="s">
        <v>13</v>
      </c>
      <c r="H1" s="96" t="s">
        <v>31</v>
      </c>
      <c r="I1" s="95" t="s">
        <v>71</v>
      </c>
      <c r="J1" s="95" t="s">
        <v>47</v>
      </c>
      <c r="K1" s="93" t="s">
        <v>120</v>
      </c>
      <c r="L1" s="93" t="s">
        <v>121</v>
      </c>
      <c r="M1" s="110" t="s">
        <v>142</v>
      </c>
      <c r="N1" s="110"/>
    </row>
    <row r="2" spans="1:14">
      <c r="A2" s="37" t="s">
        <v>2</v>
      </c>
      <c r="B2" s="93"/>
      <c r="C2" s="10"/>
      <c r="D2" s="10"/>
      <c r="E2" s="93"/>
      <c r="F2" s="93"/>
      <c r="G2" s="93"/>
      <c r="H2" s="96"/>
      <c r="I2" s="95"/>
      <c r="J2" s="95"/>
      <c r="K2" s="93"/>
      <c r="L2" s="93"/>
      <c r="M2" s="10" t="s">
        <v>123</v>
      </c>
      <c r="N2" s="10" t="s">
        <v>124</v>
      </c>
    </row>
    <row r="3" spans="1:14">
      <c r="A3">
        <v>27</v>
      </c>
      <c r="B3">
        <v>1</v>
      </c>
      <c r="C3">
        <v>0</v>
      </c>
      <c r="D3" t="s">
        <v>8</v>
      </c>
      <c r="E3" t="s">
        <v>75</v>
      </c>
      <c r="F3" t="s">
        <v>75</v>
      </c>
      <c r="G3" s="44">
        <v>41521</v>
      </c>
      <c r="H3" s="47">
        <v>58.502000000000002</v>
      </c>
      <c r="I3" s="70">
        <v>17.093261768828398</v>
      </c>
      <c r="J3" s="70">
        <v>17.093261768828398</v>
      </c>
      <c r="K3">
        <v>1</v>
      </c>
      <c r="M3" s="70">
        <f>IF($C3=0,-1,1)*$H3*I3</f>
        <v>-999.98999999999899</v>
      </c>
      <c r="N3" s="70">
        <f t="shared" ref="N3:N7" si="0">IF($C3=0,-1,1)*$H3*J3</f>
        <v>-999.98999999999899</v>
      </c>
    </row>
    <row r="4" spans="1:14">
      <c r="A4">
        <v>29</v>
      </c>
      <c r="B4">
        <v>1</v>
      </c>
      <c r="C4">
        <v>0</v>
      </c>
      <c r="D4" t="s">
        <v>80</v>
      </c>
      <c r="E4">
        <v>5</v>
      </c>
      <c r="F4">
        <v>28</v>
      </c>
      <c r="G4" s="44">
        <v>41794.000011574077</v>
      </c>
      <c r="H4" s="47">
        <v>2347.326</v>
      </c>
      <c r="I4" s="70">
        <v>19.41</v>
      </c>
      <c r="J4" s="70">
        <v>18.249684960674401</v>
      </c>
      <c r="K4">
        <v>1</v>
      </c>
      <c r="M4" s="70">
        <f t="shared" ref="M4:M7" si="1">IF($C4=0,-1,1)*$H4*I4</f>
        <v>-45561.597659999999</v>
      </c>
      <c r="N4" s="70">
        <f t="shared" si="0"/>
        <v>-42837.96</v>
      </c>
    </row>
    <row r="5" spans="1:14">
      <c r="A5">
        <v>30</v>
      </c>
      <c r="B5">
        <v>1</v>
      </c>
      <c r="C5">
        <v>1</v>
      </c>
      <c r="D5" t="s">
        <v>81</v>
      </c>
      <c r="E5">
        <v>5</v>
      </c>
      <c r="F5" t="s">
        <v>75</v>
      </c>
      <c r="G5" s="44">
        <v>41971</v>
      </c>
      <c r="H5" s="47">
        <v>2404</v>
      </c>
      <c r="I5" s="70">
        <v>19.3536</v>
      </c>
      <c r="J5" s="70">
        <v>18.524504991680502</v>
      </c>
      <c r="K5">
        <v>1</v>
      </c>
      <c r="M5" s="70">
        <f t="shared" si="1"/>
        <v>46526.054400000001</v>
      </c>
      <c r="N5" s="70">
        <f t="shared" si="0"/>
        <v>44532.909999999923</v>
      </c>
    </row>
    <row r="6" spans="1:14">
      <c r="A6">
        <v>92</v>
      </c>
      <c r="B6">
        <v>1</v>
      </c>
      <c r="C6">
        <v>0</v>
      </c>
      <c r="D6" t="s">
        <v>80</v>
      </c>
      <c r="E6">
        <v>5</v>
      </c>
      <c r="F6">
        <v>91</v>
      </c>
      <c r="G6" s="44">
        <v>42202.719108796293</v>
      </c>
      <c r="H6" s="47">
        <v>2922.36</v>
      </c>
      <c r="I6" s="70">
        <v>15.641</v>
      </c>
      <c r="J6" s="70">
        <v>18.393100097181701</v>
      </c>
      <c r="K6">
        <v>1</v>
      </c>
      <c r="M6" s="70">
        <f t="shared" si="1"/>
        <v>-45708.63276</v>
      </c>
      <c r="N6" s="70">
        <f>IF($C6=0,-1,1)*$H6*J6</f>
        <v>-53751.259999999922</v>
      </c>
    </row>
    <row r="7" spans="1:14">
      <c r="A7">
        <v>100</v>
      </c>
      <c r="B7">
        <v>1</v>
      </c>
      <c r="C7">
        <v>1</v>
      </c>
      <c r="D7" t="s">
        <v>81</v>
      </c>
      <c r="E7">
        <v>16</v>
      </c>
      <c r="F7" t="s">
        <v>75</v>
      </c>
      <c r="G7" s="44">
        <v>42279.463796296295</v>
      </c>
      <c r="H7" s="47">
        <v>2879.2429999999999</v>
      </c>
      <c r="I7" s="70">
        <v>15.6434</v>
      </c>
      <c r="J7" s="70">
        <v>18.063202723771401</v>
      </c>
      <c r="K7">
        <v>1</v>
      </c>
      <c r="M7" s="70">
        <f t="shared" si="1"/>
        <v>45041.149946199999</v>
      </c>
      <c r="N7" s="70">
        <f t="shared" si="0"/>
        <v>52008.349999999737</v>
      </c>
    </row>
    <row r="8" spans="1:14">
      <c r="G8" s="44" t="s">
        <v>122</v>
      </c>
      <c r="H8" s="47">
        <f>H3+H4-H5+H6-H7</f>
        <v>44.945000000000164</v>
      </c>
      <c r="J8" s="3">
        <v>20.079599999999999</v>
      </c>
      <c r="M8" s="70">
        <f>H8*J8</f>
        <v>902.47762200000329</v>
      </c>
      <c r="N8" s="70">
        <f>M8</f>
        <v>902.47762200000329</v>
      </c>
    </row>
    <row r="9" spans="1:14">
      <c r="G9" s="94"/>
      <c r="H9" s="47">
        <f>+H3+H4-H5</f>
        <v>1.8279999999999745</v>
      </c>
      <c r="I9" s="70">
        <f>+H6-H7</f>
        <v>43.117000000000189</v>
      </c>
      <c r="J9" s="3"/>
      <c r="M9" s="97">
        <f>SUM(M3:M8)</f>
        <v>199.46154820000561</v>
      </c>
      <c r="N9" s="97">
        <f>SUM(N3:N8)</f>
        <v>-145.47237800025573</v>
      </c>
    </row>
    <row r="10" spans="1:14">
      <c r="A10" s="37" t="s">
        <v>49</v>
      </c>
      <c r="G10" s="44"/>
      <c r="M10" s="70">
        <f>+M3+M4+M6</f>
        <v>-92270.220419999998</v>
      </c>
      <c r="N10" s="70">
        <f>+N3+N4+N6</f>
        <v>-97589.209999999919</v>
      </c>
    </row>
    <row r="11" spans="1:14">
      <c r="A11">
        <v>37</v>
      </c>
      <c r="B11">
        <v>2</v>
      </c>
      <c r="C11">
        <v>0</v>
      </c>
      <c r="D11" t="s">
        <v>8</v>
      </c>
      <c r="E11" t="s">
        <v>75</v>
      </c>
      <c r="F11" t="s">
        <v>75</v>
      </c>
      <c r="G11" s="44">
        <v>41534</v>
      </c>
      <c r="H11" s="47">
        <v>76.745999999999995</v>
      </c>
      <c r="I11" s="70">
        <v>13.029995048601799</v>
      </c>
      <c r="J11" s="70">
        <v>13.029995048601799</v>
      </c>
      <c r="K11">
        <v>1</v>
      </c>
      <c r="L11" t="s">
        <v>75</v>
      </c>
      <c r="M11" s="70">
        <f t="shared" ref="M11:M13" si="2">IF($C11=0,-1,1)*$H11*I11</f>
        <v>-999.99999999999363</v>
      </c>
      <c r="N11" s="70">
        <f t="shared" ref="N11:N13" si="3">IF($C11=0,-1,1)*$H11*J11</f>
        <v>-999.99999999999363</v>
      </c>
    </row>
    <row r="12" spans="1:14">
      <c r="A12">
        <v>38</v>
      </c>
      <c r="B12">
        <v>2</v>
      </c>
      <c r="C12">
        <v>1</v>
      </c>
      <c r="D12" t="s">
        <v>81</v>
      </c>
      <c r="E12">
        <v>6</v>
      </c>
      <c r="F12" t="s">
        <v>75</v>
      </c>
      <c r="G12" s="44">
        <v>41673</v>
      </c>
      <c r="H12" s="47">
        <v>75</v>
      </c>
      <c r="I12" s="70">
        <v>13.03</v>
      </c>
      <c r="J12" s="70">
        <v>12.78</v>
      </c>
      <c r="K12">
        <v>1</v>
      </c>
      <c r="L12" t="s">
        <v>75</v>
      </c>
      <c r="M12" s="70">
        <f t="shared" si="2"/>
        <v>977.25</v>
      </c>
      <c r="N12" s="70">
        <f t="shared" si="3"/>
        <v>958.5</v>
      </c>
    </row>
    <row r="13" spans="1:14">
      <c r="A13">
        <v>103</v>
      </c>
      <c r="B13">
        <v>2</v>
      </c>
      <c r="C13">
        <v>1</v>
      </c>
      <c r="D13" t="s">
        <v>81</v>
      </c>
      <c r="E13">
        <v>6</v>
      </c>
      <c r="F13" t="s">
        <v>75</v>
      </c>
      <c r="G13" s="44">
        <v>42310.831203703703</v>
      </c>
      <c r="H13" s="47">
        <v>1.746</v>
      </c>
      <c r="I13" s="70">
        <v>13.03</v>
      </c>
      <c r="J13" s="70">
        <v>13.6483390607101</v>
      </c>
      <c r="K13">
        <v>1</v>
      </c>
      <c r="L13" t="s">
        <v>75</v>
      </c>
      <c r="M13" s="70">
        <f t="shared" si="2"/>
        <v>22.75038</v>
      </c>
      <c r="N13" s="70">
        <f t="shared" si="3"/>
        <v>23.829999999999835</v>
      </c>
    </row>
    <row r="14" spans="1:14">
      <c r="G14" s="44" t="s">
        <v>122</v>
      </c>
      <c r="H14" s="47">
        <f>H11-H12-H13</f>
        <v>-4.8849813083506888E-15</v>
      </c>
      <c r="M14" s="70">
        <v>0</v>
      </c>
      <c r="N14">
        <v>0</v>
      </c>
    </row>
    <row r="15" spans="1:14">
      <c r="G15" s="44"/>
      <c r="M15" s="97">
        <f>SUM(M11:M14)</f>
        <v>3.8000000636628783E-4</v>
      </c>
      <c r="N15" s="97">
        <f>SUM(N11:N14)</f>
        <v>-17.669999999993799</v>
      </c>
    </row>
    <row r="16" spans="1:14">
      <c r="A16" s="10" t="s">
        <v>52</v>
      </c>
      <c r="G16" s="44"/>
    </row>
    <row r="17" spans="1:14">
      <c r="A17">
        <v>1</v>
      </c>
      <c r="B17">
        <v>3</v>
      </c>
      <c r="C17">
        <v>0</v>
      </c>
      <c r="D17" t="s">
        <v>8</v>
      </c>
      <c r="E17" t="s">
        <v>75</v>
      </c>
      <c r="F17" t="s">
        <v>75</v>
      </c>
      <c r="G17" s="44">
        <v>41172</v>
      </c>
      <c r="H17" s="47">
        <v>325.52199999999999</v>
      </c>
      <c r="I17" s="70">
        <v>30.719859180024699</v>
      </c>
      <c r="J17" s="70">
        <v>30.719859180024699</v>
      </c>
      <c r="K17">
        <v>1</v>
      </c>
      <c r="L17" t="s">
        <v>75</v>
      </c>
      <c r="M17" s="70">
        <f t="shared" ref="M17:M24" si="4">IF($C17=0,-1,1)*$H17*I17</f>
        <v>-9999.99</v>
      </c>
      <c r="N17" s="70">
        <f t="shared" ref="N17:N24" si="5">IF($C17=0,-1,1)*$H17*J17</f>
        <v>-9999.99</v>
      </c>
    </row>
    <row r="18" spans="1:14">
      <c r="A18">
        <v>2</v>
      </c>
      <c r="B18">
        <v>3</v>
      </c>
      <c r="C18">
        <v>0</v>
      </c>
      <c r="D18" t="s">
        <v>8</v>
      </c>
      <c r="E18" t="s">
        <v>75</v>
      </c>
      <c r="F18" t="s">
        <v>75</v>
      </c>
      <c r="G18" s="44">
        <v>41187</v>
      </c>
      <c r="H18" s="47">
        <v>1267.6880000000001</v>
      </c>
      <c r="I18" s="70">
        <v>31.5534895021487</v>
      </c>
      <c r="J18" s="70">
        <v>31.5534895021487</v>
      </c>
      <c r="K18">
        <v>1</v>
      </c>
      <c r="L18" t="s">
        <v>75</v>
      </c>
      <c r="M18" s="70">
        <f t="shared" si="4"/>
        <v>-39999.979999999887</v>
      </c>
      <c r="N18" s="70">
        <f t="shared" si="5"/>
        <v>-39999.979999999887</v>
      </c>
    </row>
    <row r="19" spans="1:14">
      <c r="A19">
        <v>3</v>
      </c>
      <c r="B19">
        <v>3</v>
      </c>
      <c r="C19">
        <v>0</v>
      </c>
      <c r="D19" t="s">
        <v>8</v>
      </c>
      <c r="E19" t="s">
        <v>75</v>
      </c>
      <c r="F19" t="s">
        <v>75</v>
      </c>
      <c r="G19" s="44">
        <v>41410</v>
      </c>
      <c r="H19" s="47">
        <v>522.37400000000002</v>
      </c>
      <c r="I19" s="70">
        <v>38.286783032846103</v>
      </c>
      <c r="J19" s="70">
        <v>38.286783032846103</v>
      </c>
      <c r="K19">
        <v>1</v>
      </c>
      <c r="L19" t="s">
        <v>75</v>
      </c>
      <c r="M19" s="70">
        <f t="shared" si="4"/>
        <v>-20000.01999999995</v>
      </c>
      <c r="N19" s="70">
        <f t="shared" si="5"/>
        <v>-20000.01999999995</v>
      </c>
    </row>
    <row r="20" spans="1:14">
      <c r="A20">
        <v>4</v>
      </c>
      <c r="B20">
        <v>3</v>
      </c>
      <c r="C20">
        <v>1</v>
      </c>
      <c r="D20" t="s">
        <v>41</v>
      </c>
      <c r="E20" t="s">
        <v>75</v>
      </c>
      <c r="F20" t="s">
        <v>75</v>
      </c>
      <c r="G20" s="44">
        <v>41438</v>
      </c>
      <c r="H20" s="47">
        <v>1415.5820000000001</v>
      </c>
      <c r="I20" s="70">
        <v>31.361799999999999</v>
      </c>
      <c r="J20" s="70">
        <v>33.983393402854702</v>
      </c>
      <c r="K20">
        <v>1</v>
      </c>
      <c r="L20" t="s">
        <v>75</v>
      </c>
      <c r="M20" s="70">
        <f t="shared" si="4"/>
        <v>44395.199567600001</v>
      </c>
      <c r="N20" s="70">
        <f t="shared" si="5"/>
        <v>48106.279999999868</v>
      </c>
    </row>
    <row r="21" spans="1:14">
      <c r="A21">
        <v>5</v>
      </c>
      <c r="B21">
        <v>3</v>
      </c>
      <c r="C21">
        <v>1</v>
      </c>
      <c r="D21" t="s">
        <v>41</v>
      </c>
      <c r="E21" t="s">
        <v>75</v>
      </c>
      <c r="F21" t="s">
        <v>75</v>
      </c>
      <c r="G21" s="44">
        <v>41492</v>
      </c>
      <c r="H21" s="47">
        <v>178</v>
      </c>
      <c r="I21" s="70">
        <v>31.567599999999999</v>
      </c>
      <c r="J21" s="70">
        <v>33.896398876404497</v>
      </c>
      <c r="K21">
        <v>1</v>
      </c>
      <c r="L21" t="s">
        <v>75</v>
      </c>
      <c r="M21" s="70">
        <f t="shared" si="4"/>
        <v>5619.0328</v>
      </c>
      <c r="N21" s="70">
        <f t="shared" si="5"/>
        <v>6033.5590000000002</v>
      </c>
    </row>
    <row r="22" spans="1:14">
      <c r="A22">
        <v>6</v>
      </c>
      <c r="B22">
        <v>3</v>
      </c>
      <c r="C22">
        <v>1</v>
      </c>
      <c r="D22" t="s">
        <v>41</v>
      </c>
      <c r="E22" t="s">
        <v>75</v>
      </c>
      <c r="F22" t="s">
        <v>75</v>
      </c>
      <c r="G22" s="44">
        <v>41506</v>
      </c>
      <c r="H22" s="47">
        <v>522.00199999999995</v>
      </c>
      <c r="I22" s="70">
        <v>38.286799999999999</v>
      </c>
      <c r="J22" s="70">
        <v>32.470297048670297</v>
      </c>
      <c r="K22">
        <v>1</v>
      </c>
      <c r="L22" t="s">
        <v>75</v>
      </c>
      <c r="M22" s="70">
        <f t="shared" si="4"/>
        <v>19985.786173599998</v>
      </c>
      <c r="N22" s="70">
        <f t="shared" si="5"/>
        <v>16949.55999999999</v>
      </c>
    </row>
    <row r="23" spans="1:14">
      <c r="A23">
        <v>41</v>
      </c>
      <c r="B23">
        <v>3</v>
      </c>
      <c r="C23">
        <v>0</v>
      </c>
      <c r="D23" t="s">
        <v>80</v>
      </c>
      <c r="E23">
        <v>6</v>
      </c>
      <c r="F23">
        <v>40</v>
      </c>
      <c r="G23" s="44">
        <v>42047.000011574077</v>
      </c>
      <c r="H23" s="47">
        <v>174.22900000000001</v>
      </c>
      <c r="I23" s="70">
        <v>21.56</v>
      </c>
      <c r="J23" s="70">
        <v>39.4291363665061</v>
      </c>
      <c r="K23">
        <v>1</v>
      </c>
      <c r="L23" t="s">
        <v>75</v>
      </c>
      <c r="M23" s="70">
        <f t="shared" si="4"/>
        <v>-3756.3772400000003</v>
      </c>
      <c r="N23" s="70">
        <f t="shared" si="5"/>
        <v>-6869.6989999999914</v>
      </c>
    </row>
    <row r="24" spans="1:14">
      <c r="A24">
        <v>95</v>
      </c>
      <c r="B24">
        <v>3</v>
      </c>
      <c r="C24">
        <v>1</v>
      </c>
      <c r="D24" t="s">
        <v>81</v>
      </c>
      <c r="E24">
        <v>6</v>
      </c>
      <c r="F24" t="s">
        <v>75</v>
      </c>
      <c r="G24" s="44">
        <v>42207.759375000001</v>
      </c>
      <c r="H24" s="47">
        <v>150</v>
      </c>
      <c r="I24" s="70">
        <v>21.56</v>
      </c>
      <c r="J24" s="70">
        <v>39.577666666666602</v>
      </c>
      <c r="K24">
        <v>1</v>
      </c>
      <c r="L24" t="s">
        <v>75</v>
      </c>
      <c r="M24" s="70">
        <f t="shared" si="4"/>
        <v>3234</v>
      </c>
      <c r="N24" s="70">
        <f t="shared" si="5"/>
        <v>5936.6499999999905</v>
      </c>
    </row>
    <row r="25" spans="1:14">
      <c r="G25" s="44" t="s">
        <v>122</v>
      </c>
      <c r="H25" s="47">
        <f>H17+H18+H19-H20-H21-H22+H23-H24</f>
        <v>24.228999999999786</v>
      </c>
      <c r="J25" s="3">
        <v>38.145499999999998</v>
      </c>
      <c r="M25" s="70">
        <f>H25*J25</f>
        <v>924.22731949999184</v>
      </c>
      <c r="N25" s="70">
        <f>M25</f>
        <v>924.22731949999184</v>
      </c>
    </row>
    <row r="26" spans="1:14">
      <c r="G26" s="44"/>
      <c r="M26" s="97">
        <f>SUM(M17:M25)</f>
        <v>401.87862070016013</v>
      </c>
      <c r="N26" s="97">
        <f>SUM(N17:N25)</f>
        <v>1080.5873195000197</v>
      </c>
    </row>
    <row r="27" spans="1:14">
      <c r="A27" s="10" t="s">
        <v>125</v>
      </c>
      <c r="G27" s="44"/>
    </row>
    <row r="28" spans="1:14">
      <c r="A28">
        <v>11</v>
      </c>
      <c r="B28">
        <v>4</v>
      </c>
      <c r="C28">
        <v>0</v>
      </c>
      <c r="E28" t="s">
        <v>75</v>
      </c>
      <c r="F28" t="s">
        <v>75</v>
      </c>
      <c r="G28" s="44">
        <v>41554</v>
      </c>
      <c r="H28" s="47">
        <v>28.28</v>
      </c>
      <c r="I28" s="70">
        <v>35.357142857142797</v>
      </c>
      <c r="J28" s="70">
        <v>35.357142857142797</v>
      </c>
      <c r="K28">
        <v>1</v>
      </c>
      <c r="L28" t="s">
        <v>75</v>
      </c>
      <c r="M28" s="70">
        <f t="shared" ref="M28:M30" si="6">IF($C28=0,-1,1)*$H28*I28</f>
        <v>-999.89999999999839</v>
      </c>
      <c r="N28" s="70">
        <f t="shared" ref="N28:N30" si="7">IF($C28=0,-1,1)*$H28*J28</f>
        <v>-999.89999999999839</v>
      </c>
    </row>
    <row r="29" spans="1:14">
      <c r="A29">
        <v>12</v>
      </c>
      <c r="B29">
        <v>4</v>
      </c>
      <c r="C29">
        <v>0</v>
      </c>
      <c r="E29" t="s">
        <v>75</v>
      </c>
      <c r="F29" t="s">
        <v>75</v>
      </c>
      <c r="G29" s="44">
        <v>41565</v>
      </c>
      <c r="H29" s="47">
        <v>134.86000000000001</v>
      </c>
      <c r="I29" s="70">
        <v>37.076301349547599</v>
      </c>
      <c r="J29" s="70">
        <v>37.076301349547599</v>
      </c>
      <c r="K29">
        <v>1</v>
      </c>
      <c r="L29" t="s">
        <v>75</v>
      </c>
      <c r="M29" s="70">
        <f t="shared" si="6"/>
        <v>-5000.1099999999897</v>
      </c>
      <c r="N29" s="70">
        <f t="shared" si="7"/>
        <v>-5000.1099999999897</v>
      </c>
    </row>
    <row r="30" spans="1:14">
      <c r="A30">
        <v>13</v>
      </c>
      <c r="B30">
        <v>4</v>
      </c>
      <c r="C30">
        <v>1</v>
      </c>
      <c r="E30" t="s">
        <v>75</v>
      </c>
      <c r="F30" t="s">
        <v>75</v>
      </c>
      <c r="G30" s="44">
        <v>41639</v>
      </c>
      <c r="H30" s="47">
        <v>160</v>
      </c>
      <c r="I30" s="70">
        <v>36.772399999999998</v>
      </c>
      <c r="J30" s="70">
        <v>30.947749999999999</v>
      </c>
      <c r="K30">
        <v>1</v>
      </c>
      <c r="L30" t="s">
        <v>75</v>
      </c>
      <c r="M30" s="70">
        <f t="shared" si="6"/>
        <v>5883.5839999999998</v>
      </c>
      <c r="N30" s="70">
        <f t="shared" si="7"/>
        <v>4951.6399999999994</v>
      </c>
    </row>
    <row r="31" spans="1:14">
      <c r="G31" s="44"/>
      <c r="H31" s="47">
        <f>+H28+H29-H30</f>
        <v>3.1400000000000148</v>
      </c>
      <c r="J31" s="3">
        <v>46.259300000000003</v>
      </c>
      <c r="M31" s="70">
        <f>H31*J31</f>
        <v>145.2542020000007</v>
      </c>
      <c r="N31" s="70">
        <f>M31</f>
        <v>145.2542020000007</v>
      </c>
    </row>
    <row r="32" spans="1:14">
      <c r="G32" s="44"/>
      <c r="M32" s="97">
        <f>SUM(M28:M31)</f>
        <v>28.828202000012141</v>
      </c>
      <c r="N32" s="97">
        <f>SUM(N28:N31)</f>
        <v>-903.11579799998822</v>
      </c>
    </row>
    <row r="33" spans="1:14">
      <c r="A33" s="10" t="s">
        <v>126</v>
      </c>
      <c r="G33" s="44"/>
    </row>
    <row r="34" spans="1:14">
      <c r="A34">
        <v>26</v>
      </c>
      <c r="B34">
        <v>5</v>
      </c>
      <c r="C34">
        <v>0</v>
      </c>
      <c r="E34">
        <v>11</v>
      </c>
      <c r="F34">
        <v>25</v>
      </c>
      <c r="G34" s="44">
        <v>41439.000011574077</v>
      </c>
      <c r="H34" s="47">
        <v>249.34710000000001</v>
      </c>
      <c r="I34" s="70">
        <v>182.983</v>
      </c>
      <c r="J34" s="70">
        <v>139.70998660100699</v>
      </c>
      <c r="K34">
        <v>1</v>
      </c>
      <c r="L34" t="s">
        <v>75</v>
      </c>
      <c r="M34" s="70">
        <f t="shared" ref="M34:M37" si="8">IF($C34=0,-1,1)*$H34*I34</f>
        <v>-45626.280399300005</v>
      </c>
      <c r="N34" s="70">
        <f t="shared" ref="N34:N37" si="9">IF($C34=0,-1,1)*$H34*J34</f>
        <v>-34836.279999999948</v>
      </c>
    </row>
    <row r="35" spans="1:14">
      <c r="A35">
        <v>28</v>
      </c>
      <c r="B35">
        <v>5</v>
      </c>
      <c r="C35">
        <v>1</v>
      </c>
      <c r="E35">
        <v>1</v>
      </c>
      <c r="F35" t="s">
        <v>75</v>
      </c>
      <c r="G35" s="44">
        <v>41794</v>
      </c>
      <c r="H35" s="47">
        <v>249</v>
      </c>
      <c r="I35" s="70">
        <v>182.983</v>
      </c>
      <c r="J35" s="70">
        <v>172.04</v>
      </c>
      <c r="K35">
        <v>1</v>
      </c>
      <c r="L35" t="s">
        <v>75</v>
      </c>
      <c r="M35" s="70">
        <f t="shared" si="8"/>
        <v>45562.767</v>
      </c>
      <c r="N35" s="70">
        <f t="shared" si="9"/>
        <v>42837.96</v>
      </c>
    </row>
    <row r="36" spans="1:14">
      <c r="A36">
        <v>31</v>
      </c>
      <c r="B36">
        <v>5</v>
      </c>
      <c r="C36">
        <v>0</v>
      </c>
      <c r="E36">
        <v>1</v>
      </c>
      <c r="F36">
        <v>30</v>
      </c>
      <c r="G36" s="44">
        <v>41976</v>
      </c>
      <c r="H36" s="47">
        <v>264.18049999999999</v>
      </c>
      <c r="I36" s="70">
        <v>176.12</v>
      </c>
      <c r="J36" s="70">
        <v>168.57001179118001</v>
      </c>
      <c r="K36">
        <v>1</v>
      </c>
      <c r="L36" t="s">
        <v>75</v>
      </c>
      <c r="M36" s="70">
        <f t="shared" si="8"/>
        <v>-46527.469660000002</v>
      </c>
      <c r="N36" s="70">
        <f t="shared" si="9"/>
        <v>-44532.909999999829</v>
      </c>
    </row>
    <row r="37" spans="1:14">
      <c r="A37">
        <v>91</v>
      </c>
      <c r="B37">
        <v>5</v>
      </c>
      <c r="C37">
        <v>1</v>
      </c>
      <c r="E37">
        <v>1</v>
      </c>
      <c r="F37" t="s">
        <v>75</v>
      </c>
      <c r="G37" s="44">
        <v>42201.719108796293</v>
      </c>
      <c r="H37" s="47">
        <v>259.52999999999997</v>
      </c>
      <c r="I37" s="70">
        <v>176.1292</v>
      </c>
      <c r="J37" s="70">
        <v>207.11000655030199</v>
      </c>
      <c r="K37">
        <v>1</v>
      </c>
      <c r="L37" t="s">
        <v>75</v>
      </c>
      <c r="M37" s="70">
        <f t="shared" si="8"/>
        <v>45710.811275999993</v>
      </c>
      <c r="N37" s="70">
        <f t="shared" si="9"/>
        <v>53751.259999999871</v>
      </c>
    </row>
    <row r="38" spans="1:14">
      <c r="G38" s="44"/>
      <c r="H38" s="47">
        <f>H34-H35+H36-H37</f>
        <v>4.997600000000034</v>
      </c>
      <c r="J38" s="3">
        <v>236.75</v>
      </c>
      <c r="M38" s="70">
        <f>H38*J38</f>
        <v>1183.181800000008</v>
      </c>
      <c r="N38" s="70">
        <f>M38</f>
        <v>1183.181800000008</v>
      </c>
    </row>
    <row r="39" spans="1:14">
      <c r="G39" s="44"/>
      <c r="M39" s="97">
        <f>SUM(M34:M38)</f>
        <v>303.01001669999323</v>
      </c>
      <c r="N39" s="97">
        <f>SUM(N34:N38)</f>
        <v>18403.211800000103</v>
      </c>
    </row>
    <row r="40" spans="1:14">
      <c r="A40" s="10" t="s">
        <v>127</v>
      </c>
      <c r="G40" s="44"/>
    </row>
    <row r="41" spans="1:14">
      <c r="A41">
        <v>7</v>
      </c>
      <c r="B41">
        <v>6</v>
      </c>
      <c r="C41">
        <v>0</v>
      </c>
      <c r="E41" t="s">
        <v>75</v>
      </c>
      <c r="F41" t="s">
        <v>75</v>
      </c>
      <c r="G41" s="44">
        <v>41492.000011574077</v>
      </c>
      <c r="H41" s="47">
        <v>24.091999999999999</v>
      </c>
      <c r="I41" s="70">
        <v>250.44122530300501</v>
      </c>
      <c r="J41" s="70">
        <v>250.44122530300501</v>
      </c>
      <c r="K41">
        <v>1</v>
      </c>
      <c r="L41" t="s">
        <v>75</v>
      </c>
      <c r="M41" s="70">
        <f>IF($C41=0,-1,1)*$H41*I41</f>
        <v>-6033.6299999999965</v>
      </c>
      <c r="N41" s="70">
        <f t="shared" ref="N41:N45" si="10">IF($C41=0,-1,1)*$H41*J41</f>
        <v>-6033.6299999999965</v>
      </c>
    </row>
    <row r="42" spans="1:14">
      <c r="A42">
        <v>39</v>
      </c>
      <c r="B42">
        <v>6</v>
      </c>
      <c r="C42">
        <v>0</v>
      </c>
      <c r="E42">
        <v>2</v>
      </c>
      <c r="F42">
        <v>38</v>
      </c>
      <c r="G42" s="44">
        <v>41673.000011574077</v>
      </c>
      <c r="H42" s="47">
        <v>3.1440000000000001</v>
      </c>
      <c r="I42" s="70">
        <v>310.83</v>
      </c>
      <c r="J42" s="70">
        <v>304.86641221373998</v>
      </c>
      <c r="K42">
        <v>1</v>
      </c>
      <c r="L42" t="s">
        <v>75</v>
      </c>
      <c r="M42" s="70">
        <f t="shared" ref="M42:M45" si="11">IF($C42=0,-1,1)*$H42*I42</f>
        <v>-977.24951999999996</v>
      </c>
      <c r="N42" s="70">
        <f t="shared" si="10"/>
        <v>-958.49999999999852</v>
      </c>
    </row>
    <row r="43" spans="1:14">
      <c r="A43">
        <v>40</v>
      </c>
      <c r="B43">
        <v>6</v>
      </c>
      <c r="C43">
        <v>1</v>
      </c>
      <c r="E43">
        <v>3</v>
      </c>
      <c r="F43" t="s">
        <v>75</v>
      </c>
      <c r="G43" s="44">
        <v>42047</v>
      </c>
      <c r="H43" s="47">
        <v>15</v>
      </c>
      <c r="I43" s="70">
        <v>250.44120000000001</v>
      </c>
      <c r="J43" s="70">
        <v>457.97993333333301</v>
      </c>
      <c r="K43">
        <v>1</v>
      </c>
      <c r="L43" t="s">
        <v>75</v>
      </c>
      <c r="M43" s="70">
        <f t="shared" si="11"/>
        <v>3756.6179999999999</v>
      </c>
      <c r="N43" s="70">
        <f t="shared" si="10"/>
        <v>6869.6989999999951</v>
      </c>
    </row>
    <row r="44" spans="1:14">
      <c r="A44">
        <v>96</v>
      </c>
      <c r="B44">
        <v>6</v>
      </c>
      <c r="C44">
        <v>0</v>
      </c>
      <c r="E44">
        <v>3</v>
      </c>
      <c r="F44">
        <v>95</v>
      </c>
      <c r="G44" s="44">
        <v>42208.759375000001</v>
      </c>
      <c r="H44" s="47">
        <v>10.042999999999999</v>
      </c>
      <c r="I44" s="70">
        <v>322.04000000000002</v>
      </c>
      <c r="J44" s="70">
        <v>591.12317036742002</v>
      </c>
      <c r="K44">
        <v>1</v>
      </c>
      <c r="L44" t="s">
        <v>75</v>
      </c>
      <c r="M44" s="70">
        <f t="shared" si="11"/>
        <v>-3234.2477199999998</v>
      </c>
      <c r="N44" s="70">
        <f t="shared" si="10"/>
        <v>-5936.6499999999987</v>
      </c>
    </row>
    <row r="45" spans="1:14">
      <c r="A45">
        <v>104</v>
      </c>
      <c r="B45">
        <v>6</v>
      </c>
      <c r="C45">
        <v>0</v>
      </c>
      <c r="E45">
        <v>2</v>
      </c>
      <c r="F45">
        <v>103</v>
      </c>
      <c r="G45" s="44">
        <v>42311.831203703703</v>
      </c>
      <c r="H45" s="47">
        <v>4.7E-2</v>
      </c>
      <c r="I45" s="70">
        <v>484.05</v>
      </c>
      <c r="J45" s="70">
        <v>507.02127659574398</v>
      </c>
      <c r="K45">
        <v>1</v>
      </c>
      <c r="L45" t="s">
        <v>75</v>
      </c>
      <c r="M45" s="70">
        <f t="shared" si="11"/>
        <v>-22.750350000000001</v>
      </c>
      <c r="N45" s="70">
        <f t="shared" si="10"/>
        <v>-23.829999999999966</v>
      </c>
    </row>
    <row r="46" spans="1:14">
      <c r="G46" s="44"/>
      <c r="H46" s="47">
        <f>H41+H42-H43+H44+H45</f>
        <v>22.325999999999997</v>
      </c>
      <c r="J46" s="3">
        <v>486.90960000000001</v>
      </c>
      <c r="M46" s="70">
        <f>H46*J46</f>
        <v>10870.743729599999</v>
      </c>
      <c r="N46" s="98">
        <f>M46</f>
        <v>10870.743729599999</v>
      </c>
    </row>
    <row r="47" spans="1:14">
      <c r="G47" s="44"/>
      <c r="M47" s="97">
        <f>SUM(M41:M46)</f>
        <v>4359.484139600002</v>
      </c>
      <c r="N47" s="97">
        <f>SUM(N41:N46)</f>
        <v>4787.8327296000007</v>
      </c>
    </row>
    <row r="48" spans="1:14">
      <c r="G48" s="44"/>
    </row>
    <row r="49" spans="1:14">
      <c r="A49" s="10" t="s">
        <v>87</v>
      </c>
      <c r="G49" s="44"/>
    </row>
    <row r="50" spans="1:14">
      <c r="A50">
        <v>79</v>
      </c>
      <c r="B50">
        <v>7</v>
      </c>
      <c r="C50">
        <v>0</v>
      </c>
      <c r="E50" t="s">
        <v>75</v>
      </c>
      <c r="F50" t="s">
        <v>75</v>
      </c>
      <c r="G50" s="44">
        <v>41711</v>
      </c>
      <c r="H50" s="47">
        <v>925</v>
      </c>
      <c r="I50" s="70">
        <v>10.824999999999999</v>
      </c>
      <c r="J50" s="70">
        <v>10.824999999999999</v>
      </c>
      <c r="K50">
        <v>1</v>
      </c>
      <c r="L50">
        <v>15.06</v>
      </c>
      <c r="N50" s="54">
        <v>62328.188319139997</v>
      </c>
    </row>
    <row r="51" spans="1:14">
      <c r="A51">
        <v>80</v>
      </c>
      <c r="B51">
        <v>7</v>
      </c>
      <c r="C51">
        <v>1</v>
      </c>
      <c r="E51" t="s">
        <v>75</v>
      </c>
      <c r="F51" t="s">
        <v>75</v>
      </c>
      <c r="G51" s="44">
        <v>41717</v>
      </c>
      <c r="H51" s="47">
        <v>925</v>
      </c>
      <c r="I51" s="70">
        <v>10.824999999999999</v>
      </c>
      <c r="J51" s="70">
        <v>11.05</v>
      </c>
      <c r="K51">
        <v>1</v>
      </c>
      <c r="L51">
        <v>25.32</v>
      </c>
    </row>
    <row r="52" spans="1:14">
      <c r="A52">
        <v>81</v>
      </c>
      <c r="B52">
        <v>7</v>
      </c>
      <c r="C52">
        <v>0</v>
      </c>
      <c r="E52" t="s">
        <v>75</v>
      </c>
      <c r="F52" t="s">
        <v>75</v>
      </c>
      <c r="G52" s="44">
        <v>41830</v>
      </c>
      <c r="H52" s="47">
        <v>929</v>
      </c>
      <c r="I52" s="70">
        <v>10.739999999999901</v>
      </c>
      <c r="J52" s="70">
        <v>10.739999999999901</v>
      </c>
      <c r="K52">
        <v>1</v>
      </c>
      <c r="L52">
        <v>15.06</v>
      </c>
    </row>
    <row r="53" spans="1:14">
      <c r="A53">
        <v>82</v>
      </c>
      <c r="B53">
        <v>7</v>
      </c>
      <c r="C53">
        <v>1</v>
      </c>
      <c r="E53" t="s">
        <v>75</v>
      </c>
      <c r="F53" t="s">
        <v>75</v>
      </c>
      <c r="G53" s="44">
        <v>41877</v>
      </c>
      <c r="H53" s="47">
        <v>929</v>
      </c>
      <c r="I53" s="70">
        <v>10.74</v>
      </c>
      <c r="J53" s="70">
        <v>10.98</v>
      </c>
      <c r="K53">
        <v>1</v>
      </c>
      <c r="L53">
        <v>15.09</v>
      </c>
    </row>
    <row r="54" spans="1:14">
      <c r="A54">
        <v>83</v>
      </c>
      <c r="B54">
        <v>7</v>
      </c>
      <c r="C54">
        <v>0</v>
      </c>
      <c r="E54" t="s">
        <v>75</v>
      </c>
      <c r="F54" t="s">
        <v>75</v>
      </c>
      <c r="G54" s="44">
        <v>41984</v>
      </c>
      <c r="H54" s="47">
        <v>5386</v>
      </c>
      <c r="I54" s="70">
        <v>9.2677385815076097</v>
      </c>
      <c r="J54" s="70">
        <v>9.2677385815076097</v>
      </c>
      <c r="K54">
        <v>1</v>
      </c>
      <c r="L54">
        <v>20.14</v>
      </c>
    </row>
    <row r="55" spans="1:14">
      <c r="A55">
        <v>84</v>
      </c>
      <c r="B55">
        <v>7</v>
      </c>
      <c r="C55">
        <v>1</v>
      </c>
      <c r="E55" t="s">
        <v>75</v>
      </c>
      <c r="F55" t="s">
        <v>75</v>
      </c>
      <c r="G55" s="44">
        <v>42047.000023148146</v>
      </c>
      <c r="H55" s="47">
        <v>5386</v>
      </c>
      <c r="I55" s="70">
        <v>9.2676999999999996</v>
      </c>
      <c r="J55" s="70">
        <v>9.0449999999999999</v>
      </c>
      <c r="K55">
        <v>1</v>
      </c>
      <c r="L55">
        <v>20.03</v>
      </c>
    </row>
    <row r="56" spans="1:14">
      <c r="A56">
        <v>94</v>
      </c>
      <c r="B56">
        <v>7</v>
      </c>
      <c r="C56">
        <v>0</v>
      </c>
      <c r="E56" t="s">
        <v>75</v>
      </c>
      <c r="F56" t="s">
        <v>75</v>
      </c>
      <c r="G56" s="44">
        <v>42212.556203703702</v>
      </c>
      <c r="H56" s="47">
        <v>6415</v>
      </c>
      <c r="I56" s="70">
        <v>7.7939999999999996</v>
      </c>
      <c r="J56" s="70">
        <v>7.7939999999999996</v>
      </c>
      <c r="K56">
        <v>1</v>
      </c>
      <c r="L56">
        <v>20.149999999999999</v>
      </c>
    </row>
    <row r="57" spans="1:14">
      <c r="A57">
        <v>97</v>
      </c>
      <c r="B57">
        <v>7</v>
      </c>
      <c r="C57">
        <v>1</v>
      </c>
      <c r="E57" t="s">
        <v>75</v>
      </c>
      <c r="F57" t="s">
        <v>75</v>
      </c>
      <c r="G57" s="44">
        <v>42214.282905092594</v>
      </c>
      <c r="H57" s="47">
        <v>6415</v>
      </c>
      <c r="I57" s="70">
        <v>7.7939999999999996</v>
      </c>
      <c r="J57" s="70">
        <v>8.19</v>
      </c>
      <c r="K57">
        <v>1</v>
      </c>
      <c r="L57">
        <v>20.399999999999999</v>
      </c>
    </row>
    <row r="58" spans="1:14">
      <c r="A58">
        <v>138</v>
      </c>
      <c r="B58">
        <v>7</v>
      </c>
      <c r="C58">
        <v>5</v>
      </c>
      <c r="E58" t="s">
        <v>75</v>
      </c>
      <c r="F58" t="s">
        <v>75</v>
      </c>
      <c r="G58" s="44">
        <v>42822.416643518518</v>
      </c>
      <c r="H58" s="47">
        <v>1581</v>
      </c>
      <c r="I58" s="70">
        <v>7.5910000000000002</v>
      </c>
      <c r="J58" s="70">
        <v>7.5910000000000002</v>
      </c>
      <c r="K58">
        <v>1</v>
      </c>
      <c r="L58">
        <v>15.15</v>
      </c>
    </row>
    <row r="59" spans="1:14">
      <c r="A59">
        <v>151</v>
      </c>
      <c r="B59">
        <v>7</v>
      </c>
      <c r="C59">
        <v>0</v>
      </c>
      <c r="E59" t="s">
        <v>75</v>
      </c>
      <c r="F59" t="s">
        <v>75</v>
      </c>
      <c r="G59" s="44">
        <v>42822.416655092595</v>
      </c>
      <c r="H59" s="47">
        <v>527</v>
      </c>
      <c r="I59" s="70">
        <v>22.773</v>
      </c>
      <c r="J59" s="70">
        <v>22.773</v>
      </c>
      <c r="K59">
        <v>1</v>
      </c>
      <c r="L59">
        <v>0</v>
      </c>
    </row>
    <row r="60" spans="1:14">
      <c r="A60">
        <v>78</v>
      </c>
      <c r="B60">
        <v>8</v>
      </c>
      <c r="C60">
        <v>0</v>
      </c>
      <c r="E60" t="s">
        <v>75</v>
      </c>
      <c r="F60" t="s">
        <v>75</v>
      </c>
      <c r="G60" s="44">
        <v>42058</v>
      </c>
      <c r="H60" s="47">
        <v>7743</v>
      </c>
      <c r="I60" s="70">
        <v>6.4550000000000001</v>
      </c>
      <c r="J60" s="70">
        <v>6.4550000000000001</v>
      </c>
      <c r="K60">
        <v>1</v>
      </c>
      <c r="L60">
        <v>20.18</v>
      </c>
    </row>
    <row r="61" spans="1:14">
      <c r="A61">
        <v>88</v>
      </c>
      <c r="B61">
        <v>8</v>
      </c>
      <c r="C61">
        <v>2</v>
      </c>
      <c r="E61" t="s">
        <v>75</v>
      </c>
      <c r="F61" t="s">
        <v>75</v>
      </c>
      <c r="G61" s="44">
        <v>42117.864814814813</v>
      </c>
      <c r="H61" s="47">
        <v>0</v>
      </c>
      <c r="I61" s="70" t="s">
        <v>75</v>
      </c>
      <c r="J61" s="70">
        <v>2.27</v>
      </c>
      <c r="K61">
        <v>1</v>
      </c>
      <c r="L61" t="s">
        <v>75</v>
      </c>
    </row>
    <row r="62" spans="1:14">
      <c r="A62">
        <v>86</v>
      </c>
      <c r="B62">
        <v>8</v>
      </c>
      <c r="C62">
        <v>0</v>
      </c>
      <c r="E62" t="s">
        <v>75</v>
      </c>
      <c r="F62" t="s">
        <v>75</v>
      </c>
      <c r="G62" s="44">
        <v>42123.703634259262</v>
      </c>
      <c r="H62" s="47">
        <v>168</v>
      </c>
      <c r="I62" s="70">
        <v>0</v>
      </c>
      <c r="J62" s="70">
        <v>0</v>
      </c>
      <c r="K62">
        <v>1</v>
      </c>
      <c r="L62" t="s">
        <v>75</v>
      </c>
    </row>
    <row r="63" spans="1:14">
      <c r="A63">
        <v>89</v>
      </c>
      <c r="B63">
        <v>8</v>
      </c>
      <c r="C63">
        <v>1</v>
      </c>
      <c r="E63" t="s">
        <v>75</v>
      </c>
      <c r="F63" t="s">
        <v>75</v>
      </c>
      <c r="G63" s="44">
        <v>42200.864814814813</v>
      </c>
      <c r="H63" s="47">
        <v>7911</v>
      </c>
      <c r="I63" s="70">
        <v>6.3178999999999998</v>
      </c>
      <c r="J63" s="70">
        <v>6.63</v>
      </c>
      <c r="K63">
        <v>1</v>
      </c>
      <c r="L63">
        <v>20.38</v>
      </c>
    </row>
    <row r="64" spans="1:14">
      <c r="G64" s="44"/>
    </row>
    <row r="65" spans="1:19">
      <c r="G65" s="44"/>
    </row>
    <row r="66" spans="1:19">
      <c r="A66" s="10" t="s">
        <v>152</v>
      </c>
      <c r="G66" s="44"/>
      <c r="M66" s="70"/>
      <c r="N66" s="70"/>
    </row>
    <row r="67" spans="1:19">
      <c r="A67">
        <v>43</v>
      </c>
      <c r="B67">
        <v>9</v>
      </c>
      <c r="C67">
        <v>0</v>
      </c>
      <c r="E67" t="s">
        <v>75</v>
      </c>
      <c r="F67" t="s">
        <v>75</v>
      </c>
      <c r="G67" s="44">
        <v>36850</v>
      </c>
      <c r="H67" s="47">
        <v>60</v>
      </c>
      <c r="I67" s="70">
        <v>20.100000000000001</v>
      </c>
      <c r="J67" s="70">
        <v>20.100000000000001</v>
      </c>
      <c r="K67">
        <v>1</v>
      </c>
      <c r="L67">
        <v>2.5299999999999998</v>
      </c>
      <c r="M67" s="70">
        <f t="shared" ref="M67:M75" si="12">IF($C67=0,-I67,J67)*H67</f>
        <v>-1206</v>
      </c>
      <c r="N67" s="70">
        <f t="shared" ref="N67:N93" si="13">IF($C67=0,-1,1)*$H67*J67</f>
        <v>-1206</v>
      </c>
      <c r="O67" s="47">
        <f>IF($C67=0,1,-1)*H67+O66</f>
        <v>60</v>
      </c>
      <c r="R67" s="70"/>
    </row>
    <row r="68" spans="1:19">
      <c r="A68">
        <v>46</v>
      </c>
      <c r="B68">
        <v>9</v>
      </c>
      <c r="C68">
        <v>0</v>
      </c>
      <c r="E68" t="s">
        <v>75</v>
      </c>
      <c r="F68" t="s">
        <v>75</v>
      </c>
      <c r="G68" s="44">
        <v>36910</v>
      </c>
      <c r="H68" s="47">
        <v>1</v>
      </c>
      <c r="I68" s="70">
        <v>3.25</v>
      </c>
      <c r="J68" s="70">
        <v>3.25</v>
      </c>
      <c r="K68">
        <v>1</v>
      </c>
      <c r="L68" t="s">
        <v>75</v>
      </c>
      <c r="M68" s="70">
        <f t="shared" si="12"/>
        <v>-3.25</v>
      </c>
      <c r="N68" s="70">
        <f t="shared" si="13"/>
        <v>-3.25</v>
      </c>
      <c r="O68" s="47">
        <f t="shared" ref="O68:O83" si="14">IF($C68=0,1,-1)*H68+O67</f>
        <v>61</v>
      </c>
    </row>
    <row r="69" spans="1:19">
      <c r="A69">
        <v>49</v>
      </c>
      <c r="B69">
        <v>9</v>
      </c>
      <c r="C69">
        <v>0</v>
      </c>
      <c r="E69" t="s">
        <v>75</v>
      </c>
      <c r="F69" t="s">
        <v>75</v>
      </c>
      <c r="G69" s="44">
        <v>36970.000011574077</v>
      </c>
      <c r="H69" s="47">
        <v>1</v>
      </c>
      <c r="I69" s="70">
        <v>3.25</v>
      </c>
      <c r="J69" s="70">
        <v>3.25</v>
      </c>
      <c r="K69">
        <v>1</v>
      </c>
      <c r="L69" t="s">
        <v>75</v>
      </c>
      <c r="M69" s="70">
        <f t="shared" si="12"/>
        <v>-3.25</v>
      </c>
      <c r="N69" s="70">
        <f t="shared" si="13"/>
        <v>-3.25</v>
      </c>
      <c r="O69" s="47">
        <f t="shared" si="14"/>
        <v>62</v>
      </c>
    </row>
    <row r="70" spans="1:19">
      <c r="A70">
        <v>51</v>
      </c>
      <c r="B70">
        <v>9</v>
      </c>
      <c r="C70">
        <v>0</v>
      </c>
      <c r="E70" t="s">
        <v>75</v>
      </c>
      <c r="F70" t="s">
        <v>75</v>
      </c>
      <c r="G70" s="44">
        <v>37295</v>
      </c>
      <c r="H70" s="47">
        <v>1</v>
      </c>
      <c r="I70" s="70">
        <v>3.25</v>
      </c>
      <c r="J70" s="70">
        <v>3.25</v>
      </c>
      <c r="K70">
        <v>1</v>
      </c>
      <c r="L70">
        <v>9.07</v>
      </c>
      <c r="M70" s="70">
        <f t="shared" si="12"/>
        <v>-3.25</v>
      </c>
      <c r="N70" s="70">
        <f t="shared" si="13"/>
        <v>-3.25</v>
      </c>
      <c r="O70" s="47">
        <f t="shared" si="14"/>
        <v>63</v>
      </c>
    </row>
    <row r="71" spans="1:19">
      <c r="A71">
        <v>53</v>
      </c>
      <c r="B71">
        <v>9</v>
      </c>
      <c r="C71">
        <v>0</v>
      </c>
      <c r="E71" t="s">
        <v>75</v>
      </c>
      <c r="F71" t="s">
        <v>75</v>
      </c>
      <c r="G71" s="44">
        <v>37351</v>
      </c>
      <c r="H71" s="47">
        <v>1</v>
      </c>
      <c r="I71" s="70">
        <v>3.25</v>
      </c>
      <c r="J71" s="70">
        <v>3.25</v>
      </c>
      <c r="K71">
        <v>1</v>
      </c>
      <c r="L71" t="s">
        <v>75</v>
      </c>
      <c r="M71" s="70">
        <f t="shared" si="12"/>
        <v>-3.25</v>
      </c>
      <c r="N71" s="70">
        <f t="shared" si="13"/>
        <v>-3.25</v>
      </c>
      <c r="O71" s="47">
        <f t="shared" si="14"/>
        <v>64</v>
      </c>
    </row>
    <row r="72" spans="1:19">
      <c r="A72">
        <v>55</v>
      </c>
      <c r="B72">
        <v>9</v>
      </c>
      <c r="C72">
        <v>0</v>
      </c>
      <c r="E72" t="s">
        <v>75</v>
      </c>
      <c r="F72" t="s">
        <v>75</v>
      </c>
      <c r="G72" s="44">
        <v>37667</v>
      </c>
      <c r="H72" s="47">
        <v>1</v>
      </c>
      <c r="I72" s="70">
        <v>3.25</v>
      </c>
      <c r="J72" s="70">
        <v>3.25</v>
      </c>
      <c r="K72">
        <v>1</v>
      </c>
      <c r="L72">
        <v>9.2799999999999994</v>
      </c>
      <c r="M72" s="70">
        <f t="shared" si="12"/>
        <v>-3.25</v>
      </c>
      <c r="N72" s="70">
        <f t="shared" si="13"/>
        <v>-3.25</v>
      </c>
      <c r="O72" s="47">
        <f t="shared" si="14"/>
        <v>65</v>
      </c>
    </row>
    <row r="73" spans="1:19">
      <c r="A73">
        <v>58</v>
      </c>
      <c r="B73">
        <v>9</v>
      </c>
      <c r="C73">
        <v>0</v>
      </c>
      <c r="E73" t="s">
        <v>75</v>
      </c>
      <c r="F73" t="s">
        <v>75</v>
      </c>
      <c r="G73" s="44">
        <v>37712</v>
      </c>
      <c r="H73" s="47">
        <v>1</v>
      </c>
      <c r="I73" s="70">
        <v>3</v>
      </c>
      <c r="J73" s="70">
        <v>3</v>
      </c>
      <c r="K73">
        <v>1</v>
      </c>
      <c r="L73">
        <v>4.6399999999999997</v>
      </c>
      <c r="M73" s="70">
        <f t="shared" si="12"/>
        <v>-3</v>
      </c>
      <c r="N73" s="70">
        <f t="shared" si="13"/>
        <v>-3</v>
      </c>
      <c r="O73" s="47">
        <f t="shared" si="14"/>
        <v>66</v>
      </c>
    </row>
    <row r="74" spans="1:19">
      <c r="A74">
        <v>63</v>
      </c>
      <c r="B74">
        <v>9</v>
      </c>
      <c r="C74">
        <v>0</v>
      </c>
      <c r="E74" t="s">
        <v>75</v>
      </c>
      <c r="F74" t="s">
        <v>75</v>
      </c>
      <c r="G74" s="44">
        <v>38531.000011574077</v>
      </c>
      <c r="H74" s="47">
        <v>3</v>
      </c>
      <c r="I74" s="70">
        <v>3.3333333333333301E-3</v>
      </c>
      <c r="J74" s="70">
        <v>3.3333333333333301E-3</v>
      </c>
      <c r="K74">
        <v>1</v>
      </c>
      <c r="L74">
        <v>19.05</v>
      </c>
      <c r="M74" s="70">
        <f t="shared" si="12"/>
        <v>-9.9999999999999898E-3</v>
      </c>
      <c r="N74" s="70">
        <f t="shared" si="13"/>
        <v>-9.9999999999999898E-3</v>
      </c>
      <c r="O74" s="47">
        <f t="shared" si="14"/>
        <v>69</v>
      </c>
    </row>
    <row r="75" spans="1:19">
      <c r="A75">
        <v>64</v>
      </c>
      <c r="B75">
        <v>9</v>
      </c>
      <c r="C75">
        <v>0</v>
      </c>
      <c r="E75" t="s">
        <v>75</v>
      </c>
      <c r="F75" t="s">
        <v>75</v>
      </c>
      <c r="G75" s="44">
        <v>41222</v>
      </c>
      <c r="H75" s="47">
        <v>1006</v>
      </c>
      <c r="I75" s="70">
        <v>9.92</v>
      </c>
      <c r="J75" s="70">
        <v>9.92</v>
      </c>
      <c r="K75">
        <v>1</v>
      </c>
      <c r="L75">
        <v>14.06</v>
      </c>
      <c r="M75" s="70">
        <f t="shared" si="12"/>
        <v>-9979.52</v>
      </c>
      <c r="N75" s="70">
        <f t="shared" si="13"/>
        <v>-9979.52</v>
      </c>
      <c r="O75" s="47">
        <f t="shared" si="14"/>
        <v>1075</v>
      </c>
      <c r="P75" s="54">
        <f>-O75*J75</f>
        <v>-10664</v>
      </c>
      <c r="R75" s="70"/>
    </row>
    <row r="76" spans="1:19" s="91" customFormat="1">
      <c r="A76" s="91">
        <v>65</v>
      </c>
      <c r="B76" s="91">
        <v>9</v>
      </c>
      <c r="C76" s="91">
        <v>1</v>
      </c>
      <c r="E76" s="91" t="s">
        <v>75</v>
      </c>
      <c r="F76" s="91" t="s">
        <v>75</v>
      </c>
      <c r="G76" s="100">
        <v>41289</v>
      </c>
      <c r="H76" s="101">
        <v>69</v>
      </c>
      <c r="I76" s="102">
        <v>17.757400000000001</v>
      </c>
      <c r="J76" s="102">
        <v>10.96</v>
      </c>
      <c r="K76" s="91">
        <v>1</v>
      </c>
      <c r="L76" s="91">
        <v>13.58</v>
      </c>
      <c r="M76" s="102">
        <f>IF($C76=0,-I76,J76)*H76</f>
        <v>756.24</v>
      </c>
      <c r="N76" s="102">
        <f t="shared" si="13"/>
        <v>756.24</v>
      </c>
      <c r="O76" s="47">
        <f t="shared" si="14"/>
        <v>1006</v>
      </c>
      <c r="P76" s="54">
        <f>N76</f>
        <v>756.24</v>
      </c>
      <c r="Q76" s="103"/>
      <c r="R76" s="103"/>
    </row>
    <row r="77" spans="1:19" s="91" customFormat="1">
      <c r="A77" s="91">
        <v>66</v>
      </c>
      <c r="B77" s="91">
        <v>9</v>
      </c>
      <c r="C77" s="91">
        <v>1</v>
      </c>
      <c r="E77" s="91" t="s">
        <v>75</v>
      </c>
      <c r="F77" s="91" t="s">
        <v>75</v>
      </c>
      <c r="G77" s="100">
        <v>41289.000011574077</v>
      </c>
      <c r="H77" s="101">
        <v>1006</v>
      </c>
      <c r="I77" s="102">
        <v>9.92</v>
      </c>
      <c r="J77" s="102">
        <v>10.96</v>
      </c>
      <c r="K77" s="91">
        <v>1</v>
      </c>
      <c r="L77" s="91">
        <v>16.21</v>
      </c>
      <c r="M77" s="102">
        <f t="shared" ref="M77:M93" si="15">IF($C77=0,-I77,J77)*H77</f>
        <v>11025.76</v>
      </c>
      <c r="N77" s="102">
        <f t="shared" si="13"/>
        <v>11025.76</v>
      </c>
      <c r="O77" s="47">
        <f t="shared" si="14"/>
        <v>0</v>
      </c>
      <c r="P77" s="54">
        <f t="shared" ref="P77:P83" si="16">N77</f>
        <v>11025.76</v>
      </c>
      <c r="Q77" s="103"/>
      <c r="R77" s="102"/>
      <c r="S77" s="102"/>
    </row>
    <row r="78" spans="1:19" s="91" customFormat="1">
      <c r="A78" s="91">
        <v>67</v>
      </c>
      <c r="B78" s="91">
        <v>9</v>
      </c>
      <c r="C78" s="91">
        <v>0</v>
      </c>
      <c r="E78" s="91" t="s">
        <v>75</v>
      </c>
      <c r="F78" s="91" t="s">
        <v>75</v>
      </c>
      <c r="G78" s="100">
        <v>41317</v>
      </c>
      <c r="H78" s="101">
        <v>920</v>
      </c>
      <c r="I78" s="102">
        <v>9.8949999999999996</v>
      </c>
      <c r="J78" s="102">
        <v>9.8949999999999996</v>
      </c>
      <c r="K78" s="91">
        <v>1</v>
      </c>
      <c r="L78" s="91">
        <v>13.93</v>
      </c>
      <c r="M78" s="102">
        <f t="shared" si="15"/>
        <v>-9103.4</v>
      </c>
      <c r="N78" s="102">
        <f t="shared" si="13"/>
        <v>-9103.4</v>
      </c>
      <c r="O78" s="47">
        <f t="shared" si="14"/>
        <v>920</v>
      </c>
      <c r="P78" s="54">
        <f t="shared" si="16"/>
        <v>-9103.4</v>
      </c>
      <c r="Q78" s="103"/>
      <c r="R78" s="102"/>
    </row>
    <row r="79" spans="1:19" s="91" customFormat="1">
      <c r="A79" s="91">
        <v>68</v>
      </c>
      <c r="B79" s="91">
        <v>9</v>
      </c>
      <c r="C79" s="91">
        <v>0</v>
      </c>
      <c r="E79" s="91" t="s">
        <v>75</v>
      </c>
      <c r="F79" s="91" t="s">
        <v>75</v>
      </c>
      <c r="G79" s="100">
        <v>41317.000011574077</v>
      </c>
      <c r="H79" s="101">
        <v>90</v>
      </c>
      <c r="I79" s="102">
        <v>9.8959999999999901</v>
      </c>
      <c r="J79" s="102">
        <v>9.8959999999999901</v>
      </c>
      <c r="K79" s="91">
        <v>1</v>
      </c>
      <c r="L79" s="91">
        <v>5.71</v>
      </c>
      <c r="M79" s="102">
        <f t="shared" si="15"/>
        <v>-890.63999999999908</v>
      </c>
      <c r="N79" s="102">
        <f t="shared" si="13"/>
        <v>-890.63999999999908</v>
      </c>
      <c r="O79" s="47">
        <f t="shared" si="14"/>
        <v>1010</v>
      </c>
      <c r="P79" s="54">
        <f t="shared" si="16"/>
        <v>-890.63999999999908</v>
      </c>
      <c r="Q79" s="103"/>
    </row>
    <row r="80" spans="1:19" s="91" customFormat="1">
      <c r="A80" s="91">
        <v>69</v>
      </c>
      <c r="B80" s="91">
        <v>9</v>
      </c>
      <c r="C80" s="91">
        <v>1</v>
      </c>
      <c r="E80" s="91" t="s">
        <v>75</v>
      </c>
      <c r="F80" s="91" t="s">
        <v>75</v>
      </c>
      <c r="G80" s="100">
        <v>41351</v>
      </c>
      <c r="H80" s="101">
        <v>1010</v>
      </c>
      <c r="I80" s="102">
        <v>9.8950999999999993</v>
      </c>
      <c r="J80" s="102">
        <v>11.2</v>
      </c>
      <c r="K80" s="91">
        <v>1</v>
      </c>
      <c r="L80" s="91">
        <v>16.25</v>
      </c>
      <c r="M80" s="102">
        <f t="shared" si="15"/>
        <v>11312</v>
      </c>
      <c r="N80" s="102">
        <f t="shared" si="13"/>
        <v>11312</v>
      </c>
      <c r="O80" s="47">
        <f t="shared" si="14"/>
        <v>0</v>
      </c>
      <c r="P80" s="54">
        <f t="shared" si="16"/>
        <v>11312</v>
      </c>
      <c r="Q80" s="103"/>
    </row>
    <row r="81" spans="1:19" s="91" customFormat="1">
      <c r="A81" s="91">
        <v>70</v>
      </c>
      <c r="B81" s="91">
        <v>9</v>
      </c>
      <c r="C81" s="91">
        <v>0</v>
      </c>
      <c r="E81" s="91" t="s">
        <v>75</v>
      </c>
      <c r="F81" s="91" t="s">
        <v>75</v>
      </c>
      <c r="G81" s="100">
        <v>41445</v>
      </c>
      <c r="H81" s="101">
        <v>2008</v>
      </c>
      <c r="I81" s="102">
        <v>9.9210009960159304</v>
      </c>
      <c r="J81" s="102">
        <v>9.9210009960159304</v>
      </c>
      <c r="K81" s="91">
        <v>1</v>
      </c>
      <c r="L81" s="91">
        <v>15.51</v>
      </c>
      <c r="M81" s="102">
        <f t="shared" si="15"/>
        <v>-19921.369999999988</v>
      </c>
      <c r="N81" s="102">
        <f t="shared" si="13"/>
        <v>-19921.369999999988</v>
      </c>
      <c r="O81" s="47">
        <f t="shared" si="14"/>
        <v>2008</v>
      </c>
      <c r="P81" s="54">
        <f t="shared" si="16"/>
        <v>-19921.369999999988</v>
      </c>
      <c r="Q81" s="103"/>
    </row>
    <row r="82" spans="1:19" s="91" customFormat="1">
      <c r="A82" s="91">
        <v>71</v>
      </c>
      <c r="B82" s="91">
        <v>9</v>
      </c>
      <c r="C82" s="91">
        <v>0</v>
      </c>
      <c r="E82" s="91" t="s">
        <v>75</v>
      </c>
      <c r="F82" s="91" t="s">
        <v>75</v>
      </c>
      <c r="G82" s="100">
        <v>41458</v>
      </c>
      <c r="H82" s="101">
        <v>806</v>
      </c>
      <c r="I82" s="102">
        <v>9.5739950372208398</v>
      </c>
      <c r="J82" s="102">
        <v>9.5739950372208398</v>
      </c>
      <c r="K82" s="91">
        <v>1</v>
      </c>
      <c r="L82" s="91">
        <v>13.73</v>
      </c>
      <c r="M82" s="102">
        <f t="shared" si="15"/>
        <v>-7716.6399999999967</v>
      </c>
      <c r="N82" s="102">
        <f t="shared" si="13"/>
        <v>-7716.6399999999967</v>
      </c>
      <c r="O82" s="47">
        <f t="shared" si="14"/>
        <v>2814</v>
      </c>
      <c r="P82" s="54">
        <f t="shared" si="16"/>
        <v>-7716.6399999999967</v>
      </c>
      <c r="Q82" s="103"/>
    </row>
    <row r="83" spans="1:19" s="91" customFormat="1">
      <c r="A83" s="91">
        <v>72</v>
      </c>
      <c r="B83" s="91">
        <v>9</v>
      </c>
      <c r="C83" s="91">
        <v>0</v>
      </c>
      <c r="E83" s="91" t="s">
        <v>75</v>
      </c>
      <c r="F83" s="91" t="s">
        <v>75</v>
      </c>
      <c r="G83" s="100">
        <v>41458.000011574077</v>
      </c>
      <c r="H83" s="101">
        <v>1276</v>
      </c>
      <c r="I83" s="102">
        <v>9.5730015673981192</v>
      </c>
      <c r="J83" s="102">
        <v>9.5730015673981192</v>
      </c>
      <c r="K83" s="91">
        <v>1</v>
      </c>
      <c r="L83" s="91">
        <v>14.39</v>
      </c>
      <c r="M83" s="102">
        <f t="shared" si="15"/>
        <v>-12215.15</v>
      </c>
      <c r="N83" s="102">
        <f t="shared" si="13"/>
        <v>-12215.15</v>
      </c>
      <c r="O83" s="47">
        <f t="shared" si="14"/>
        <v>4090</v>
      </c>
      <c r="P83" s="54">
        <f t="shared" si="16"/>
        <v>-12215.15</v>
      </c>
      <c r="Q83" s="103"/>
    </row>
    <row r="84" spans="1:19">
      <c r="A84">
        <v>74</v>
      </c>
      <c r="B84">
        <v>9</v>
      </c>
      <c r="C84">
        <v>0</v>
      </c>
      <c r="E84" t="s">
        <v>75</v>
      </c>
      <c r="F84" t="s">
        <v>75</v>
      </c>
      <c r="G84" s="44">
        <v>41667</v>
      </c>
      <c r="H84" s="47">
        <v>1755</v>
      </c>
      <c r="I84" s="70">
        <v>11.35</v>
      </c>
      <c r="J84" s="70">
        <v>11.35</v>
      </c>
      <c r="K84">
        <v>1</v>
      </c>
      <c r="L84">
        <v>16.510000000000002</v>
      </c>
      <c r="M84" s="70">
        <f t="shared" si="15"/>
        <v>-19919.25</v>
      </c>
      <c r="N84" s="70">
        <f t="shared" si="13"/>
        <v>-19919.25</v>
      </c>
      <c r="O84" s="47"/>
    </row>
    <row r="85" spans="1:19">
      <c r="A85">
        <v>76</v>
      </c>
      <c r="B85">
        <v>9</v>
      </c>
      <c r="C85">
        <v>1</v>
      </c>
      <c r="E85" t="s">
        <v>75</v>
      </c>
      <c r="F85" t="s">
        <v>75</v>
      </c>
      <c r="G85" s="44">
        <v>41792</v>
      </c>
      <c r="H85" s="47">
        <v>5845</v>
      </c>
      <c r="I85" s="70">
        <v>10.2262</v>
      </c>
      <c r="J85" s="70">
        <v>12.395000855431899</v>
      </c>
      <c r="K85">
        <v>1</v>
      </c>
      <c r="L85">
        <v>63.96</v>
      </c>
      <c r="M85" s="70">
        <f t="shared" si="15"/>
        <v>72448.779999999446</v>
      </c>
      <c r="N85" s="70">
        <f t="shared" si="13"/>
        <v>72448.779999999446</v>
      </c>
      <c r="O85" s="47"/>
      <c r="P85" s="54">
        <f>SUM(P75:P84)</f>
        <v>-37417.199999999983</v>
      </c>
    </row>
    <row r="86" spans="1:19">
      <c r="A86">
        <v>77</v>
      </c>
      <c r="B86">
        <v>9</v>
      </c>
      <c r="C86">
        <v>0</v>
      </c>
      <c r="E86" t="s">
        <v>75</v>
      </c>
      <c r="F86" t="s">
        <v>75</v>
      </c>
      <c r="G86" s="44">
        <v>42010</v>
      </c>
      <c r="H86" s="47">
        <v>4388</v>
      </c>
      <c r="I86" s="70">
        <v>11.45</v>
      </c>
      <c r="J86" s="70">
        <v>11.45</v>
      </c>
      <c r="K86">
        <v>1</v>
      </c>
      <c r="L86">
        <v>20.18</v>
      </c>
      <c r="M86" s="70">
        <f t="shared" si="15"/>
        <v>-50242.6</v>
      </c>
      <c r="N86" s="70">
        <f t="shared" si="13"/>
        <v>-50242.6</v>
      </c>
      <c r="O86" s="47"/>
    </row>
    <row r="87" spans="1:19">
      <c r="A87">
        <v>85</v>
      </c>
      <c r="B87">
        <v>9</v>
      </c>
      <c r="C87">
        <v>0</v>
      </c>
      <c r="E87" t="s">
        <v>75</v>
      </c>
      <c r="F87" t="s">
        <v>75</v>
      </c>
      <c r="G87" s="44">
        <v>42115.562974537039</v>
      </c>
      <c r="H87" s="47">
        <v>274</v>
      </c>
      <c r="I87" s="70">
        <v>10.84</v>
      </c>
      <c r="J87" s="70">
        <v>10.84</v>
      </c>
      <c r="K87">
        <v>1</v>
      </c>
      <c r="L87" t="s">
        <v>75</v>
      </c>
      <c r="M87" s="70">
        <f t="shared" si="15"/>
        <v>-2970.16</v>
      </c>
      <c r="N87" s="70">
        <f t="shared" si="13"/>
        <v>-2970.16</v>
      </c>
      <c r="O87" s="47"/>
      <c r="P87" s="54">
        <v>33384.976684952897</v>
      </c>
    </row>
    <row r="88" spans="1:19">
      <c r="A88">
        <v>90</v>
      </c>
      <c r="B88">
        <v>9</v>
      </c>
      <c r="C88">
        <v>1</v>
      </c>
      <c r="E88" t="s">
        <v>75</v>
      </c>
      <c r="F88" t="s">
        <v>75</v>
      </c>
      <c r="G88" s="44">
        <v>42200.86482638889</v>
      </c>
      <c r="H88" s="47">
        <v>4262</v>
      </c>
      <c r="I88" s="70">
        <v>11.45</v>
      </c>
      <c r="J88" s="70">
        <v>13.6</v>
      </c>
      <c r="K88">
        <v>1</v>
      </c>
      <c r="L88">
        <v>20.92</v>
      </c>
      <c r="M88" s="70">
        <f t="shared" si="15"/>
        <v>57963.199999999997</v>
      </c>
      <c r="N88" s="70">
        <f t="shared" si="13"/>
        <v>57963.199999999997</v>
      </c>
      <c r="O88" s="47"/>
      <c r="P88" s="54">
        <v>-60511.199999999997</v>
      </c>
    </row>
    <row r="89" spans="1:19">
      <c r="A89">
        <v>93</v>
      </c>
      <c r="B89">
        <v>9</v>
      </c>
      <c r="C89">
        <v>1</v>
      </c>
      <c r="E89" t="s">
        <v>75</v>
      </c>
      <c r="F89" t="s">
        <v>75</v>
      </c>
      <c r="G89" s="44">
        <v>42201.88890046296</v>
      </c>
      <c r="H89" s="47">
        <v>400</v>
      </c>
      <c r="I89" s="70">
        <v>11.0322</v>
      </c>
      <c r="J89" s="70">
        <v>13.78</v>
      </c>
      <c r="K89">
        <v>1</v>
      </c>
      <c r="L89">
        <v>12.4</v>
      </c>
      <c r="M89" s="70">
        <f t="shared" si="15"/>
        <v>5512</v>
      </c>
      <c r="N89" s="70">
        <f t="shared" si="13"/>
        <v>5512</v>
      </c>
      <c r="O89" s="47"/>
      <c r="P89" s="54">
        <v>-109.31</v>
      </c>
    </row>
    <row r="90" spans="1:19">
      <c r="A90">
        <v>99</v>
      </c>
      <c r="B90">
        <v>9</v>
      </c>
      <c r="C90">
        <v>0</v>
      </c>
      <c r="E90" t="s">
        <v>75</v>
      </c>
      <c r="F90" t="s">
        <v>75</v>
      </c>
      <c r="G90" s="44">
        <v>42278.440972222219</v>
      </c>
      <c r="H90" s="47">
        <v>4570</v>
      </c>
      <c r="I90" s="70">
        <v>10.91</v>
      </c>
      <c r="J90" s="70">
        <v>10.91</v>
      </c>
      <c r="K90">
        <v>1</v>
      </c>
      <c r="L90">
        <v>20.14</v>
      </c>
      <c r="M90" s="70">
        <f t="shared" si="15"/>
        <v>-49858.7</v>
      </c>
      <c r="N90" s="70">
        <f t="shared" si="13"/>
        <v>-49858.7</v>
      </c>
      <c r="O90" s="47"/>
      <c r="P90" s="54">
        <f>SUM(P87:P89)</f>
        <v>-27235.533315047101</v>
      </c>
    </row>
    <row r="91" spans="1:19">
      <c r="A91">
        <v>102</v>
      </c>
      <c r="B91">
        <v>9</v>
      </c>
      <c r="C91">
        <v>1</v>
      </c>
      <c r="E91" t="s">
        <v>75</v>
      </c>
      <c r="F91" t="s">
        <v>75</v>
      </c>
      <c r="G91" s="44">
        <v>42289.284166666665</v>
      </c>
      <c r="H91" s="47">
        <v>4570</v>
      </c>
      <c r="I91" s="70">
        <v>10.91</v>
      </c>
      <c r="J91" s="70">
        <v>11.595000000000001</v>
      </c>
      <c r="K91">
        <v>1</v>
      </c>
      <c r="L91">
        <v>20.440000000000001</v>
      </c>
      <c r="M91" s="70">
        <f t="shared" si="15"/>
        <v>52989.15</v>
      </c>
      <c r="N91" s="70">
        <f t="shared" si="13"/>
        <v>52989.15</v>
      </c>
      <c r="O91" s="47"/>
      <c r="Q91" s="9">
        <v>11</v>
      </c>
      <c r="R91" s="54">
        <v>5</v>
      </c>
      <c r="S91">
        <v>55</v>
      </c>
    </row>
    <row r="92" spans="1:19">
      <c r="A92">
        <v>106</v>
      </c>
      <c r="B92">
        <v>9</v>
      </c>
      <c r="C92">
        <v>0</v>
      </c>
      <c r="E92" t="s">
        <v>75</v>
      </c>
      <c r="F92" t="s">
        <v>75</v>
      </c>
      <c r="G92" s="44">
        <v>42342.482824074075</v>
      </c>
      <c r="H92" s="47">
        <v>4492</v>
      </c>
      <c r="I92" s="70">
        <v>11.13</v>
      </c>
      <c r="J92" s="70">
        <v>11.13</v>
      </c>
      <c r="K92">
        <v>1</v>
      </c>
      <c r="L92">
        <v>20.149999999999999</v>
      </c>
      <c r="M92" s="70">
        <f t="shared" si="15"/>
        <v>-49995.960000000006</v>
      </c>
      <c r="N92" s="70">
        <f t="shared" si="13"/>
        <v>-49995.960000000006</v>
      </c>
      <c r="O92" s="47"/>
      <c r="P92" s="54">
        <v>0</v>
      </c>
      <c r="Q92" s="9">
        <v>6</v>
      </c>
      <c r="R92" s="54">
        <v>7</v>
      </c>
    </row>
    <row r="93" spans="1:19">
      <c r="A93">
        <v>107</v>
      </c>
      <c r="B93">
        <v>9</v>
      </c>
      <c r="C93">
        <v>1</v>
      </c>
      <c r="E93" t="s">
        <v>75</v>
      </c>
      <c r="F93" t="s">
        <v>75</v>
      </c>
      <c r="G93" s="44">
        <v>42369.818796296298</v>
      </c>
      <c r="H93" s="47">
        <v>4492</v>
      </c>
      <c r="I93" s="70">
        <v>11.13</v>
      </c>
      <c r="J93" s="70">
        <v>10.275</v>
      </c>
      <c r="K93">
        <v>1</v>
      </c>
      <c r="L93">
        <v>19.78</v>
      </c>
      <c r="M93" s="70">
        <f t="shared" si="15"/>
        <v>46155.3</v>
      </c>
      <c r="N93" s="70">
        <f t="shared" si="13"/>
        <v>46155.3</v>
      </c>
      <c r="O93" s="47"/>
      <c r="P93" s="54">
        <v>1</v>
      </c>
      <c r="Q93" s="9">
        <v>-7</v>
      </c>
      <c r="R93" s="54">
        <v>7</v>
      </c>
      <c r="S93">
        <f>R93*10</f>
        <v>70</v>
      </c>
    </row>
    <row r="94" spans="1:19">
      <c r="G94" s="44"/>
      <c r="M94" s="97">
        <f>SUM(M67:M93)</f>
        <v>24123.779999999468</v>
      </c>
      <c r="N94" s="97">
        <f>SUM(N67:N93)</f>
        <v>24123.779999999468</v>
      </c>
      <c r="O94" s="47"/>
      <c r="P94" s="97"/>
      <c r="Q94" s="61"/>
      <c r="S94">
        <f>3*R93</f>
        <v>21</v>
      </c>
    </row>
    <row r="95" spans="1:19">
      <c r="A95" s="10" t="s">
        <v>153</v>
      </c>
      <c r="G95" s="44"/>
      <c r="Q95" s="61"/>
    </row>
    <row r="96" spans="1:19">
      <c r="A96">
        <v>45</v>
      </c>
      <c r="B96">
        <v>9</v>
      </c>
      <c r="C96">
        <v>2</v>
      </c>
      <c r="E96" t="s">
        <v>75</v>
      </c>
      <c r="F96" t="s">
        <v>75</v>
      </c>
      <c r="G96" s="44">
        <v>36909</v>
      </c>
      <c r="H96" s="47">
        <v>0</v>
      </c>
      <c r="I96" s="70">
        <v>0</v>
      </c>
      <c r="J96" s="70">
        <v>3.54</v>
      </c>
      <c r="K96">
        <v>1</v>
      </c>
      <c r="L96" t="s">
        <v>75</v>
      </c>
      <c r="M96" s="70">
        <f t="shared" ref="M96:M110" si="17">IF($C96=0,-1,1)*$H96*I96</f>
        <v>0</v>
      </c>
      <c r="N96" s="70">
        <f t="shared" ref="N96:N110" si="18">IF($C96=0,-1,1)*$H96*J96</f>
        <v>0</v>
      </c>
      <c r="R96" t="s">
        <v>155</v>
      </c>
      <c r="S96" s="54">
        <f>Q91*R91</f>
        <v>55</v>
      </c>
    </row>
    <row r="97" spans="1:19">
      <c r="A97">
        <v>47</v>
      </c>
      <c r="B97">
        <v>9</v>
      </c>
      <c r="C97">
        <v>2</v>
      </c>
      <c r="E97" t="s">
        <v>75</v>
      </c>
      <c r="F97" t="s">
        <v>75</v>
      </c>
      <c r="G97" s="44">
        <v>36969</v>
      </c>
      <c r="H97" s="47">
        <v>0</v>
      </c>
      <c r="I97" s="70">
        <v>0</v>
      </c>
      <c r="J97" s="70">
        <v>3.61</v>
      </c>
      <c r="K97">
        <v>1</v>
      </c>
      <c r="L97" t="s">
        <v>75</v>
      </c>
      <c r="M97" s="70">
        <f t="shared" si="17"/>
        <v>0</v>
      </c>
      <c r="N97" s="70">
        <f t="shared" si="18"/>
        <v>0</v>
      </c>
      <c r="R97" t="s">
        <v>156</v>
      </c>
      <c r="S97" s="54">
        <f>Q92*R92</f>
        <v>42</v>
      </c>
    </row>
    <row r="98" spans="1:19">
      <c r="A98">
        <v>48</v>
      </c>
      <c r="B98">
        <v>9</v>
      </c>
      <c r="C98">
        <v>2</v>
      </c>
      <c r="E98" t="s">
        <v>75</v>
      </c>
      <c r="F98" t="s">
        <v>75</v>
      </c>
      <c r="G98" s="44">
        <v>36970</v>
      </c>
      <c r="H98" s="47">
        <v>0</v>
      </c>
      <c r="I98" s="70">
        <v>0</v>
      </c>
      <c r="J98" s="70">
        <v>17.91</v>
      </c>
      <c r="K98">
        <v>1</v>
      </c>
      <c r="L98" t="s">
        <v>75</v>
      </c>
      <c r="M98" s="70">
        <f t="shared" si="17"/>
        <v>0</v>
      </c>
      <c r="N98" s="70">
        <f t="shared" si="18"/>
        <v>0</v>
      </c>
      <c r="R98" t="s">
        <v>157</v>
      </c>
      <c r="S98" s="54">
        <f>-R93*Q93</f>
        <v>49</v>
      </c>
    </row>
    <row r="99" spans="1:19">
      <c r="A99">
        <v>50</v>
      </c>
      <c r="B99">
        <v>9</v>
      </c>
      <c r="C99">
        <v>2</v>
      </c>
      <c r="E99" t="s">
        <v>75</v>
      </c>
      <c r="F99" t="s">
        <v>75</v>
      </c>
      <c r="G99" s="44">
        <v>37294</v>
      </c>
      <c r="H99" s="47">
        <v>0</v>
      </c>
      <c r="I99" s="70">
        <v>0</v>
      </c>
      <c r="J99" s="70">
        <v>2.31</v>
      </c>
      <c r="K99">
        <v>1</v>
      </c>
      <c r="L99" t="s">
        <v>75</v>
      </c>
      <c r="M99" s="70">
        <f t="shared" si="17"/>
        <v>0</v>
      </c>
      <c r="N99" s="70">
        <f t="shared" si="18"/>
        <v>0</v>
      </c>
      <c r="R99" t="s">
        <v>158</v>
      </c>
      <c r="S99" s="9">
        <f>(Q91+Q92+Q93)*R93</f>
        <v>70</v>
      </c>
    </row>
    <row r="100" spans="1:19">
      <c r="A100">
        <v>52</v>
      </c>
      <c r="B100">
        <v>9</v>
      </c>
      <c r="C100">
        <v>2</v>
      </c>
      <c r="E100" t="s">
        <v>75</v>
      </c>
      <c r="F100" t="s">
        <v>75</v>
      </c>
      <c r="G100" s="44">
        <v>37302</v>
      </c>
      <c r="H100" s="47">
        <v>0</v>
      </c>
      <c r="I100" s="70">
        <v>0</v>
      </c>
      <c r="J100" s="70">
        <v>16.02</v>
      </c>
      <c r="K100">
        <v>1</v>
      </c>
      <c r="L100" t="s">
        <v>75</v>
      </c>
      <c r="M100" s="70">
        <f t="shared" si="17"/>
        <v>0</v>
      </c>
      <c r="N100" s="70">
        <f t="shared" si="18"/>
        <v>0</v>
      </c>
      <c r="S100" s="54">
        <f>+S99+S98-S97-S96</f>
        <v>22</v>
      </c>
    </row>
    <row r="101" spans="1:19">
      <c r="A101">
        <v>54</v>
      </c>
      <c r="B101">
        <v>9</v>
      </c>
      <c r="C101">
        <v>2</v>
      </c>
      <c r="E101" t="s">
        <v>75</v>
      </c>
      <c r="F101" t="s">
        <v>75</v>
      </c>
      <c r="G101" s="44">
        <v>37662</v>
      </c>
      <c r="H101" s="47">
        <v>0</v>
      </c>
      <c r="I101" s="70">
        <v>0</v>
      </c>
      <c r="J101" s="70">
        <v>0.94</v>
      </c>
      <c r="K101">
        <v>1</v>
      </c>
      <c r="L101" t="s">
        <v>75</v>
      </c>
      <c r="M101" s="70">
        <f t="shared" si="17"/>
        <v>0</v>
      </c>
      <c r="N101" s="70">
        <f t="shared" si="18"/>
        <v>0</v>
      </c>
    </row>
    <row r="102" spans="1:19">
      <c r="A102">
        <v>56</v>
      </c>
      <c r="B102">
        <v>9</v>
      </c>
      <c r="C102">
        <v>2</v>
      </c>
      <c r="E102" t="s">
        <v>75</v>
      </c>
      <c r="F102" t="s">
        <v>75</v>
      </c>
      <c r="G102" s="44">
        <v>37705</v>
      </c>
      <c r="H102" s="47">
        <v>0</v>
      </c>
      <c r="I102" s="70">
        <v>0</v>
      </c>
      <c r="J102" s="70">
        <v>1.1100000000000001</v>
      </c>
      <c r="K102">
        <v>1</v>
      </c>
      <c r="L102" t="s">
        <v>75</v>
      </c>
      <c r="M102" s="70">
        <f t="shared" si="17"/>
        <v>0</v>
      </c>
      <c r="N102" s="70">
        <f t="shared" si="18"/>
        <v>0</v>
      </c>
      <c r="R102" t="s">
        <v>156</v>
      </c>
      <c r="S102" s="54">
        <v>5</v>
      </c>
    </row>
    <row r="103" spans="1:19">
      <c r="A103">
        <v>57</v>
      </c>
      <c r="B103">
        <v>9</v>
      </c>
      <c r="C103">
        <v>2</v>
      </c>
      <c r="E103" t="s">
        <v>75</v>
      </c>
      <c r="F103" t="s">
        <v>75</v>
      </c>
      <c r="G103" s="44">
        <v>37805</v>
      </c>
      <c r="H103" s="47">
        <v>0</v>
      </c>
      <c r="I103" s="70">
        <v>0</v>
      </c>
      <c r="J103" s="70">
        <v>7.68</v>
      </c>
      <c r="K103">
        <v>1</v>
      </c>
      <c r="L103" t="s">
        <v>75</v>
      </c>
      <c r="M103" s="70">
        <f t="shared" si="17"/>
        <v>0</v>
      </c>
      <c r="N103" s="70">
        <f t="shared" si="18"/>
        <v>0</v>
      </c>
      <c r="R103" t="s">
        <v>158</v>
      </c>
      <c r="S103" s="9">
        <v>8</v>
      </c>
    </row>
    <row r="104" spans="1:19">
      <c r="A104">
        <v>59</v>
      </c>
      <c r="B104">
        <v>9</v>
      </c>
      <c r="C104">
        <v>2</v>
      </c>
      <c r="E104" t="s">
        <v>75</v>
      </c>
      <c r="F104" t="s">
        <v>75</v>
      </c>
      <c r="G104" s="44">
        <v>37909</v>
      </c>
      <c r="H104" s="47">
        <v>0</v>
      </c>
      <c r="I104" s="70">
        <v>0</v>
      </c>
      <c r="J104" s="70">
        <v>7.02</v>
      </c>
      <c r="K104">
        <v>1</v>
      </c>
      <c r="L104" t="s">
        <v>75</v>
      </c>
      <c r="M104" s="70">
        <f t="shared" si="17"/>
        <v>0</v>
      </c>
      <c r="N104" s="70">
        <f t="shared" si="18"/>
        <v>0</v>
      </c>
    </row>
    <row r="105" spans="1:19">
      <c r="A105">
        <v>60</v>
      </c>
      <c r="B105">
        <v>9</v>
      </c>
      <c r="C105">
        <v>2</v>
      </c>
      <c r="E105" t="s">
        <v>75</v>
      </c>
      <c r="F105" t="s">
        <v>75</v>
      </c>
      <c r="G105" s="44">
        <v>38303</v>
      </c>
      <c r="H105" s="47">
        <v>0</v>
      </c>
      <c r="I105" s="70">
        <v>0</v>
      </c>
      <c r="J105" s="70">
        <v>12.04</v>
      </c>
      <c r="K105">
        <v>1</v>
      </c>
      <c r="L105" t="s">
        <v>75</v>
      </c>
      <c r="M105" s="70">
        <f t="shared" si="17"/>
        <v>0</v>
      </c>
      <c r="N105" s="70">
        <f t="shared" si="18"/>
        <v>0</v>
      </c>
    </row>
    <row r="106" spans="1:19">
      <c r="A106">
        <v>61</v>
      </c>
      <c r="B106">
        <v>9</v>
      </c>
      <c r="C106">
        <v>2</v>
      </c>
      <c r="E106" t="s">
        <v>75</v>
      </c>
      <c r="F106" t="s">
        <v>75</v>
      </c>
      <c r="G106" s="44">
        <v>38485</v>
      </c>
      <c r="H106" s="47">
        <v>0</v>
      </c>
      <c r="I106" s="70">
        <v>0</v>
      </c>
      <c r="J106" s="70">
        <v>11.74</v>
      </c>
      <c r="K106">
        <v>1</v>
      </c>
      <c r="L106" t="s">
        <v>75</v>
      </c>
      <c r="M106" s="70">
        <f t="shared" si="17"/>
        <v>0</v>
      </c>
      <c r="N106" s="70">
        <f t="shared" si="18"/>
        <v>0</v>
      </c>
    </row>
    <row r="107" spans="1:19">
      <c r="A107">
        <v>62</v>
      </c>
      <c r="B107">
        <v>9</v>
      </c>
      <c r="C107">
        <v>2</v>
      </c>
      <c r="E107" t="s">
        <v>75</v>
      </c>
      <c r="F107" t="s">
        <v>75</v>
      </c>
      <c r="G107" s="44">
        <v>38531</v>
      </c>
      <c r="H107" s="47">
        <v>0</v>
      </c>
      <c r="I107" s="70">
        <v>0</v>
      </c>
      <c r="J107" s="70">
        <v>8.6300000000000008</v>
      </c>
      <c r="K107">
        <v>1</v>
      </c>
      <c r="L107" t="s">
        <v>75</v>
      </c>
      <c r="M107" s="70">
        <f t="shared" si="17"/>
        <v>0</v>
      </c>
      <c r="N107" s="70">
        <f t="shared" si="18"/>
        <v>0</v>
      </c>
    </row>
    <row r="108" spans="1:19" s="91" customFormat="1">
      <c r="A108" s="91">
        <v>73</v>
      </c>
      <c r="B108" s="91">
        <v>9</v>
      </c>
      <c r="C108" s="91">
        <v>2</v>
      </c>
      <c r="E108" s="91" t="s">
        <v>75</v>
      </c>
      <c r="F108" s="91" t="s">
        <v>75</v>
      </c>
      <c r="G108" s="100">
        <v>41584</v>
      </c>
      <c r="H108" s="101">
        <v>0</v>
      </c>
      <c r="I108" s="102">
        <v>0</v>
      </c>
      <c r="J108" s="102">
        <v>1431.5</v>
      </c>
      <c r="K108" s="91">
        <v>1</v>
      </c>
      <c r="L108" s="91" t="s">
        <v>75</v>
      </c>
      <c r="M108" s="102">
        <f t="shared" si="17"/>
        <v>0</v>
      </c>
      <c r="N108" s="102">
        <f t="shared" si="18"/>
        <v>0</v>
      </c>
      <c r="P108" s="103"/>
      <c r="Q108" s="103"/>
    </row>
    <row r="109" spans="1:19">
      <c r="A109">
        <v>75</v>
      </c>
      <c r="B109">
        <v>9</v>
      </c>
      <c r="C109">
        <v>2</v>
      </c>
      <c r="E109" t="s">
        <v>75</v>
      </c>
      <c r="F109" t="s">
        <v>75</v>
      </c>
      <c r="G109" s="44">
        <v>41766</v>
      </c>
      <c r="H109" s="47">
        <v>0</v>
      </c>
      <c r="I109" s="70">
        <v>0</v>
      </c>
      <c r="J109" s="70">
        <v>2338</v>
      </c>
      <c r="K109">
        <v>1</v>
      </c>
      <c r="L109" t="s">
        <v>75</v>
      </c>
      <c r="M109" s="70">
        <f t="shared" si="17"/>
        <v>0</v>
      </c>
      <c r="N109" s="70">
        <f t="shared" si="18"/>
        <v>0</v>
      </c>
    </row>
    <row r="110" spans="1:19">
      <c r="A110">
        <v>87</v>
      </c>
      <c r="B110">
        <v>9</v>
      </c>
      <c r="C110">
        <v>2</v>
      </c>
      <c r="E110" t="s">
        <v>75</v>
      </c>
      <c r="F110" t="s">
        <v>75</v>
      </c>
      <c r="G110" s="44">
        <v>42136.837407407409</v>
      </c>
      <c r="H110" s="47">
        <v>0</v>
      </c>
      <c r="I110" s="70">
        <v>0</v>
      </c>
      <c r="J110" s="70">
        <v>1864.8</v>
      </c>
      <c r="K110">
        <v>1</v>
      </c>
      <c r="L110" t="s">
        <v>75</v>
      </c>
      <c r="M110" s="70">
        <f t="shared" si="17"/>
        <v>0</v>
      </c>
      <c r="N110" s="70">
        <f t="shared" si="18"/>
        <v>0</v>
      </c>
    </row>
    <row r="111" spans="1:19">
      <c r="G111" s="44"/>
    </row>
    <row r="112" spans="1:19">
      <c r="G112" s="44"/>
    </row>
    <row r="113" spans="1:12">
      <c r="A113">
        <v>15</v>
      </c>
      <c r="B113">
        <v>10</v>
      </c>
      <c r="C113">
        <v>0</v>
      </c>
      <c r="E113" t="s">
        <v>75</v>
      </c>
      <c r="F113" t="s">
        <v>75</v>
      </c>
      <c r="G113" s="44">
        <v>36841</v>
      </c>
      <c r="H113" s="47">
        <v>679.64</v>
      </c>
      <c r="I113" s="70">
        <v>22.9920399034783</v>
      </c>
      <c r="J113" s="70">
        <v>22.9920399034783</v>
      </c>
      <c r="K113">
        <v>1</v>
      </c>
      <c r="L113" t="s">
        <v>75</v>
      </c>
    </row>
    <row r="114" spans="1:12">
      <c r="A114">
        <v>23</v>
      </c>
      <c r="B114">
        <v>10</v>
      </c>
      <c r="C114">
        <v>1</v>
      </c>
      <c r="E114">
        <v>11</v>
      </c>
      <c r="F114" t="s">
        <v>75</v>
      </c>
      <c r="G114" s="44">
        <v>41383</v>
      </c>
      <c r="H114" s="47">
        <v>679.64</v>
      </c>
      <c r="I114" s="70">
        <v>22.992000000000001</v>
      </c>
      <c r="J114" s="70">
        <v>8.1098375610617399</v>
      </c>
      <c r="K114">
        <v>1</v>
      </c>
      <c r="L114" t="s">
        <v>75</v>
      </c>
    </row>
    <row r="115" spans="1:12">
      <c r="A115">
        <v>16</v>
      </c>
      <c r="B115">
        <v>11</v>
      </c>
      <c r="C115">
        <v>0</v>
      </c>
      <c r="E115" t="s">
        <v>75</v>
      </c>
      <c r="F115" t="s">
        <v>75</v>
      </c>
      <c r="G115" s="44">
        <v>41166</v>
      </c>
      <c r="H115" s="47">
        <v>547.645126</v>
      </c>
      <c r="I115" s="70">
        <v>18.259999998612201</v>
      </c>
      <c r="J115" s="70">
        <v>18.259999998612201</v>
      </c>
      <c r="K115">
        <v>1</v>
      </c>
      <c r="L115" t="s">
        <v>75</v>
      </c>
    </row>
    <row r="116" spans="1:12">
      <c r="A116">
        <v>17</v>
      </c>
      <c r="B116">
        <v>11</v>
      </c>
      <c r="C116">
        <v>0</v>
      </c>
      <c r="E116" t="s">
        <v>75</v>
      </c>
      <c r="F116" t="s">
        <v>75</v>
      </c>
      <c r="G116" s="44">
        <v>41377</v>
      </c>
      <c r="H116" s="47">
        <v>1010.611</v>
      </c>
      <c r="I116" s="70">
        <v>19.7899983277443</v>
      </c>
      <c r="J116" s="70">
        <v>19.7899983277443</v>
      </c>
      <c r="K116">
        <v>1</v>
      </c>
      <c r="L116" t="s">
        <v>75</v>
      </c>
    </row>
    <row r="117" spans="1:12">
      <c r="A117">
        <v>24</v>
      </c>
      <c r="B117">
        <v>11</v>
      </c>
      <c r="C117">
        <v>0</v>
      </c>
      <c r="E117">
        <v>10</v>
      </c>
      <c r="F117">
        <v>23</v>
      </c>
      <c r="G117" s="44">
        <v>41383.000011574077</v>
      </c>
      <c r="H117" s="47">
        <v>280.07</v>
      </c>
      <c r="I117" s="70">
        <v>55.793999999999997</v>
      </c>
      <c r="J117" s="70">
        <v>19.6799728639268</v>
      </c>
      <c r="K117">
        <v>1</v>
      </c>
      <c r="L117" t="s">
        <v>75</v>
      </c>
    </row>
    <row r="118" spans="1:12">
      <c r="A118">
        <v>25</v>
      </c>
      <c r="B118">
        <v>11</v>
      </c>
      <c r="C118">
        <v>1</v>
      </c>
      <c r="E118">
        <v>5</v>
      </c>
      <c r="F118" t="s">
        <v>75</v>
      </c>
      <c r="G118" s="44">
        <v>41439</v>
      </c>
      <c r="H118" s="47">
        <v>1838.3261259999999</v>
      </c>
      <c r="I118" s="70">
        <v>24.819400000000002</v>
      </c>
      <c r="J118" s="70">
        <v>18.949999952293499</v>
      </c>
      <c r="K118">
        <v>1</v>
      </c>
      <c r="L118" t="s">
        <v>75</v>
      </c>
    </row>
    <row r="119" spans="1:12">
      <c r="A119">
        <v>32</v>
      </c>
      <c r="B119">
        <v>12</v>
      </c>
      <c r="C119">
        <v>0</v>
      </c>
      <c r="E119" t="s">
        <v>75</v>
      </c>
      <c r="F119" t="s">
        <v>75</v>
      </c>
      <c r="G119" s="44">
        <v>41166.000011574077</v>
      </c>
      <c r="H119" s="47">
        <v>5006.5078999999996</v>
      </c>
      <c r="I119" s="70">
        <v>1.9974000000000001</v>
      </c>
      <c r="J119" s="70">
        <v>1.9974000000000001</v>
      </c>
      <c r="K119">
        <v>1</v>
      </c>
      <c r="L119" t="s">
        <v>75</v>
      </c>
    </row>
    <row r="120" spans="1:12">
      <c r="A120">
        <v>33</v>
      </c>
      <c r="B120">
        <v>12</v>
      </c>
      <c r="C120">
        <v>1</v>
      </c>
      <c r="E120">
        <v>13</v>
      </c>
      <c r="F120" t="s">
        <v>75</v>
      </c>
      <c r="G120" s="44">
        <v>41385</v>
      </c>
      <c r="H120" s="47">
        <v>5006.5078999999996</v>
      </c>
      <c r="I120" s="70">
        <v>1.9974000000000001</v>
      </c>
      <c r="J120" s="70">
        <v>2.0725623942389002</v>
      </c>
      <c r="K120">
        <v>1</v>
      </c>
      <c r="L120" t="s">
        <v>75</v>
      </c>
    </row>
    <row r="121" spans="1:12">
      <c r="A121">
        <v>34</v>
      </c>
      <c r="B121">
        <v>13</v>
      </c>
      <c r="C121">
        <v>0</v>
      </c>
      <c r="E121">
        <v>12</v>
      </c>
      <c r="F121">
        <v>33</v>
      </c>
      <c r="G121" s="44">
        <v>41385.000011574077</v>
      </c>
      <c r="H121" s="47">
        <v>394.85</v>
      </c>
      <c r="I121" s="70">
        <v>25.321000000000002</v>
      </c>
      <c r="J121" s="70">
        <v>26.279093326579702</v>
      </c>
      <c r="K121">
        <v>1</v>
      </c>
      <c r="L121" t="s">
        <v>75</v>
      </c>
    </row>
    <row r="122" spans="1:12">
      <c r="A122">
        <v>42</v>
      </c>
      <c r="B122">
        <v>13</v>
      </c>
      <c r="C122">
        <v>1</v>
      </c>
      <c r="E122" t="s">
        <v>75</v>
      </c>
      <c r="F122" t="s">
        <v>75</v>
      </c>
      <c r="G122" s="44">
        <v>41436.000011574077</v>
      </c>
      <c r="H122" s="47">
        <v>394.85</v>
      </c>
      <c r="I122" s="70">
        <v>25.321000000000002</v>
      </c>
      <c r="J122" s="70">
        <v>24.609000886412499</v>
      </c>
      <c r="K122">
        <v>1</v>
      </c>
      <c r="L122" t="s">
        <v>75</v>
      </c>
    </row>
    <row r="123" spans="1:12">
      <c r="A123">
        <v>35</v>
      </c>
      <c r="B123">
        <v>14</v>
      </c>
      <c r="C123">
        <v>0</v>
      </c>
      <c r="E123" t="s">
        <v>75</v>
      </c>
      <c r="F123" t="s">
        <v>75</v>
      </c>
      <c r="G123" s="44">
        <v>41201</v>
      </c>
      <c r="H123" s="47">
        <v>21.84</v>
      </c>
      <c r="I123" s="70">
        <v>549.56456043955995</v>
      </c>
      <c r="J123" s="70">
        <v>549.56456043955995</v>
      </c>
      <c r="K123">
        <v>1</v>
      </c>
      <c r="L123" t="s">
        <v>75</v>
      </c>
    </row>
    <row r="124" spans="1:12">
      <c r="A124">
        <v>36</v>
      </c>
      <c r="B124">
        <v>14</v>
      </c>
      <c r="C124">
        <v>1</v>
      </c>
      <c r="E124" t="s">
        <v>75</v>
      </c>
      <c r="F124" t="s">
        <v>75</v>
      </c>
      <c r="G124" s="44">
        <v>41436</v>
      </c>
      <c r="H124" s="47">
        <v>21.84</v>
      </c>
      <c r="I124" s="70">
        <v>549.56460000000004</v>
      </c>
      <c r="J124" s="70">
        <v>547.44001831501805</v>
      </c>
      <c r="K124">
        <v>1</v>
      </c>
      <c r="L124" t="s">
        <v>75</v>
      </c>
    </row>
    <row r="125" spans="1:12">
      <c r="A125">
        <v>98</v>
      </c>
      <c r="B125">
        <v>15</v>
      </c>
      <c r="C125">
        <v>0</v>
      </c>
      <c r="E125" t="s">
        <v>75</v>
      </c>
      <c r="F125" t="s">
        <v>75</v>
      </c>
      <c r="G125" s="44">
        <v>42219.795451388891</v>
      </c>
      <c r="H125" s="47">
        <v>112.246</v>
      </c>
      <c r="I125" s="70">
        <v>8.9090034388753203</v>
      </c>
      <c r="J125" s="70">
        <v>8.9090034388753203</v>
      </c>
      <c r="K125">
        <v>1</v>
      </c>
      <c r="L125" t="s">
        <v>75</v>
      </c>
    </row>
    <row r="126" spans="1:12">
      <c r="A126">
        <v>122</v>
      </c>
      <c r="B126">
        <v>15</v>
      </c>
      <c r="C126">
        <v>0</v>
      </c>
      <c r="E126" t="s">
        <v>75</v>
      </c>
      <c r="F126" t="s">
        <v>75</v>
      </c>
      <c r="G126" s="44">
        <v>42635.715057870373</v>
      </c>
      <c r="H126" s="47">
        <v>5585.1589999999997</v>
      </c>
      <c r="I126" s="70">
        <v>8.952</v>
      </c>
      <c r="J126" s="70">
        <v>8.952</v>
      </c>
      <c r="K126">
        <v>1</v>
      </c>
      <c r="L126">
        <v>0</v>
      </c>
    </row>
    <row r="127" spans="1:12">
      <c r="A127">
        <v>101</v>
      </c>
      <c r="B127">
        <v>16</v>
      </c>
      <c r="C127">
        <v>0</v>
      </c>
      <c r="E127">
        <v>1</v>
      </c>
      <c r="F127">
        <v>100</v>
      </c>
      <c r="G127" s="44">
        <v>42279.463807870372</v>
      </c>
      <c r="H127" s="47">
        <v>160.75280000000001</v>
      </c>
      <c r="I127" s="70">
        <v>280.14400000000001</v>
      </c>
      <c r="J127" s="70">
        <v>323.52997894904399</v>
      </c>
      <c r="K127">
        <v>1</v>
      </c>
      <c r="L127" t="s">
        <v>75</v>
      </c>
    </row>
    <row r="128" spans="1:12">
      <c r="A128">
        <v>105</v>
      </c>
      <c r="B128">
        <v>17</v>
      </c>
      <c r="C128">
        <v>0</v>
      </c>
      <c r="E128" t="s">
        <v>75</v>
      </c>
      <c r="F128" t="s">
        <v>75</v>
      </c>
      <c r="G128" s="44">
        <v>42325.618148148147</v>
      </c>
      <c r="H128" s="47">
        <v>15</v>
      </c>
      <c r="I128" s="70">
        <v>63.64</v>
      </c>
      <c r="J128" s="70">
        <v>63.64</v>
      </c>
      <c r="K128">
        <v>0.94337800000000005</v>
      </c>
      <c r="L128">
        <v>14.95</v>
      </c>
    </row>
    <row r="129" spans="1:12">
      <c r="A129">
        <v>125</v>
      </c>
      <c r="B129">
        <v>17</v>
      </c>
      <c r="C129">
        <v>1</v>
      </c>
      <c r="E129" t="s">
        <v>75</v>
      </c>
      <c r="F129" t="s">
        <v>75</v>
      </c>
      <c r="G129" s="44">
        <v>42731.461006944446</v>
      </c>
      <c r="H129" s="47">
        <v>15</v>
      </c>
      <c r="I129" s="70">
        <v>63.64</v>
      </c>
      <c r="J129" s="70">
        <v>40.207000000000001</v>
      </c>
      <c r="K129">
        <v>0.95143500000000003</v>
      </c>
      <c r="L129">
        <v>14.95</v>
      </c>
    </row>
    <row r="130" spans="1:12">
      <c r="A130">
        <v>109</v>
      </c>
      <c r="B130">
        <v>18</v>
      </c>
      <c r="C130">
        <v>0</v>
      </c>
      <c r="E130" t="s">
        <v>75</v>
      </c>
      <c r="F130" t="s">
        <v>75</v>
      </c>
      <c r="G130" s="44">
        <v>42394.669849537036</v>
      </c>
      <c r="H130" s="47">
        <v>235</v>
      </c>
      <c r="I130" s="70">
        <v>170</v>
      </c>
      <c r="J130" s="70">
        <v>170</v>
      </c>
      <c r="K130">
        <v>1</v>
      </c>
      <c r="L130">
        <v>79.900000000000006</v>
      </c>
    </row>
    <row r="131" spans="1:12">
      <c r="A131">
        <v>110</v>
      </c>
      <c r="B131">
        <v>18</v>
      </c>
      <c r="C131">
        <v>0</v>
      </c>
      <c r="E131" t="s">
        <v>75</v>
      </c>
      <c r="F131" t="s">
        <v>75</v>
      </c>
      <c r="G131" s="44">
        <v>42394.669861111113</v>
      </c>
      <c r="H131" s="47">
        <v>55</v>
      </c>
      <c r="I131" s="70">
        <v>169.97</v>
      </c>
      <c r="J131" s="70">
        <v>169.97</v>
      </c>
      <c r="K131">
        <v>1</v>
      </c>
      <c r="L131">
        <v>14.95</v>
      </c>
    </row>
    <row r="132" spans="1:12">
      <c r="A132">
        <v>111</v>
      </c>
      <c r="B132">
        <v>18</v>
      </c>
      <c r="C132">
        <v>1</v>
      </c>
      <c r="E132" t="s">
        <v>75</v>
      </c>
      <c r="F132" t="s">
        <v>75</v>
      </c>
      <c r="G132" s="44">
        <v>42544.806469907409</v>
      </c>
      <c r="H132" s="47">
        <v>290</v>
      </c>
      <c r="I132" s="70">
        <v>169.99430000000001</v>
      </c>
      <c r="J132" s="70">
        <v>181.5</v>
      </c>
      <c r="K132">
        <v>1</v>
      </c>
      <c r="L132">
        <v>105.27</v>
      </c>
    </row>
    <row r="133" spans="1:12">
      <c r="A133">
        <v>108</v>
      </c>
      <c r="B133">
        <v>19</v>
      </c>
      <c r="C133">
        <v>0</v>
      </c>
      <c r="E133" t="s">
        <v>75</v>
      </c>
      <c r="F133" t="s">
        <v>75</v>
      </c>
      <c r="G133" s="44">
        <v>42387.492534722223</v>
      </c>
      <c r="H133" s="47">
        <v>0.53749999999999998</v>
      </c>
      <c r="I133" s="70">
        <v>1860.4651162790699</v>
      </c>
      <c r="J133" s="70">
        <v>1860.4651162790699</v>
      </c>
      <c r="K133">
        <v>1</v>
      </c>
      <c r="L133" t="s">
        <v>75</v>
      </c>
    </row>
    <row r="134" spans="1:12">
      <c r="A134">
        <v>123</v>
      </c>
      <c r="B134">
        <v>23</v>
      </c>
      <c r="C134">
        <v>0</v>
      </c>
      <c r="E134" t="s">
        <v>75</v>
      </c>
      <c r="F134" t="s">
        <v>75</v>
      </c>
      <c r="G134" s="44">
        <v>42642.772696759261</v>
      </c>
      <c r="H134" s="47">
        <v>175</v>
      </c>
      <c r="I134" s="70">
        <v>33.215000000000003</v>
      </c>
      <c r="J134" s="70">
        <v>33.215000000000003</v>
      </c>
      <c r="K134">
        <v>1</v>
      </c>
      <c r="L134">
        <v>12.41</v>
      </c>
    </row>
    <row r="135" spans="1:12">
      <c r="A135">
        <v>134</v>
      </c>
      <c r="B135">
        <v>23</v>
      </c>
      <c r="C135">
        <v>2</v>
      </c>
      <c r="E135" t="s">
        <v>75</v>
      </c>
      <c r="F135" t="s">
        <v>75</v>
      </c>
      <c r="G135" s="44">
        <v>42676.715624999997</v>
      </c>
      <c r="H135" s="47">
        <v>0</v>
      </c>
      <c r="I135" s="70" t="s">
        <v>75</v>
      </c>
      <c r="J135" s="70">
        <v>52.5</v>
      </c>
      <c r="K135">
        <v>1</v>
      </c>
      <c r="L135">
        <v>0</v>
      </c>
    </row>
    <row r="136" spans="1:12">
      <c r="A136">
        <v>131</v>
      </c>
      <c r="B136">
        <v>23</v>
      </c>
      <c r="C136">
        <v>0</v>
      </c>
      <c r="E136" t="s">
        <v>75</v>
      </c>
      <c r="F136" t="s">
        <v>75</v>
      </c>
      <c r="G136" s="44">
        <v>42752.496111111112</v>
      </c>
      <c r="H136" s="47">
        <v>200</v>
      </c>
      <c r="I136" s="70">
        <v>31.45</v>
      </c>
      <c r="J136" s="70">
        <v>31.45</v>
      </c>
      <c r="K136">
        <v>1</v>
      </c>
      <c r="L136">
        <v>14.57</v>
      </c>
    </row>
    <row r="137" spans="1:12">
      <c r="A137">
        <v>140</v>
      </c>
      <c r="B137">
        <v>23</v>
      </c>
      <c r="C137">
        <v>1</v>
      </c>
      <c r="E137" t="s">
        <v>75</v>
      </c>
      <c r="F137" t="s">
        <v>75</v>
      </c>
      <c r="G137" s="44">
        <v>42835.43141203704</v>
      </c>
      <c r="H137" s="47">
        <v>375</v>
      </c>
      <c r="I137" s="70">
        <v>32.460299999999997</v>
      </c>
      <c r="J137" s="70">
        <v>33.799999999999997</v>
      </c>
      <c r="K137">
        <v>1</v>
      </c>
      <c r="L137">
        <v>15.34</v>
      </c>
    </row>
    <row r="138" spans="1:12">
      <c r="A138">
        <v>137</v>
      </c>
      <c r="B138">
        <v>24</v>
      </c>
      <c r="C138">
        <v>0</v>
      </c>
      <c r="E138" t="s">
        <v>75</v>
      </c>
      <c r="F138" t="s">
        <v>75</v>
      </c>
      <c r="G138" s="44">
        <v>42814.418206018519</v>
      </c>
      <c r="H138" s="47">
        <v>25</v>
      </c>
      <c r="I138" s="70">
        <v>37.17</v>
      </c>
      <c r="J138" s="70">
        <v>37.17</v>
      </c>
      <c r="K138">
        <v>0.93563399999999997</v>
      </c>
      <c r="L138">
        <v>14.95</v>
      </c>
    </row>
    <row r="139" spans="1:12">
      <c r="A139">
        <v>145</v>
      </c>
      <c r="B139">
        <v>24</v>
      </c>
      <c r="C139">
        <v>1</v>
      </c>
      <c r="E139" t="s">
        <v>75</v>
      </c>
      <c r="F139" t="s">
        <v>75</v>
      </c>
      <c r="G139" s="44">
        <v>42881.460057870368</v>
      </c>
      <c r="H139" s="47">
        <v>25</v>
      </c>
      <c r="I139" s="70">
        <v>37.17</v>
      </c>
      <c r="J139" s="70">
        <v>37.202488000000002</v>
      </c>
      <c r="K139">
        <v>0.89321700000000004</v>
      </c>
      <c r="L139">
        <v>14.98</v>
      </c>
    </row>
    <row r="140" spans="1:12">
      <c r="A140">
        <v>136</v>
      </c>
      <c r="B140">
        <v>25</v>
      </c>
      <c r="C140">
        <v>0</v>
      </c>
      <c r="E140" t="s">
        <v>75</v>
      </c>
      <c r="F140" t="s">
        <v>75</v>
      </c>
      <c r="G140" s="44">
        <v>42814.417696759258</v>
      </c>
      <c r="H140" s="47">
        <v>5</v>
      </c>
      <c r="I140" s="70">
        <v>204.52</v>
      </c>
      <c r="J140" s="70">
        <v>204.52</v>
      </c>
      <c r="K140">
        <v>0.93563399999999997</v>
      </c>
      <c r="L140">
        <v>14.95</v>
      </c>
    </row>
    <row r="141" spans="1:12">
      <c r="A141">
        <v>146</v>
      </c>
      <c r="B141">
        <v>25</v>
      </c>
      <c r="C141">
        <v>1</v>
      </c>
      <c r="E141" t="s">
        <v>75</v>
      </c>
      <c r="F141" t="s">
        <v>75</v>
      </c>
      <c r="G141" s="44">
        <v>42881.463125000002</v>
      </c>
      <c r="H141" s="47">
        <v>5</v>
      </c>
      <c r="I141" s="70">
        <v>204.52</v>
      </c>
      <c r="J141" s="70">
        <v>198.079802</v>
      </c>
      <c r="K141">
        <v>0.89321700000000004</v>
      </c>
      <c r="L141">
        <v>14.98</v>
      </c>
    </row>
    <row r="142" spans="1:12">
      <c r="A142" t="s">
        <v>75</v>
      </c>
      <c r="B142" t="s">
        <v>75</v>
      </c>
      <c r="C142" t="s">
        <v>75</v>
      </c>
      <c r="E142" t="s">
        <v>75</v>
      </c>
      <c r="F142" t="s">
        <v>75</v>
      </c>
      <c r="G142" t="s">
        <v>75</v>
      </c>
      <c r="H142" s="47" t="s">
        <v>75</v>
      </c>
      <c r="I142" s="70" t="s">
        <v>75</v>
      </c>
      <c r="J142" s="70" t="s">
        <v>75</v>
      </c>
      <c r="K142" t="s">
        <v>75</v>
      </c>
      <c r="L142" t="s">
        <v>75</v>
      </c>
    </row>
  </sheetData>
  <sortState ref="A96:N110">
    <sortCondition ref="G96:G110"/>
  </sortState>
  <mergeCells count="1">
    <mergeCell ref="M1:N1"/>
  </mergeCells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2:C521"/>
  <sheetViews>
    <sheetView topLeftCell="A492" workbookViewId="0">
      <selection activeCell="A521" sqref="A521:B521"/>
    </sheetView>
  </sheetViews>
  <sheetFormatPr defaultRowHeight="14.4"/>
  <cols>
    <col min="1" max="1" width="61.109375" customWidth="1"/>
    <col min="2" max="2" width="13.6640625" style="49" customWidth="1"/>
  </cols>
  <sheetData>
    <row r="2" spans="1:2">
      <c r="A2" t="s">
        <v>143</v>
      </c>
      <c r="B2" s="49">
        <v>-145.472377999977</v>
      </c>
    </row>
    <row r="3" spans="1:2">
      <c r="A3" t="s">
        <v>144</v>
      </c>
      <c r="B3" s="49">
        <v>-17.670000000000002</v>
      </c>
    </row>
    <row r="4" spans="1:2">
      <c r="A4" t="s">
        <v>145</v>
      </c>
      <c r="B4" s="49">
        <v>1080.5873194999999</v>
      </c>
    </row>
    <row r="5" spans="1:2">
      <c r="A5" t="s">
        <v>146</v>
      </c>
      <c r="B5" s="49">
        <v>-903.11579799999902</v>
      </c>
    </row>
    <row r="6" spans="1:2">
      <c r="A6" t="s">
        <v>147</v>
      </c>
      <c r="B6" s="49">
        <v>18403.211800000001</v>
      </c>
    </row>
    <row r="7" spans="1:2">
      <c r="A7" t="s">
        <v>148</v>
      </c>
      <c r="B7" s="49">
        <v>4787.8327295999998</v>
      </c>
    </row>
    <row r="8" spans="1:2">
      <c r="A8" t="s">
        <v>128</v>
      </c>
      <c r="B8" s="49">
        <v>-10114.540000000001</v>
      </c>
    </row>
    <row r="9" spans="1:2">
      <c r="A9" t="s">
        <v>129</v>
      </c>
      <c r="B9" s="49">
        <v>-675.48000000000297</v>
      </c>
    </row>
    <row r="10" spans="1:2">
      <c r="A10" t="s">
        <v>130</v>
      </c>
      <c r="B10" s="49">
        <v>376.30112054</v>
      </c>
    </row>
    <row r="11" spans="1:2">
      <c r="A11" t="s">
        <v>131</v>
      </c>
      <c r="B11" s="49">
        <v>-659.43600000000004</v>
      </c>
    </row>
    <row r="12" spans="1:2">
      <c r="A12" t="s">
        <v>132</v>
      </c>
      <c r="B12" s="49">
        <v>-46.400000000001498</v>
      </c>
    </row>
    <row r="13" spans="1:2">
      <c r="A13" t="s">
        <v>133</v>
      </c>
      <c r="B13" s="49">
        <v>4580.4121475000102</v>
      </c>
    </row>
    <row r="14" spans="1:2">
      <c r="A14" t="s">
        <v>134</v>
      </c>
      <c r="B14" s="49">
        <v>13781.340928</v>
      </c>
    </row>
    <row r="15" spans="1:2">
      <c r="A15" t="s">
        <v>135</v>
      </c>
      <c r="B15" s="49">
        <v>28.546239999999901</v>
      </c>
    </row>
    <row r="16" spans="1:2">
      <c r="A16" t="s">
        <v>149</v>
      </c>
      <c r="B16" s="49">
        <v>1566.88400000001</v>
      </c>
    </row>
    <row r="17" spans="1:2">
      <c r="A17" t="s">
        <v>150</v>
      </c>
      <c r="B17" s="49">
        <v>2430.5749999999998</v>
      </c>
    </row>
    <row r="18" spans="1:2">
      <c r="A18" t="s">
        <v>151</v>
      </c>
      <c r="B18" s="49">
        <v>29468.21</v>
      </c>
    </row>
    <row r="19" spans="1:2">
      <c r="A19" t="s">
        <v>136</v>
      </c>
      <c r="B19" s="49">
        <v>0</v>
      </c>
    </row>
    <row r="20" spans="1:2">
      <c r="A20" t="s">
        <v>137</v>
      </c>
      <c r="B20" s="49">
        <v>582.55499999999802</v>
      </c>
    </row>
    <row r="21" spans="1:2">
      <c r="A21" t="s">
        <v>138</v>
      </c>
      <c r="B21" s="49">
        <v>-381.39499999999998</v>
      </c>
    </row>
    <row r="22" spans="1:2">
      <c r="A22" t="s">
        <v>139</v>
      </c>
      <c r="B22" s="49">
        <v>-29.1177999999999</v>
      </c>
    </row>
    <row r="23" spans="1:2">
      <c r="A23" t="s">
        <v>140</v>
      </c>
      <c r="B23" s="49">
        <v>-62.130989999999997</v>
      </c>
    </row>
    <row r="24" spans="1:2">
      <c r="A24" t="s">
        <v>141</v>
      </c>
      <c r="B24" s="49">
        <v>3136.53</v>
      </c>
    </row>
    <row r="25" spans="1:2">
      <c r="B25" s="99">
        <f>SUM(B2:B24)</f>
        <v>67188.228319140035</v>
      </c>
    </row>
    <row r="28" spans="1:2">
      <c r="A28" s="10" t="s">
        <v>154</v>
      </c>
    </row>
    <row r="29" spans="1:2">
      <c r="A29" t="s">
        <v>143</v>
      </c>
      <c r="B29" s="49">
        <v>0</v>
      </c>
    </row>
    <row r="30" spans="1:2">
      <c r="A30" t="s">
        <v>144</v>
      </c>
      <c r="B30" s="49">
        <v>0</v>
      </c>
    </row>
    <row r="31" spans="1:2">
      <c r="A31" t="s">
        <v>145</v>
      </c>
      <c r="B31" s="49">
        <v>1089.3804588</v>
      </c>
    </row>
    <row r="32" spans="1:2">
      <c r="A32" t="s">
        <v>146</v>
      </c>
      <c r="B32" s="49">
        <v>-931.94399999999905</v>
      </c>
    </row>
    <row r="33" spans="1:2">
      <c r="A33" t="s">
        <v>147</v>
      </c>
      <c r="B33" s="49">
        <v>0</v>
      </c>
    </row>
    <row r="34" spans="1:2">
      <c r="A34" t="s">
        <v>148</v>
      </c>
      <c r="B34" s="49">
        <v>0</v>
      </c>
    </row>
    <row r="35" spans="1:2">
      <c r="A35" t="s">
        <v>128</v>
      </c>
      <c r="B35" s="49">
        <v>0</v>
      </c>
    </row>
    <row r="36" spans="1:2">
      <c r="A36" t="s">
        <v>129</v>
      </c>
      <c r="B36" s="49">
        <v>0</v>
      </c>
    </row>
    <row r="37" spans="1:2">
      <c r="A37" t="s">
        <v>130</v>
      </c>
      <c r="B37" s="49">
        <v>0</v>
      </c>
    </row>
    <row r="38" spans="1:2">
      <c r="A38" t="s">
        <v>131</v>
      </c>
      <c r="B38" s="49">
        <v>-281.13285000000201</v>
      </c>
    </row>
    <row r="39" spans="1:2">
      <c r="A39" t="s">
        <v>132</v>
      </c>
      <c r="B39" s="49">
        <v>-46.400864000001697</v>
      </c>
    </row>
    <row r="40" spans="1:2">
      <c r="A40" t="s">
        <v>133</v>
      </c>
      <c r="B40" s="49">
        <v>0</v>
      </c>
    </row>
    <row r="41" spans="1:2">
      <c r="A41" t="s">
        <v>134</v>
      </c>
      <c r="B41" s="49">
        <v>0</v>
      </c>
    </row>
    <row r="42" spans="1:2">
      <c r="A42" t="s">
        <v>135</v>
      </c>
      <c r="B42" s="49">
        <v>0</v>
      </c>
    </row>
    <row r="43" spans="1:2">
      <c r="A43" t="s">
        <v>149</v>
      </c>
      <c r="B43" s="49">
        <v>1605.5627999999999</v>
      </c>
    </row>
    <row r="44" spans="1:2">
      <c r="A44" t="s">
        <v>150</v>
      </c>
      <c r="B44" s="49">
        <v>2430.7330999999999</v>
      </c>
    </row>
    <row r="45" spans="1:2">
      <c r="A45" t="s">
        <v>151</v>
      </c>
      <c r="B45" s="49">
        <v>29468.449400000001</v>
      </c>
    </row>
    <row r="46" spans="1:2">
      <c r="A46" t="s">
        <v>136</v>
      </c>
      <c r="B46" s="49">
        <v>0</v>
      </c>
    </row>
    <row r="47" spans="1:2">
      <c r="A47" t="s">
        <v>137</v>
      </c>
      <c r="B47" s="49">
        <v>512.5675</v>
      </c>
    </row>
    <row r="48" spans="1:2">
      <c r="A48" t="s">
        <v>138</v>
      </c>
      <c r="B48" s="49">
        <v>-381.39499999999998</v>
      </c>
    </row>
    <row r="49" spans="1:2">
      <c r="A49" t="s">
        <v>139</v>
      </c>
      <c r="B49" s="49">
        <v>-29.117799999999999</v>
      </c>
    </row>
    <row r="50" spans="1:2">
      <c r="A50" t="s">
        <v>140</v>
      </c>
      <c r="B50" s="49">
        <v>-62.130989999999997</v>
      </c>
    </row>
    <row r="51" spans="1:2">
      <c r="A51" t="s">
        <v>141</v>
      </c>
      <c r="B51" s="49">
        <v>3136.5329999999999</v>
      </c>
    </row>
    <row r="52" spans="1:2">
      <c r="B52" s="99">
        <f>SUM(B29:B51)</f>
        <v>36511.104754800006</v>
      </c>
    </row>
    <row r="55" spans="1:2">
      <c r="A55" s="10" t="s">
        <v>159</v>
      </c>
    </row>
    <row r="56" spans="1:2">
      <c r="A56" t="s">
        <v>143</v>
      </c>
      <c r="B56" s="49">
        <v>0</v>
      </c>
    </row>
    <row r="57" spans="1:2">
      <c r="A57" t="s">
        <v>144</v>
      </c>
      <c r="B57" s="49">
        <v>0</v>
      </c>
    </row>
    <row r="58" spans="1:2">
      <c r="A58" t="s">
        <v>145</v>
      </c>
      <c r="B58" s="49">
        <v>0</v>
      </c>
    </row>
    <row r="59" spans="1:2">
      <c r="A59" t="s">
        <v>146</v>
      </c>
      <c r="B59" s="49">
        <v>0</v>
      </c>
    </row>
    <row r="60" spans="1:2">
      <c r="A60" t="s">
        <v>147</v>
      </c>
      <c r="B60" s="49">
        <v>0</v>
      </c>
    </row>
    <row r="61" spans="1:2">
      <c r="A61" t="s">
        <v>148</v>
      </c>
      <c r="B61" s="49">
        <v>0</v>
      </c>
    </row>
    <row r="62" spans="1:2">
      <c r="A62" t="s">
        <v>128</v>
      </c>
      <c r="B62" s="49">
        <v>0</v>
      </c>
    </row>
    <row r="63" spans="1:2">
      <c r="A63" t="s">
        <v>129</v>
      </c>
      <c r="B63" s="49">
        <v>0</v>
      </c>
    </row>
    <row r="64" spans="1:2">
      <c r="A64" t="s">
        <v>130</v>
      </c>
      <c r="B64" s="49">
        <v>0</v>
      </c>
    </row>
    <row r="65" spans="1:3">
      <c r="A65" t="s">
        <v>131</v>
      </c>
      <c r="B65" s="49">
        <v>0</v>
      </c>
    </row>
    <row r="66" spans="1:3">
      <c r="A66" t="s">
        <v>132</v>
      </c>
      <c r="B66" s="49">
        <v>0</v>
      </c>
    </row>
    <row r="67" spans="1:3">
      <c r="A67" t="s">
        <v>133</v>
      </c>
      <c r="B67" s="49">
        <v>0</v>
      </c>
    </row>
    <row r="68" spans="1:3">
      <c r="A68" t="s">
        <v>134</v>
      </c>
      <c r="B68" s="49">
        <v>0</v>
      </c>
    </row>
    <row r="69" spans="1:3">
      <c r="A69" t="s">
        <v>135</v>
      </c>
      <c r="B69" s="49">
        <v>0</v>
      </c>
    </row>
    <row r="70" spans="1:3">
      <c r="A70" t="s">
        <v>149</v>
      </c>
      <c r="B70" s="49">
        <v>0</v>
      </c>
    </row>
    <row r="71" spans="1:3">
      <c r="A71" t="s">
        <v>150</v>
      </c>
      <c r="B71" s="49">
        <v>0</v>
      </c>
    </row>
    <row r="72" spans="1:3">
      <c r="A72" t="s">
        <v>151</v>
      </c>
      <c r="B72" s="49">
        <v>-2.5299999999999998</v>
      </c>
    </row>
    <row r="73" spans="1:3">
      <c r="A73" t="s">
        <v>136</v>
      </c>
      <c r="B73" s="49">
        <v>0</v>
      </c>
    </row>
    <row r="74" spans="1:3">
      <c r="A74" t="s">
        <v>137</v>
      </c>
      <c r="B74" s="49">
        <v>0</v>
      </c>
    </row>
    <row r="75" spans="1:3">
      <c r="A75" t="s">
        <v>138</v>
      </c>
      <c r="B75" s="49">
        <v>0</v>
      </c>
    </row>
    <row r="76" spans="1:3">
      <c r="A76" t="s">
        <v>139</v>
      </c>
      <c r="B76" s="49">
        <v>0</v>
      </c>
    </row>
    <row r="77" spans="1:3">
      <c r="A77" t="s">
        <v>140</v>
      </c>
      <c r="B77" s="49">
        <v>0</v>
      </c>
    </row>
    <row r="78" spans="1:3">
      <c r="A78" t="s">
        <v>141</v>
      </c>
      <c r="B78" s="49">
        <v>0</v>
      </c>
    </row>
    <row r="79" spans="1:3">
      <c r="A79" s="10" t="s">
        <v>26</v>
      </c>
      <c r="B79" s="99">
        <v>-2.5299999999999998</v>
      </c>
      <c r="C79" s="49"/>
    </row>
    <row r="80" spans="1:3">
      <c r="A80" s="10"/>
      <c r="B80" s="99"/>
    </row>
    <row r="81" spans="1:2">
      <c r="A81" s="10" t="s">
        <v>160</v>
      </c>
      <c r="B81" s="99"/>
    </row>
    <row r="82" spans="1:2">
      <c r="A82" t="s">
        <v>143</v>
      </c>
      <c r="B82" s="49">
        <v>0</v>
      </c>
    </row>
    <row r="83" spans="1:2">
      <c r="A83" t="s">
        <v>144</v>
      </c>
      <c r="B83" s="49">
        <v>0</v>
      </c>
    </row>
    <row r="84" spans="1:2">
      <c r="A84" t="s">
        <v>145</v>
      </c>
      <c r="B84" s="49">
        <v>0</v>
      </c>
    </row>
    <row r="85" spans="1:2">
      <c r="A85" t="s">
        <v>146</v>
      </c>
      <c r="B85" s="49">
        <v>0</v>
      </c>
    </row>
    <row r="86" spans="1:2">
      <c r="A86" t="s">
        <v>147</v>
      </c>
      <c r="B86" s="49">
        <v>0</v>
      </c>
    </row>
    <row r="87" spans="1:2">
      <c r="A87" t="s">
        <v>148</v>
      </c>
      <c r="B87" s="49">
        <v>0</v>
      </c>
    </row>
    <row r="88" spans="1:2">
      <c r="A88" t="s">
        <v>128</v>
      </c>
      <c r="B88" s="49">
        <v>0</v>
      </c>
    </row>
    <row r="89" spans="1:2">
      <c r="A89" t="s">
        <v>129</v>
      </c>
      <c r="B89" s="49">
        <v>0</v>
      </c>
    </row>
    <row r="90" spans="1:2">
      <c r="A90" t="s">
        <v>130</v>
      </c>
      <c r="B90" s="49">
        <v>0</v>
      </c>
    </row>
    <row r="91" spans="1:2">
      <c r="A91" t="s">
        <v>131</v>
      </c>
      <c r="B91" s="49">
        <v>0</v>
      </c>
    </row>
    <row r="92" spans="1:2">
      <c r="A92" t="s">
        <v>132</v>
      </c>
      <c r="B92" s="49">
        <v>0</v>
      </c>
    </row>
    <row r="93" spans="1:2">
      <c r="A93" t="s">
        <v>133</v>
      </c>
      <c r="B93" s="49">
        <v>0</v>
      </c>
    </row>
    <row r="94" spans="1:2">
      <c r="A94" t="s">
        <v>134</v>
      </c>
      <c r="B94" s="49">
        <v>0</v>
      </c>
    </row>
    <row r="95" spans="1:2">
      <c r="A95" t="s">
        <v>135</v>
      </c>
      <c r="B95" s="49">
        <v>0</v>
      </c>
    </row>
    <row r="96" spans="1:2">
      <c r="A96" t="s">
        <v>149</v>
      </c>
      <c r="B96" s="49">
        <v>0</v>
      </c>
    </row>
    <row r="97" spans="1:2">
      <c r="A97" t="s">
        <v>150</v>
      </c>
      <c r="B97" s="49">
        <v>0</v>
      </c>
    </row>
    <row r="98" spans="1:2">
      <c r="A98" t="s">
        <v>151</v>
      </c>
      <c r="B98" s="49">
        <v>-985.94</v>
      </c>
    </row>
    <row r="99" spans="1:2">
      <c r="A99" t="s">
        <v>136</v>
      </c>
      <c r="B99" s="49">
        <v>0</v>
      </c>
    </row>
    <row r="100" spans="1:2">
      <c r="A100" t="s">
        <v>137</v>
      </c>
      <c r="B100" s="49">
        <v>0</v>
      </c>
    </row>
    <row r="101" spans="1:2">
      <c r="A101" t="s">
        <v>138</v>
      </c>
      <c r="B101" s="49">
        <v>0</v>
      </c>
    </row>
    <row r="102" spans="1:2">
      <c r="A102" t="s">
        <v>139</v>
      </c>
      <c r="B102" s="49">
        <v>0</v>
      </c>
    </row>
    <row r="103" spans="1:2">
      <c r="A103" t="s">
        <v>140</v>
      </c>
      <c r="B103" s="49">
        <v>0</v>
      </c>
    </row>
    <row r="104" spans="1:2">
      <c r="A104" t="s">
        <v>141</v>
      </c>
      <c r="B104" s="49">
        <v>0</v>
      </c>
    </row>
    <row r="105" spans="1:2">
      <c r="A105" s="10" t="s">
        <v>26</v>
      </c>
      <c r="B105" s="99">
        <v>-985.94</v>
      </c>
    </row>
    <row r="106" spans="1:2">
      <c r="A106" s="10"/>
      <c r="B106" s="99"/>
    </row>
    <row r="107" spans="1:2">
      <c r="A107" s="10" t="s">
        <v>161</v>
      </c>
      <c r="B107" s="99"/>
    </row>
    <row r="108" spans="1:2">
      <c r="A108" t="s">
        <v>143</v>
      </c>
      <c r="B108" s="49">
        <v>0</v>
      </c>
    </row>
    <row r="109" spans="1:2">
      <c r="A109" t="s">
        <v>144</v>
      </c>
      <c r="B109" s="49">
        <v>0</v>
      </c>
    </row>
    <row r="110" spans="1:2">
      <c r="A110" t="s">
        <v>145</v>
      </c>
      <c r="B110" s="49">
        <v>0</v>
      </c>
    </row>
    <row r="111" spans="1:2">
      <c r="A111" t="s">
        <v>146</v>
      </c>
      <c r="B111" s="49">
        <v>0</v>
      </c>
    </row>
    <row r="112" spans="1:2">
      <c r="A112" t="s">
        <v>147</v>
      </c>
      <c r="B112" s="49">
        <v>0</v>
      </c>
    </row>
    <row r="113" spans="1:2">
      <c r="A113" t="s">
        <v>148</v>
      </c>
      <c r="B113" s="49">
        <v>0</v>
      </c>
    </row>
    <row r="114" spans="1:2">
      <c r="A114" t="s">
        <v>128</v>
      </c>
      <c r="B114" s="49">
        <v>0</v>
      </c>
    </row>
    <row r="115" spans="1:2">
      <c r="A115" t="s">
        <v>129</v>
      </c>
      <c r="B115" s="49">
        <v>0</v>
      </c>
    </row>
    <row r="116" spans="1:2">
      <c r="A116" t="s">
        <v>130</v>
      </c>
      <c r="B116" s="49">
        <v>0</v>
      </c>
    </row>
    <row r="117" spans="1:2">
      <c r="A117" t="s">
        <v>131</v>
      </c>
      <c r="B117" s="49">
        <v>0</v>
      </c>
    </row>
    <row r="118" spans="1:2">
      <c r="A118" t="s">
        <v>132</v>
      </c>
      <c r="B118" s="49">
        <v>0</v>
      </c>
    </row>
    <row r="119" spans="1:2">
      <c r="A119" t="s">
        <v>133</v>
      </c>
      <c r="B119" s="49">
        <v>0</v>
      </c>
    </row>
    <row r="120" spans="1:2">
      <c r="A120" t="s">
        <v>134</v>
      </c>
      <c r="B120" s="49">
        <v>0</v>
      </c>
    </row>
    <row r="121" spans="1:2">
      <c r="A121" t="s">
        <v>135</v>
      </c>
      <c r="B121" s="49">
        <v>0</v>
      </c>
    </row>
    <row r="122" spans="1:2">
      <c r="A122" t="s">
        <v>149</v>
      </c>
      <c r="B122" s="49">
        <v>0</v>
      </c>
    </row>
    <row r="123" spans="1:2">
      <c r="A123" t="s">
        <v>150</v>
      </c>
      <c r="B123" s="49">
        <v>0</v>
      </c>
    </row>
    <row r="124" spans="1:2">
      <c r="A124" t="s">
        <v>151</v>
      </c>
      <c r="B124" s="49">
        <v>9.26</v>
      </c>
    </row>
    <row r="125" spans="1:2">
      <c r="A125" t="s">
        <v>136</v>
      </c>
      <c r="B125" s="49">
        <v>0</v>
      </c>
    </row>
    <row r="126" spans="1:2">
      <c r="A126" t="s">
        <v>137</v>
      </c>
      <c r="B126" s="49">
        <v>0</v>
      </c>
    </row>
    <row r="127" spans="1:2">
      <c r="A127" t="s">
        <v>138</v>
      </c>
      <c r="B127" s="49">
        <v>0</v>
      </c>
    </row>
    <row r="128" spans="1:2">
      <c r="A128" t="s">
        <v>139</v>
      </c>
      <c r="B128" s="49">
        <v>0</v>
      </c>
    </row>
    <row r="129" spans="1:2">
      <c r="A129" t="s">
        <v>140</v>
      </c>
      <c r="B129" s="49">
        <v>0</v>
      </c>
    </row>
    <row r="130" spans="1:2">
      <c r="A130" t="s">
        <v>141</v>
      </c>
      <c r="B130" s="49">
        <v>0</v>
      </c>
    </row>
    <row r="131" spans="1:2">
      <c r="A131" s="10" t="s">
        <v>26</v>
      </c>
      <c r="B131" s="99">
        <v>9.26</v>
      </c>
    </row>
    <row r="132" spans="1:2">
      <c r="A132" s="10"/>
      <c r="B132" s="99"/>
    </row>
    <row r="133" spans="1:2">
      <c r="A133" s="10" t="s">
        <v>162</v>
      </c>
      <c r="B133" s="99"/>
    </row>
    <row r="134" spans="1:2">
      <c r="A134" t="s">
        <v>143</v>
      </c>
      <c r="B134" s="49">
        <v>0</v>
      </c>
    </row>
    <row r="135" spans="1:2">
      <c r="A135" t="s">
        <v>144</v>
      </c>
      <c r="B135" s="49">
        <v>0</v>
      </c>
    </row>
    <row r="136" spans="1:2">
      <c r="A136" t="s">
        <v>145</v>
      </c>
      <c r="B136" s="49">
        <v>0</v>
      </c>
    </row>
    <row r="137" spans="1:2">
      <c r="A137" t="s">
        <v>146</v>
      </c>
      <c r="B137" s="49">
        <v>0</v>
      </c>
    </row>
    <row r="138" spans="1:2">
      <c r="A138" t="s">
        <v>147</v>
      </c>
      <c r="B138" s="49">
        <v>0</v>
      </c>
    </row>
    <row r="139" spans="1:2">
      <c r="A139" t="s">
        <v>148</v>
      </c>
      <c r="B139" s="49">
        <v>0</v>
      </c>
    </row>
    <row r="140" spans="1:2">
      <c r="A140" t="s">
        <v>128</v>
      </c>
      <c r="B140" s="49">
        <v>0</v>
      </c>
    </row>
    <row r="141" spans="1:2">
      <c r="A141" t="s">
        <v>129</v>
      </c>
      <c r="B141" s="49">
        <v>0</v>
      </c>
    </row>
    <row r="142" spans="1:2">
      <c r="A142" t="s">
        <v>130</v>
      </c>
      <c r="B142" s="49">
        <v>0</v>
      </c>
    </row>
    <row r="143" spans="1:2">
      <c r="A143" t="s">
        <v>131</v>
      </c>
      <c r="B143" s="49">
        <v>0</v>
      </c>
    </row>
    <row r="144" spans="1:2">
      <c r="A144" t="s">
        <v>132</v>
      </c>
      <c r="B144" s="49">
        <v>0</v>
      </c>
    </row>
    <row r="145" spans="1:2">
      <c r="A145" t="s">
        <v>133</v>
      </c>
      <c r="B145" s="49">
        <v>0</v>
      </c>
    </row>
    <row r="146" spans="1:2">
      <c r="A146" t="s">
        <v>134</v>
      </c>
      <c r="B146" s="49">
        <v>0</v>
      </c>
    </row>
    <row r="147" spans="1:2">
      <c r="A147" t="s">
        <v>135</v>
      </c>
      <c r="B147" s="49">
        <v>0</v>
      </c>
    </row>
    <row r="148" spans="1:2">
      <c r="A148" t="s">
        <v>149</v>
      </c>
      <c r="B148" s="49">
        <v>0</v>
      </c>
    </row>
    <row r="149" spans="1:2">
      <c r="A149" t="s">
        <v>150</v>
      </c>
      <c r="B149" s="49">
        <v>0</v>
      </c>
    </row>
    <row r="150" spans="1:2">
      <c r="A150" t="s">
        <v>151</v>
      </c>
      <c r="B150" s="49">
        <v>-13.42</v>
      </c>
    </row>
    <row r="151" spans="1:2">
      <c r="A151" t="s">
        <v>136</v>
      </c>
      <c r="B151" s="49">
        <v>0</v>
      </c>
    </row>
    <row r="152" spans="1:2">
      <c r="A152" t="s">
        <v>137</v>
      </c>
      <c r="B152" s="49">
        <v>0</v>
      </c>
    </row>
    <row r="153" spans="1:2">
      <c r="A153" t="s">
        <v>138</v>
      </c>
      <c r="B153" s="49">
        <v>0</v>
      </c>
    </row>
    <row r="154" spans="1:2">
      <c r="A154" t="s">
        <v>139</v>
      </c>
      <c r="B154" s="49">
        <v>0</v>
      </c>
    </row>
    <row r="155" spans="1:2">
      <c r="A155" t="s">
        <v>140</v>
      </c>
      <c r="B155" s="49">
        <v>0</v>
      </c>
    </row>
    <row r="156" spans="1:2">
      <c r="A156" t="s">
        <v>141</v>
      </c>
      <c r="B156" s="49">
        <v>0</v>
      </c>
    </row>
    <row r="157" spans="1:2">
      <c r="A157" s="10" t="s">
        <v>26</v>
      </c>
      <c r="B157" s="99">
        <v>-13.42</v>
      </c>
    </row>
    <row r="158" spans="1:2">
      <c r="A158" s="10"/>
      <c r="B158" s="99"/>
    </row>
    <row r="159" spans="1:2">
      <c r="A159" s="10" t="s">
        <v>163</v>
      </c>
      <c r="B159" s="99"/>
    </row>
    <row r="160" spans="1:2">
      <c r="A160" t="s">
        <v>143</v>
      </c>
      <c r="B160" s="49">
        <v>0</v>
      </c>
    </row>
    <row r="161" spans="1:2">
      <c r="A161" t="s">
        <v>144</v>
      </c>
      <c r="B161" s="49">
        <v>0</v>
      </c>
    </row>
    <row r="162" spans="1:2">
      <c r="A162" t="s">
        <v>145</v>
      </c>
      <c r="B162" s="49">
        <v>0</v>
      </c>
    </row>
    <row r="163" spans="1:2">
      <c r="A163" t="s">
        <v>146</v>
      </c>
      <c r="B163" s="49">
        <v>0</v>
      </c>
    </row>
    <row r="164" spans="1:2">
      <c r="A164" t="s">
        <v>147</v>
      </c>
      <c r="B164" s="49">
        <v>0</v>
      </c>
    </row>
    <row r="165" spans="1:2">
      <c r="A165" t="s">
        <v>148</v>
      </c>
      <c r="B165" s="49">
        <v>0</v>
      </c>
    </row>
    <row r="166" spans="1:2">
      <c r="A166" t="s">
        <v>128</v>
      </c>
      <c r="B166" s="49">
        <v>0</v>
      </c>
    </row>
    <row r="167" spans="1:2">
      <c r="A167" t="s">
        <v>129</v>
      </c>
      <c r="B167" s="49">
        <v>0</v>
      </c>
    </row>
    <row r="168" spans="1:2">
      <c r="A168" t="s">
        <v>130</v>
      </c>
      <c r="B168" s="49">
        <v>0</v>
      </c>
    </row>
    <row r="169" spans="1:2">
      <c r="A169" t="s">
        <v>131</v>
      </c>
      <c r="B169" s="49">
        <v>0</v>
      </c>
    </row>
    <row r="170" spans="1:2">
      <c r="A170" t="s">
        <v>132</v>
      </c>
      <c r="B170" s="49">
        <v>0</v>
      </c>
    </row>
    <row r="171" spans="1:2">
      <c r="A171" t="s">
        <v>133</v>
      </c>
      <c r="B171" s="49">
        <v>0</v>
      </c>
    </row>
    <row r="172" spans="1:2">
      <c r="A172" t="s">
        <v>134</v>
      </c>
      <c r="B172" s="49">
        <v>0</v>
      </c>
    </row>
    <row r="173" spans="1:2">
      <c r="A173" t="s">
        <v>135</v>
      </c>
      <c r="B173" s="49">
        <v>0</v>
      </c>
    </row>
    <row r="174" spans="1:2">
      <c r="A174" t="s">
        <v>149</v>
      </c>
      <c r="B174" s="49">
        <v>0</v>
      </c>
    </row>
    <row r="175" spans="1:2">
      <c r="A175" t="s">
        <v>150</v>
      </c>
      <c r="B175" s="49">
        <v>0</v>
      </c>
    </row>
    <row r="176" spans="1:2">
      <c r="A176" t="s">
        <v>151</v>
      </c>
      <c r="B176" s="49">
        <v>12.04</v>
      </c>
    </row>
    <row r="177" spans="1:2">
      <c r="A177" t="s">
        <v>136</v>
      </c>
      <c r="B177" s="49">
        <v>0</v>
      </c>
    </row>
    <row r="178" spans="1:2">
      <c r="A178" t="s">
        <v>137</v>
      </c>
      <c r="B178" s="49">
        <v>0</v>
      </c>
    </row>
    <row r="179" spans="1:2">
      <c r="A179" t="s">
        <v>138</v>
      </c>
      <c r="B179" s="49">
        <v>0</v>
      </c>
    </row>
    <row r="180" spans="1:2">
      <c r="A180" t="s">
        <v>139</v>
      </c>
      <c r="B180" s="49">
        <v>0</v>
      </c>
    </row>
    <row r="181" spans="1:2">
      <c r="A181" t="s">
        <v>140</v>
      </c>
      <c r="B181" s="49">
        <v>0</v>
      </c>
    </row>
    <row r="182" spans="1:2">
      <c r="A182" t="s">
        <v>141</v>
      </c>
      <c r="B182" s="49">
        <v>0</v>
      </c>
    </row>
    <row r="183" spans="1:2">
      <c r="A183" s="10" t="s">
        <v>26</v>
      </c>
      <c r="B183" s="99">
        <v>12.04</v>
      </c>
    </row>
    <row r="184" spans="1:2">
      <c r="A184" s="10"/>
      <c r="B184" s="99"/>
    </row>
    <row r="185" spans="1:2">
      <c r="A185" s="10" t="s">
        <v>164</v>
      </c>
      <c r="B185" s="99"/>
    </row>
    <row r="186" spans="1:2">
      <c r="A186" t="s">
        <v>143</v>
      </c>
      <c r="B186" s="49">
        <v>0</v>
      </c>
    </row>
    <row r="187" spans="1:2">
      <c r="A187" t="s">
        <v>144</v>
      </c>
      <c r="B187" s="49">
        <v>0</v>
      </c>
    </row>
    <row r="188" spans="1:2">
      <c r="A188" t="s">
        <v>145</v>
      </c>
      <c r="B188" s="49">
        <v>0</v>
      </c>
    </row>
    <row r="189" spans="1:2">
      <c r="A189" t="s">
        <v>146</v>
      </c>
      <c r="B189" s="49">
        <v>0</v>
      </c>
    </row>
    <row r="190" spans="1:2">
      <c r="A190" t="s">
        <v>147</v>
      </c>
      <c r="B190" s="49">
        <v>0</v>
      </c>
    </row>
    <row r="191" spans="1:2">
      <c r="A191" t="s">
        <v>148</v>
      </c>
      <c r="B191" s="49">
        <v>0</v>
      </c>
    </row>
    <row r="192" spans="1:2">
      <c r="A192" t="s">
        <v>128</v>
      </c>
      <c r="B192" s="49">
        <v>0</v>
      </c>
    </row>
    <row r="193" spans="1:2">
      <c r="A193" t="s">
        <v>129</v>
      </c>
      <c r="B193" s="49">
        <v>0</v>
      </c>
    </row>
    <row r="194" spans="1:2">
      <c r="A194" t="s">
        <v>130</v>
      </c>
      <c r="B194" s="49">
        <v>0</v>
      </c>
    </row>
    <row r="195" spans="1:2">
      <c r="A195" t="s">
        <v>131</v>
      </c>
      <c r="B195" s="49">
        <v>0</v>
      </c>
    </row>
    <row r="196" spans="1:2">
      <c r="A196" t="s">
        <v>132</v>
      </c>
      <c r="B196" s="49">
        <v>0</v>
      </c>
    </row>
    <row r="197" spans="1:2">
      <c r="A197" t="s">
        <v>133</v>
      </c>
      <c r="B197" s="49">
        <v>0</v>
      </c>
    </row>
    <row r="198" spans="1:2">
      <c r="A198" t="s">
        <v>134</v>
      </c>
      <c r="B198" s="49">
        <v>0</v>
      </c>
    </row>
    <row r="199" spans="1:2">
      <c r="A199" t="s">
        <v>135</v>
      </c>
      <c r="B199" s="49">
        <v>0</v>
      </c>
    </row>
    <row r="200" spans="1:2">
      <c r="A200" t="s">
        <v>149</v>
      </c>
      <c r="B200" s="49">
        <v>0</v>
      </c>
    </row>
    <row r="201" spans="1:2">
      <c r="A201" t="s">
        <v>150</v>
      </c>
      <c r="B201" s="49">
        <v>0</v>
      </c>
    </row>
    <row r="202" spans="1:2">
      <c r="A202" t="s">
        <v>151</v>
      </c>
      <c r="B202" s="49">
        <v>-196.46</v>
      </c>
    </row>
    <row r="203" spans="1:2">
      <c r="A203" t="s">
        <v>136</v>
      </c>
      <c r="B203" s="49">
        <v>0</v>
      </c>
    </row>
    <row r="204" spans="1:2">
      <c r="A204" t="s">
        <v>137</v>
      </c>
      <c r="B204" s="49">
        <v>0</v>
      </c>
    </row>
    <row r="205" spans="1:2">
      <c r="A205" t="s">
        <v>138</v>
      </c>
      <c r="B205" s="49">
        <v>0</v>
      </c>
    </row>
    <row r="206" spans="1:2">
      <c r="A206" t="s">
        <v>139</v>
      </c>
      <c r="B206" s="49">
        <v>0</v>
      </c>
    </row>
    <row r="207" spans="1:2">
      <c r="A207" t="s">
        <v>140</v>
      </c>
      <c r="B207" s="49">
        <v>0</v>
      </c>
    </row>
    <row r="208" spans="1:2">
      <c r="A208" t="s">
        <v>141</v>
      </c>
      <c r="B208" s="49">
        <v>0</v>
      </c>
    </row>
    <row r="209" spans="1:2">
      <c r="A209" s="10" t="s">
        <v>26</v>
      </c>
      <c r="B209" s="99">
        <v>-196.46</v>
      </c>
    </row>
    <row r="210" spans="1:2">
      <c r="A210" s="10"/>
      <c r="B210" s="99"/>
    </row>
    <row r="211" spans="1:2">
      <c r="A211" s="10" t="s">
        <v>165</v>
      </c>
      <c r="B211" s="99"/>
    </row>
    <row r="212" spans="1:2">
      <c r="A212" t="s">
        <v>143</v>
      </c>
      <c r="B212" s="49">
        <v>0</v>
      </c>
    </row>
    <row r="213" spans="1:2">
      <c r="A213" t="s">
        <v>144</v>
      </c>
      <c r="B213" s="49">
        <v>0</v>
      </c>
    </row>
    <row r="214" spans="1:2">
      <c r="A214" t="s">
        <v>145</v>
      </c>
      <c r="B214" s="49">
        <v>0</v>
      </c>
    </row>
    <row r="215" spans="1:2">
      <c r="A215" t="s">
        <v>146</v>
      </c>
      <c r="B215" s="49">
        <v>0</v>
      </c>
    </row>
    <row r="216" spans="1:2">
      <c r="A216" t="s">
        <v>147</v>
      </c>
      <c r="B216" s="49">
        <v>0</v>
      </c>
    </row>
    <row r="217" spans="1:2">
      <c r="A217" t="s">
        <v>148</v>
      </c>
      <c r="B217" s="49">
        <v>0</v>
      </c>
    </row>
    <row r="218" spans="1:2">
      <c r="A218" t="s">
        <v>128</v>
      </c>
      <c r="B218" s="49">
        <v>0</v>
      </c>
    </row>
    <row r="219" spans="1:2">
      <c r="A219" t="s">
        <v>129</v>
      </c>
      <c r="B219" s="49">
        <v>0</v>
      </c>
    </row>
    <row r="220" spans="1:2">
      <c r="A220" t="s">
        <v>130</v>
      </c>
      <c r="B220" s="49">
        <v>0</v>
      </c>
    </row>
    <row r="221" spans="1:2">
      <c r="A221" t="s">
        <v>131</v>
      </c>
      <c r="B221" s="49">
        <v>0</v>
      </c>
    </row>
    <row r="222" spans="1:2">
      <c r="A222" t="s">
        <v>132</v>
      </c>
      <c r="B222" s="49">
        <v>0</v>
      </c>
    </row>
    <row r="223" spans="1:2">
      <c r="A223" t="s">
        <v>133</v>
      </c>
      <c r="B223" s="49">
        <v>0</v>
      </c>
    </row>
    <row r="224" spans="1:2">
      <c r="A224" t="s">
        <v>134</v>
      </c>
      <c r="B224" s="49">
        <v>0</v>
      </c>
    </row>
    <row r="225" spans="1:2">
      <c r="A225" t="s">
        <v>135</v>
      </c>
      <c r="B225" s="49">
        <v>0</v>
      </c>
    </row>
    <row r="226" spans="1:2">
      <c r="A226" t="s">
        <v>149</v>
      </c>
      <c r="B226" s="49">
        <v>0</v>
      </c>
    </row>
    <row r="227" spans="1:2">
      <c r="A227" t="s">
        <v>150</v>
      </c>
      <c r="B227" s="49">
        <v>0</v>
      </c>
    </row>
    <row r="228" spans="1:2">
      <c r="A228" t="s">
        <v>151</v>
      </c>
      <c r="B228" s="49">
        <v>0</v>
      </c>
    </row>
    <row r="229" spans="1:2">
      <c r="A229" t="s">
        <v>136</v>
      </c>
      <c r="B229" s="49">
        <v>0</v>
      </c>
    </row>
    <row r="230" spans="1:2">
      <c r="A230" t="s">
        <v>137</v>
      </c>
      <c r="B230" s="49">
        <v>0</v>
      </c>
    </row>
    <row r="231" spans="1:2">
      <c r="A231" t="s">
        <v>138</v>
      </c>
      <c r="B231" s="49">
        <v>0</v>
      </c>
    </row>
    <row r="232" spans="1:2">
      <c r="A232" t="s">
        <v>139</v>
      </c>
      <c r="B232" s="49">
        <v>0</v>
      </c>
    </row>
    <row r="233" spans="1:2">
      <c r="A233" t="s">
        <v>140</v>
      </c>
      <c r="B233" s="49">
        <v>0</v>
      </c>
    </row>
    <row r="234" spans="1:2">
      <c r="A234" t="s">
        <v>141</v>
      </c>
      <c r="B234" s="49">
        <v>0</v>
      </c>
    </row>
    <row r="235" spans="1:2">
      <c r="A235" s="10" t="s">
        <v>26</v>
      </c>
      <c r="B235" s="99">
        <v>0</v>
      </c>
    </row>
    <row r="236" spans="1:2">
      <c r="A236" s="10"/>
      <c r="B236" s="99"/>
    </row>
    <row r="237" spans="1:2">
      <c r="A237" s="10" t="s">
        <v>166</v>
      </c>
      <c r="B237" s="99"/>
    </row>
    <row r="238" spans="1:2">
      <c r="A238" t="s">
        <v>143</v>
      </c>
      <c r="B238" s="49">
        <v>0</v>
      </c>
    </row>
    <row r="239" spans="1:2">
      <c r="A239" t="s">
        <v>144</v>
      </c>
      <c r="B239" s="49">
        <v>0</v>
      </c>
    </row>
    <row r="240" spans="1:2">
      <c r="A240" t="s">
        <v>145</v>
      </c>
      <c r="B240" s="49">
        <v>0</v>
      </c>
    </row>
    <row r="241" spans="1:2">
      <c r="A241" t="s">
        <v>146</v>
      </c>
      <c r="B241" s="49">
        <v>0</v>
      </c>
    </row>
    <row r="242" spans="1:2">
      <c r="A242" t="s">
        <v>147</v>
      </c>
      <c r="B242" s="49">
        <v>0</v>
      </c>
    </row>
    <row r="243" spans="1:2">
      <c r="A243" t="s">
        <v>148</v>
      </c>
      <c r="B243" s="49">
        <v>0</v>
      </c>
    </row>
    <row r="244" spans="1:2">
      <c r="A244" t="s">
        <v>128</v>
      </c>
      <c r="B244" s="49">
        <v>0</v>
      </c>
    </row>
    <row r="245" spans="1:2">
      <c r="A245" t="s">
        <v>129</v>
      </c>
      <c r="B245" s="49">
        <v>0</v>
      </c>
    </row>
    <row r="246" spans="1:2">
      <c r="A246" t="s">
        <v>130</v>
      </c>
      <c r="B246" s="49">
        <v>0</v>
      </c>
    </row>
    <row r="247" spans="1:2">
      <c r="A247" t="s">
        <v>131</v>
      </c>
      <c r="B247" s="49">
        <v>0</v>
      </c>
    </row>
    <row r="248" spans="1:2">
      <c r="A248" t="s">
        <v>132</v>
      </c>
      <c r="B248" s="49">
        <v>0</v>
      </c>
    </row>
    <row r="249" spans="1:2">
      <c r="A249" t="s">
        <v>133</v>
      </c>
      <c r="B249" s="49">
        <v>0</v>
      </c>
    </row>
    <row r="250" spans="1:2">
      <c r="A250" t="s">
        <v>134</v>
      </c>
      <c r="B250" s="49">
        <v>0</v>
      </c>
    </row>
    <row r="251" spans="1:2">
      <c r="A251" t="s">
        <v>135</v>
      </c>
      <c r="B251" s="49">
        <v>0</v>
      </c>
    </row>
    <row r="252" spans="1:2">
      <c r="A252" t="s">
        <v>149</v>
      </c>
      <c r="B252" s="49">
        <v>0</v>
      </c>
    </row>
    <row r="253" spans="1:2">
      <c r="A253" t="s">
        <v>150</v>
      </c>
      <c r="B253" s="49">
        <v>0</v>
      </c>
    </row>
    <row r="254" spans="1:2">
      <c r="A254" t="s">
        <v>151</v>
      </c>
      <c r="B254" s="49">
        <v>0</v>
      </c>
    </row>
    <row r="255" spans="1:2">
      <c r="A255" t="s">
        <v>136</v>
      </c>
      <c r="B255" s="49">
        <v>0</v>
      </c>
    </row>
    <row r="256" spans="1:2">
      <c r="A256" t="s">
        <v>137</v>
      </c>
      <c r="B256" s="49">
        <v>0</v>
      </c>
    </row>
    <row r="257" spans="1:2">
      <c r="A257" t="s">
        <v>138</v>
      </c>
      <c r="B257" s="49">
        <v>0</v>
      </c>
    </row>
    <row r="258" spans="1:2">
      <c r="A258" t="s">
        <v>139</v>
      </c>
      <c r="B258" s="49">
        <v>0</v>
      </c>
    </row>
    <row r="259" spans="1:2">
      <c r="A259" t="s">
        <v>140</v>
      </c>
      <c r="B259" s="49">
        <v>0</v>
      </c>
    </row>
    <row r="260" spans="1:2">
      <c r="A260" t="s">
        <v>141</v>
      </c>
      <c r="B260" s="49">
        <v>0</v>
      </c>
    </row>
    <row r="261" spans="1:2">
      <c r="A261" s="10" t="s">
        <v>26</v>
      </c>
      <c r="B261" s="99">
        <v>0</v>
      </c>
    </row>
    <row r="262" spans="1:2">
      <c r="A262" s="10"/>
      <c r="B262" s="99"/>
    </row>
    <row r="263" spans="1:2">
      <c r="A263" s="10" t="s">
        <v>167</v>
      </c>
      <c r="B263" s="99"/>
    </row>
    <row r="264" spans="1:2">
      <c r="A264" t="s">
        <v>143</v>
      </c>
      <c r="B264" s="49">
        <v>0</v>
      </c>
    </row>
    <row r="265" spans="1:2">
      <c r="A265" t="s">
        <v>144</v>
      </c>
      <c r="B265" s="49">
        <v>0</v>
      </c>
    </row>
    <row r="266" spans="1:2">
      <c r="A266" t="s">
        <v>145</v>
      </c>
      <c r="B266" s="49">
        <v>0</v>
      </c>
    </row>
    <row r="267" spans="1:2">
      <c r="A267" t="s">
        <v>146</v>
      </c>
      <c r="B267" s="49">
        <v>0</v>
      </c>
    </row>
    <row r="268" spans="1:2">
      <c r="A268" t="s">
        <v>147</v>
      </c>
      <c r="B268" s="49">
        <v>0</v>
      </c>
    </row>
    <row r="269" spans="1:2">
      <c r="A269" t="s">
        <v>148</v>
      </c>
      <c r="B269" s="49">
        <v>0</v>
      </c>
    </row>
    <row r="270" spans="1:2">
      <c r="A270" t="s">
        <v>128</v>
      </c>
      <c r="B270" s="49">
        <v>0</v>
      </c>
    </row>
    <row r="271" spans="1:2">
      <c r="A271" t="s">
        <v>129</v>
      </c>
      <c r="B271" s="49">
        <v>0</v>
      </c>
    </row>
    <row r="272" spans="1:2">
      <c r="A272" t="s">
        <v>130</v>
      </c>
      <c r="B272" s="49">
        <v>0</v>
      </c>
    </row>
    <row r="273" spans="1:2">
      <c r="A273" t="s">
        <v>131</v>
      </c>
      <c r="B273" s="49">
        <v>0</v>
      </c>
    </row>
    <row r="274" spans="1:2">
      <c r="A274" t="s">
        <v>132</v>
      </c>
      <c r="B274" s="49">
        <v>0</v>
      </c>
    </row>
    <row r="275" spans="1:2">
      <c r="A275" t="s">
        <v>133</v>
      </c>
      <c r="B275" s="49">
        <v>0</v>
      </c>
    </row>
    <row r="276" spans="1:2">
      <c r="A276" t="s">
        <v>134</v>
      </c>
      <c r="B276" s="49">
        <v>0</v>
      </c>
    </row>
    <row r="277" spans="1:2">
      <c r="A277" t="s">
        <v>135</v>
      </c>
      <c r="B277" s="49">
        <v>0</v>
      </c>
    </row>
    <row r="278" spans="1:2">
      <c r="A278" t="s">
        <v>149</v>
      </c>
      <c r="B278" s="49">
        <v>0</v>
      </c>
    </row>
    <row r="279" spans="1:2">
      <c r="A279" t="s">
        <v>150</v>
      </c>
      <c r="B279" s="49">
        <v>0</v>
      </c>
    </row>
    <row r="280" spans="1:2">
      <c r="A280" t="s">
        <v>151</v>
      </c>
      <c r="B280" s="49">
        <v>0</v>
      </c>
    </row>
    <row r="281" spans="1:2">
      <c r="A281" t="s">
        <v>136</v>
      </c>
      <c r="B281" s="49">
        <v>0</v>
      </c>
    </row>
    <row r="282" spans="1:2">
      <c r="A282" t="s">
        <v>137</v>
      </c>
      <c r="B282" s="49">
        <v>0</v>
      </c>
    </row>
    <row r="283" spans="1:2">
      <c r="A283" t="s">
        <v>138</v>
      </c>
      <c r="B283" s="49">
        <v>0</v>
      </c>
    </row>
    <row r="284" spans="1:2">
      <c r="A284" t="s">
        <v>139</v>
      </c>
      <c r="B284" s="49">
        <v>0</v>
      </c>
    </row>
    <row r="285" spans="1:2">
      <c r="A285" t="s">
        <v>140</v>
      </c>
      <c r="B285" s="49">
        <v>0</v>
      </c>
    </row>
    <row r="286" spans="1:2">
      <c r="A286" t="s">
        <v>141</v>
      </c>
      <c r="B286" s="49">
        <v>0</v>
      </c>
    </row>
    <row r="287" spans="1:2">
      <c r="A287" s="10" t="s">
        <v>26</v>
      </c>
      <c r="B287" s="99">
        <v>0</v>
      </c>
    </row>
    <row r="288" spans="1:2">
      <c r="A288" s="10"/>
      <c r="B288" s="99"/>
    </row>
    <row r="289" spans="1:2">
      <c r="A289" s="10" t="s">
        <v>168</v>
      </c>
      <c r="B289" s="99"/>
    </row>
    <row r="290" spans="1:2">
      <c r="A290" t="s">
        <v>143</v>
      </c>
      <c r="B290" s="49">
        <v>0</v>
      </c>
    </row>
    <row r="291" spans="1:2">
      <c r="A291" t="s">
        <v>144</v>
      </c>
      <c r="B291" s="49">
        <v>0</v>
      </c>
    </row>
    <row r="292" spans="1:2">
      <c r="A292" t="s">
        <v>145</v>
      </c>
      <c r="B292" s="49">
        <v>0</v>
      </c>
    </row>
    <row r="293" spans="1:2">
      <c r="A293" t="s">
        <v>146</v>
      </c>
      <c r="B293" s="49">
        <v>0</v>
      </c>
    </row>
    <row r="294" spans="1:2">
      <c r="A294" t="s">
        <v>147</v>
      </c>
      <c r="B294" s="49">
        <v>0</v>
      </c>
    </row>
    <row r="295" spans="1:2">
      <c r="A295" t="s">
        <v>148</v>
      </c>
      <c r="B295" s="49">
        <v>0</v>
      </c>
    </row>
    <row r="296" spans="1:2">
      <c r="A296" t="s">
        <v>128</v>
      </c>
      <c r="B296" s="49">
        <v>0</v>
      </c>
    </row>
    <row r="297" spans="1:2">
      <c r="A297" t="s">
        <v>129</v>
      </c>
      <c r="B297" s="49">
        <v>0</v>
      </c>
    </row>
    <row r="298" spans="1:2">
      <c r="A298" t="s">
        <v>130</v>
      </c>
      <c r="B298" s="49">
        <v>0</v>
      </c>
    </row>
    <row r="299" spans="1:2">
      <c r="A299" t="s">
        <v>131</v>
      </c>
      <c r="B299" s="49">
        <v>0</v>
      </c>
    </row>
    <row r="300" spans="1:2">
      <c r="A300" t="s">
        <v>132</v>
      </c>
      <c r="B300" s="49">
        <v>0</v>
      </c>
    </row>
    <row r="301" spans="1:2">
      <c r="A301" t="s">
        <v>133</v>
      </c>
      <c r="B301" s="49">
        <v>0</v>
      </c>
    </row>
    <row r="302" spans="1:2">
      <c r="A302" t="s">
        <v>134</v>
      </c>
      <c r="B302" s="49">
        <v>0</v>
      </c>
    </row>
    <row r="303" spans="1:2">
      <c r="A303" t="s">
        <v>135</v>
      </c>
      <c r="B303" s="49">
        <v>0</v>
      </c>
    </row>
    <row r="304" spans="1:2">
      <c r="A304" t="s">
        <v>149</v>
      </c>
      <c r="B304" s="49">
        <v>0</v>
      </c>
    </row>
    <row r="305" spans="1:2">
      <c r="A305" t="s">
        <v>150</v>
      </c>
      <c r="B305" s="49">
        <v>0</v>
      </c>
    </row>
    <row r="306" spans="1:2">
      <c r="A306" t="s">
        <v>151</v>
      </c>
      <c r="B306" s="49">
        <v>0</v>
      </c>
    </row>
    <row r="307" spans="1:2">
      <c r="A307" t="s">
        <v>136</v>
      </c>
      <c r="B307" s="49">
        <v>0</v>
      </c>
    </row>
    <row r="308" spans="1:2">
      <c r="A308" t="s">
        <v>137</v>
      </c>
      <c r="B308" s="49">
        <v>0</v>
      </c>
    </row>
    <row r="309" spans="1:2">
      <c r="A309" t="s">
        <v>138</v>
      </c>
      <c r="B309" s="49">
        <v>0</v>
      </c>
    </row>
    <row r="310" spans="1:2">
      <c r="A310" t="s">
        <v>139</v>
      </c>
      <c r="B310" s="49">
        <v>0</v>
      </c>
    </row>
    <row r="311" spans="1:2">
      <c r="A311" t="s">
        <v>140</v>
      </c>
      <c r="B311" s="49">
        <v>0</v>
      </c>
    </row>
    <row r="312" spans="1:2">
      <c r="A312" t="s">
        <v>141</v>
      </c>
      <c r="B312" s="49">
        <v>0</v>
      </c>
    </row>
    <row r="313" spans="1:2">
      <c r="A313" s="10" t="s">
        <v>26</v>
      </c>
      <c r="B313" s="99">
        <v>0</v>
      </c>
    </row>
    <row r="314" spans="1:2">
      <c r="A314" s="10"/>
      <c r="B314" s="99"/>
    </row>
    <row r="315" spans="1:2">
      <c r="A315" s="10" t="s">
        <v>169</v>
      </c>
      <c r="B315" s="99"/>
    </row>
    <row r="316" spans="1:2">
      <c r="A316" t="s">
        <v>143</v>
      </c>
      <c r="B316" s="49">
        <v>0</v>
      </c>
    </row>
    <row r="317" spans="1:2">
      <c r="A317" t="s">
        <v>144</v>
      </c>
      <c r="B317" s="49">
        <v>0</v>
      </c>
    </row>
    <row r="318" spans="1:2">
      <c r="A318" t="s">
        <v>145</v>
      </c>
      <c r="B318" s="49">
        <v>0</v>
      </c>
    </row>
    <row r="319" spans="1:2">
      <c r="A319" t="s">
        <v>146</v>
      </c>
      <c r="B319" s="49">
        <v>0</v>
      </c>
    </row>
    <row r="320" spans="1:2">
      <c r="A320" t="s">
        <v>147</v>
      </c>
      <c r="B320" s="49">
        <v>0</v>
      </c>
    </row>
    <row r="321" spans="1:2">
      <c r="A321" t="s">
        <v>148</v>
      </c>
      <c r="B321" s="49">
        <v>0</v>
      </c>
    </row>
    <row r="322" spans="1:2">
      <c r="A322" t="s">
        <v>128</v>
      </c>
      <c r="B322" s="49">
        <v>0</v>
      </c>
    </row>
    <row r="323" spans="1:2">
      <c r="A323" t="s">
        <v>129</v>
      </c>
      <c r="B323" s="49">
        <v>0</v>
      </c>
    </row>
    <row r="324" spans="1:2">
      <c r="A324" t="s">
        <v>130</v>
      </c>
      <c r="B324" s="49">
        <v>0</v>
      </c>
    </row>
    <row r="325" spans="1:2">
      <c r="A325" t="s">
        <v>131</v>
      </c>
      <c r="B325" s="49">
        <v>0</v>
      </c>
    </row>
    <row r="326" spans="1:2">
      <c r="A326" t="s">
        <v>132</v>
      </c>
      <c r="B326" s="49">
        <v>0</v>
      </c>
    </row>
    <row r="327" spans="1:2">
      <c r="A327" t="s">
        <v>133</v>
      </c>
      <c r="B327" s="49">
        <v>0</v>
      </c>
    </row>
    <row r="328" spans="1:2">
      <c r="A328" t="s">
        <v>134</v>
      </c>
      <c r="B328" s="49">
        <v>0</v>
      </c>
    </row>
    <row r="329" spans="1:2">
      <c r="A329" t="s">
        <v>135</v>
      </c>
      <c r="B329" s="49">
        <v>0</v>
      </c>
    </row>
    <row r="330" spans="1:2">
      <c r="A330" t="s">
        <v>149</v>
      </c>
      <c r="B330" s="49">
        <v>0</v>
      </c>
    </row>
    <row r="331" spans="1:2">
      <c r="A331" t="s">
        <v>150</v>
      </c>
      <c r="B331" s="49">
        <v>0</v>
      </c>
    </row>
    <row r="332" spans="1:2">
      <c r="A332" t="s">
        <v>151</v>
      </c>
      <c r="B332" s="49">
        <v>0</v>
      </c>
    </row>
    <row r="333" spans="1:2">
      <c r="A333" t="s">
        <v>136</v>
      </c>
      <c r="B333" s="49">
        <v>0</v>
      </c>
    </row>
    <row r="334" spans="1:2">
      <c r="A334" t="s">
        <v>137</v>
      </c>
      <c r="B334" s="49">
        <v>0</v>
      </c>
    </row>
    <row r="335" spans="1:2">
      <c r="A335" t="s">
        <v>138</v>
      </c>
      <c r="B335" s="49">
        <v>0</v>
      </c>
    </row>
    <row r="336" spans="1:2">
      <c r="A336" t="s">
        <v>139</v>
      </c>
      <c r="B336" s="49">
        <v>0</v>
      </c>
    </row>
    <row r="337" spans="1:2">
      <c r="A337" t="s">
        <v>140</v>
      </c>
      <c r="B337" s="49">
        <v>0</v>
      </c>
    </row>
    <row r="338" spans="1:2">
      <c r="A338" t="s">
        <v>141</v>
      </c>
      <c r="B338" s="49">
        <v>0</v>
      </c>
    </row>
    <row r="339" spans="1:2">
      <c r="A339" s="10" t="s">
        <v>26</v>
      </c>
      <c r="B339" s="99">
        <v>0</v>
      </c>
    </row>
    <row r="340" spans="1:2">
      <c r="A340" s="10"/>
      <c r="B340" s="99"/>
    </row>
    <row r="341" spans="1:2">
      <c r="A341" s="10" t="s">
        <v>170</v>
      </c>
      <c r="B341" s="99"/>
    </row>
    <row r="342" spans="1:2">
      <c r="A342" t="s">
        <v>143</v>
      </c>
      <c r="B342" s="49">
        <v>0</v>
      </c>
    </row>
    <row r="343" spans="1:2">
      <c r="A343" t="s">
        <v>144</v>
      </c>
      <c r="B343" s="49">
        <v>0</v>
      </c>
    </row>
    <row r="344" spans="1:2">
      <c r="A344" t="s">
        <v>145</v>
      </c>
      <c r="B344" s="49">
        <v>0</v>
      </c>
    </row>
    <row r="345" spans="1:2">
      <c r="A345" t="s">
        <v>146</v>
      </c>
      <c r="B345" s="49">
        <v>0</v>
      </c>
    </row>
    <row r="346" spans="1:2">
      <c r="A346" t="s">
        <v>147</v>
      </c>
      <c r="B346" s="49">
        <v>0</v>
      </c>
    </row>
    <row r="347" spans="1:2">
      <c r="A347" t="s">
        <v>148</v>
      </c>
      <c r="B347" s="49">
        <v>0</v>
      </c>
    </row>
    <row r="348" spans="1:2">
      <c r="A348" t="s">
        <v>128</v>
      </c>
      <c r="B348" s="49">
        <v>0</v>
      </c>
    </row>
    <row r="349" spans="1:2">
      <c r="A349" t="s">
        <v>129</v>
      </c>
      <c r="B349" s="49">
        <v>0</v>
      </c>
    </row>
    <row r="350" spans="1:2">
      <c r="A350" t="s">
        <v>130</v>
      </c>
      <c r="B350" s="49">
        <v>0</v>
      </c>
    </row>
    <row r="351" spans="1:2">
      <c r="A351" t="s">
        <v>131</v>
      </c>
      <c r="B351" s="49">
        <v>0</v>
      </c>
    </row>
    <row r="352" spans="1:2">
      <c r="A352" t="s">
        <v>132</v>
      </c>
      <c r="B352" s="49">
        <v>0</v>
      </c>
    </row>
    <row r="353" spans="1:2">
      <c r="A353" t="s">
        <v>133</v>
      </c>
      <c r="B353" s="49">
        <v>0</v>
      </c>
    </row>
    <row r="354" spans="1:2">
      <c r="A354" t="s">
        <v>134</v>
      </c>
      <c r="B354" s="49">
        <v>0</v>
      </c>
    </row>
    <row r="355" spans="1:2">
      <c r="A355" t="s">
        <v>135</v>
      </c>
      <c r="B355" s="49">
        <v>0</v>
      </c>
    </row>
    <row r="356" spans="1:2">
      <c r="A356" t="s">
        <v>149</v>
      </c>
      <c r="B356" s="49">
        <v>0</v>
      </c>
    </row>
    <row r="357" spans="1:2">
      <c r="A357" t="s">
        <v>150</v>
      </c>
      <c r="B357" s="49">
        <v>0</v>
      </c>
    </row>
    <row r="358" spans="1:2">
      <c r="A358" t="s">
        <v>151</v>
      </c>
      <c r="B358" s="49">
        <v>0</v>
      </c>
    </row>
    <row r="359" spans="1:2">
      <c r="A359" t="s">
        <v>136</v>
      </c>
      <c r="B359" s="49">
        <v>0</v>
      </c>
    </row>
    <row r="360" spans="1:2">
      <c r="A360" t="s">
        <v>137</v>
      </c>
      <c r="B360" s="49">
        <v>0</v>
      </c>
    </row>
    <row r="361" spans="1:2">
      <c r="A361" t="s">
        <v>138</v>
      </c>
      <c r="B361" s="49">
        <v>0</v>
      </c>
    </row>
    <row r="362" spans="1:2">
      <c r="A362" t="s">
        <v>139</v>
      </c>
      <c r="B362" s="49">
        <v>0</v>
      </c>
    </row>
    <row r="363" spans="1:2">
      <c r="A363" t="s">
        <v>140</v>
      </c>
      <c r="B363" s="49">
        <v>0</v>
      </c>
    </row>
    <row r="364" spans="1:2">
      <c r="A364" t="s">
        <v>141</v>
      </c>
      <c r="B364" s="49">
        <v>0</v>
      </c>
    </row>
    <row r="365" spans="1:2">
      <c r="A365" s="10" t="s">
        <v>26</v>
      </c>
      <c r="B365" s="99">
        <v>0</v>
      </c>
    </row>
    <row r="366" spans="1:2">
      <c r="A366" s="10"/>
      <c r="B366" s="99"/>
    </row>
    <row r="367" spans="1:2">
      <c r="A367" s="10" t="s">
        <v>171</v>
      </c>
      <c r="B367" s="99"/>
    </row>
    <row r="368" spans="1:2">
      <c r="A368" t="s">
        <v>143</v>
      </c>
      <c r="B368" s="49">
        <v>0</v>
      </c>
    </row>
    <row r="369" spans="1:2">
      <c r="A369" t="s">
        <v>144</v>
      </c>
      <c r="B369" s="49">
        <v>0</v>
      </c>
    </row>
    <row r="370" spans="1:2">
      <c r="A370" t="s">
        <v>145</v>
      </c>
      <c r="B370" s="49">
        <v>265.80550000000198</v>
      </c>
    </row>
    <row r="371" spans="1:2">
      <c r="A371" t="s">
        <v>146</v>
      </c>
      <c r="B371" s="49">
        <v>0</v>
      </c>
    </row>
    <row r="372" spans="1:2">
      <c r="A372" t="s">
        <v>147</v>
      </c>
      <c r="B372" s="49">
        <v>0</v>
      </c>
    </row>
    <row r="373" spans="1:2">
      <c r="A373" t="s">
        <v>148</v>
      </c>
      <c r="B373" s="49">
        <v>0</v>
      </c>
    </row>
    <row r="374" spans="1:2">
      <c r="A374" t="s">
        <v>128</v>
      </c>
      <c r="B374" s="49">
        <v>0</v>
      </c>
    </row>
    <row r="375" spans="1:2">
      <c r="A375" t="s">
        <v>129</v>
      </c>
      <c r="B375" s="49">
        <v>0</v>
      </c>
    </row>
    <row r="376" spans="1:2">
      <c r="A376" t="s">
        <v>130</v>
      </c>
      <c r="B376" s="49">
        <v>-2.0026031599991301</v>
      </c>
    </row>
    <row r="377" spans="1:2">
      <c r="A377" t="s">
        <v>131</v>
      </c>
      <c r="B377" s="49">
        <v>0</v>
      </c>
    </row>
    <row r="378" spans="1:2">
      <c r="A378" t="s">
        <v>132</v>
      </c>
      <c r="B378" s="49">
        <v>0</v>
      </c>
    </row>
    <row r="379" spans="1:2">
      <c r="A379" t="s">
        <v>133</v>
      </c>
      <c r="B379" s="49">
        <v>0</v>
      </c>
    </row>
    <row r="380" spans="1:2">
      <c r="A380" s="104" t="s">
        <v>134</v>
      </c>
      <c r="B380" s="49">
        <v>0</v>
      </c>
    </row>
    <row r="381" spans="1:2">
      <c r="A381" t="s">
        <v>135</v>
      </c>
      <c r="B381" s="49">
        <v>0</v>
      </c>
    </row>
    <row r="382" spans="1:2">
      <c r="A382" t="s">
        <v>149</v>
      </c>
      <c r="B382" s="49">
        <v>0</v>
      </c>
    </row>
    <row r="383" spans="1:2">
      <c r="A383" t="s">
        <v>150</v>
      </c>
      <c r="B383" s="49">
        <v>0</v>
      </c>
    </row>
    <row r="384" spans="1:2">
      <c r="A384" t="s">
        <v>151</v>
      </c>
      <c r="B384" s="49">
        <v>670.19</v>
      </c>
    </row>
    <row r="385" spans="1:2">
      <c r="A385" t="s">
        <v>136</v>
      </c>
      <c r="B385" s="49">
        <v>0</v>
      </c>
    </row>
    <row r="386" spans="1:2">
      <c r="A386" t="s">
        <v>137</v>
      </c>
      <c r="B386" s="49">
        <v>0</v>
      </c>
    </row>
    <row r="387" spans="1:2">
      <c r="A387" t="s">
        <v>138</v>
      </c>
      <c r="B387" s="49">
        <v>0</v>
      </c>
    </row>
    <row r="388" spans="1:2">
      <c r="A388" t="s">
        <v>139</v>
      </c>
      <c r="B388" s="49">
        <v>0</v>
      </c>
    </row>
    <row r="389" spans="1:2">
      <c r="A389" t="s">
        <v>140</v>
      </c>
      <c r="B389" s="49">
        <v>0</v>
      </c>
    </row>
    <row r="390" spans="1:2">
      <c r="A390" t="s">
        <v>141</v>
      </c>
      <c r="B390" s="49">
        <v>0</v>
      </c>
    </row>
    <row r="391" spans="1:2">
      <c r="A391" s="10" t="s">
        <v>26</v>
      </c>
      <c r="B391" s="99">
        <v>933.99289684000303</v>
      </c>
    </row>
    <row r="392" spans="1:2">
      <c r="A392" s="10"/>
      <c r="B392" s="99"/>
    </row>
    <row r="393" spans="1:2">
      <c r="A393" s="10" t="s">
        <v>172</v>
      </c>
      <c r="B393" s="99"/>
    </row>
    <row r="394" spans="1:2">
      <c r="A394" t="s">
        <v>143</v>
      </c>
      <c r="B394" s="49">
        <v>0</v>
      </c>
    </row>
    <row r="395" spans="1:2">
      <c r="A395" t="s">
        <v>144</v>
      </c>
      <c r="B395" s="49">
        <v>0</v>
      </c>
    </row>
    <row r="396" spans="1:2">
      <c r="A396" t="s">
        <v>145</v>
      </c>
      <c r="B396" s="49">
        <v>823.60349999999698</v>
      </c>
    </row>
    <row r="397" spans="1:2">
      <c r="A397" t="s">
        <v>146</v>
      </c>
      <c r="B397" s="49">
        <v>-951.19422199999894</v>
      </c>
    </row>
    <row r="398" spans="1:2">
      <c r="A398" t="s">
        <v>147</v>
      </c>
      <c r="B398" s="49">
        <v>0</v>
      </c>
    </row>
    <row r="399" spans="1:2">
      <c r="A399" t="s">
        <v>148</v>
      </c>
      <c r="B399" s="49">
        <v>-5.4280000003927896E-3</v>
      </c>
    </row>
    <row r="400" spans="1:2">
      <c r="A400" t="s">
        <v>128</v>
      </c>
      <c r="B400" s="49">
        <v>-10114.540000000001</v>
      </c>
    </row>
    <row r="401" spans="1:2">
      <c r="A401" t="s">
        <v>129</v>
      </c>
      <c r="B401" s="49">
        <v>-675.48000000000297</v>
      </c>
    </row>
    <row r="402" spans="1:2">
      <c r="A402" t="s">
        <v>130</v>
      </c>
      <c r="B402" s="49">
        <v>378.30372369999901</v>
      </c>
    </row>
    <row r="403" spans="1:2">
      <c r="A403" t="s">
        <v>131</v>
      </c>
      <c r="B403" s="49">
        <v>-659.43600000000004</v>
      </c>
    </row>
    <row r="404" spans="1:2">
      <c r="A404" t="s">
        <v>132</v>
      </c>
      <c r="B404" s="49">
        <v>-46.400000000001498</v>
      </c>
    </row>
    <row r="405" spans="1:2">
      <c r="A405" s="104" t="s">
        <v>133</v>
      </c>
      <c r="B405" s="49">
        <v>0</v>
      </c>
    </row>
    <row r="406" spans="1:2">
      <c r="A406" t="s">
        <v>134</v>
      </c>
      <c r="B406" s="49">
        <v>0</v>
      </c>
    </row>
    <row r="407" spans="1:2">
      <c r="A407" t="s">
        <v>135</v>
      </c>
      <c r="B407" s="49">
        <v>0</v>
      </c>
    </row>
    <row r="408" spans="1:2">
      <c r="A408" t="s">
        <v>149</v>
      </c>
      <c r="B408" s="49">
        <v>0</v>
      </c>
    </row>
    <row r="409" spans="1:2">
      <c r="A409" t="s">
        <v>150</v>
      </c>
      <c r="B409" s="49">
        <v>0</v>
      </c>
    </row>
    <row r="410" spans="1:2">
      <c r="A410" t="s">
        <v>151</v>
      </c>
      <c r="B410" s="49">
        <v>3058.5664106583099</v>
      </c>
    </row>
    <row r="411" spans="1:2">
      <c r="A411" t="s">
        <v>136</v>
      </c>
      <c r="B411" s="49">
        <v>0</v>
      </c>
    </row>
    <row r="412" spans="1:2">
      <c r="A412" t="s">
        <v>137</v>
      </c>
      <c r="B412" s="49">
        <v>0</v>
      </c>
    </row>
    <row r="413" spans="1:2">
      <c r="A413" t="s">
        <v>138</v>
      </c>
      <c r="B413" s="49">
        <v>0</v>
      </c>
    </row>
    <row r="414" spans="1:2">
      <c r="A414" t="s">
        <v>139</v>
      </c>
      <c r="B414" s="49">
        <v>0</v>
      </c>
    </row>
    <row r="415" spans="1:2">
      <c r="A415" t="s">
        <v>140</v>
      </c>
      <c r="B415" s="49">
        <v>0</v>
      </c>
    </row>
    <row r="416" spans="1:2">
      <c r="A416" t="s">
        <v>141</v>
      </c>
      <c r="B416" s="49">
        <v>0</v>
      </c>
    </row>
    <row r="417" spans="1:2">
      <c r="A417" s="10" t="s">
        <v>26</v>
      </c>
      <c r="B417" s="99">
        <v>-8186.5820156417003</v>
      </c>
    </row>
    <row r="418" spans="1:2">
      <c r="A418" s="10"/>
      <c r="B418" s="99"/>
    </row>
    <row r="419" spans="1:2">
      <c r="A419" s="10" t="s">
        <v>173</v>
      </c>
      <c r="B419" s="99"/>
    </row>
    <row r="420" spans="1:2">
      <c r="A420" t="s">
        <v>143</v>
      </c>
      <c r="B420" s="49">
        <v>728.82279512479704</v>
      </c>
    </row>
    <row r="421" spans="1:2">
      <c r="A421" t="s">
        <v>144</v>
      </c>
      <c r="B421" s="49">
        <v>-19.186119999999999</v>
      </c>
    </row>
    <row r="422" spans="1:2">
      <c r="A422" t="s">
        <v>145</v>
      </c>
      <c r="B422" s="49">
        <v>0</v>
      </c>
    </row>
    <row r="423" spans="1:2">
      <c r="A423" t="s">
        <v>146</v>
      </c>
      <c r="B423" s="49">
        <v>0</v>
      </c>
    </row>
    <row r="424" spans="1:2">
      <c r="A424" t="s">
        <v>147</v>
      </c>
      <c r="B424" s="49">
        <v>8060.1906510927201</v>
      </c>
    </row>
    <row r="425" spans="1:2">
      <c r="A425" t="s">
        <v>148</v>
      </c>
      <c r="B425" s="49">
        <v>-171.113495999999</v>
      </c>
    </row>
    <row r="426" spans="1:2">
      <c r="A426" t="s">
        <v>128</v>
      </c>
      <c r="B426" s="49">
        <v>0</v>
      </c>
    </row>
    <row r="427" spans="1:2">
      <c r="A427" t="s">
        <v>129</v>
      </c>
      <c r="B427" s="49">
        <v>0</v>
      </c>
    </row>
    <row r="428" spans="1:2">
      <c r="A428" t="s">
        <v>130</v>
      </c>
      <c r="B428" s="49">
        <v>0</v>
      </c>
    </row>
    <row r="429" spans="1:2">
      <c r="A429" t="s">
        <v>131</v>
      </c>
      <c r="B429" s="49">
        <v>0</v>
      </c>
    </row>
    <row r="430" spans="1:2">
      <c r="A430" s="104" t="s">
        <v>132</v>
      </c>
      <c r="B430" s="49">
        <v>0</v>
      </c>
    </row>
    <row r="431" spans="1:2">
      <c r="A431" t="s">
        <v>133</v>
      </c>
      <c r="B431" s="49">
        <v>0</v>
      </c>
    </row>
    <row r="432" spans="1:2">
      <c r="A432" t="s">
        <v>134</v>
      </c>
      <c r="B432" s="49">
        <v>0</v>
      </c>
    </row>
    <row r="433" spans="1:2">
      <c r="A433" t="s">
        <v>135</v>
      </c>
      <c r="B433" s="49">
        <v>0</v>
      </c>
    </row>
    <row r="434" spans="1:2">
      <c r="A434" t="s">
        <v>149</v>
      </c>
      <c r="B434" s="49">
        <v>8727.8250000000007</v>
      </c>
    </row>
    <row r="435" spans="1:2">
      <c r="A435" t="s">
        <v>150</v>
      </c>
      <c r="B435" s="49">
        <v>0</v>
      </c>
    </row>
    <row r="436" spans="1:2">
      <c r="A436" t="s">
        <v>151</v>
      </c>
      <c r="B436" s="49">
        <v>15633.4835893417</v>
      </c>
    </row>
    <row r="437" spans="1:2">
      <c r="A437" t="s">
        <v>136</v>
      </c>
      <c r="B437" s="49">
        <v>0</v>
      </c>
    </row>
    <row r="438" spans="1:2">
      <c r="A438" t="s">
        <v>137</v>
      </c>
      <c r="B438" s="49">
        <v>0</v>
      </c>
    </row>
    <row r="439" spans="1:2">
      <c r="A439" t="s">
        <v>138</v>
      </c>
      <c r="B439" s="49">
        <v>0</v>
      </c>
    </row>
    <row r="440" spans="1:2">
      <c r="A440" t="s">
        <v>139</v>
      </c>
      <c r="B440" s="49">
        <v>0</v>
      </c>
    </row>
    <row r="441" spans="1:2">
      <c r="A441" t="s">
        <v>140</v>
      </c>
      <c r="B441" s="49">
        <v>0</v>
      </c>
    </row>
    <row r="442" spans="1:2">
      <c r="A442" t="s">
        <v>141</v>
      </c>
      <c r="B442" s="49">
        <v>0</v>
      </c>
    </row>
    <row r="443" spans="1:2">
      <c r="A443" s="10" t="s">
        <v>26</v>
      </c>
      <c r="B443" s="99">
        <v>32960.022419559202</v>
      </c>
    </row>
    <row r="444" spans="1:2">
      <c r="A444" s="10"/>
      <c r="B444" s="99"/>
    </row>
    <row r="445" spans="1:2">
      <c r="A445" s="10" t="s">
        <v>174</v>
      </c>
      <c r="B445" s="99"/>
    </row>
    <row r="446" spans="1:2">
      <c r="A446" t="s">
        <v>143</v>
      </c>
      <c r="B446" s="49">
        <v>-959.19627812478598</v>
      </c>
    </row>
    <row r="447" spans="1:2">
      <c r="A447" t="s">
        <v>144</v>
      </c>
      <c r="B447" s="49">
        <v>1.5161199999999999</v>
      </c>
    </row>
    <row r="448" spans="1:2">
      <c r="A448" t="s">
        <v>145</v>
      </c>
      <c r="B448" s="49">
        <v>-98.437482799999998</v>
      </c>
    </row>
    <row r="449" spans="1:2">
      <c r="A449" t="s">
        <v>146</v>
      </c>
      <c r="B449" s="49">
        <v>14.215722</v>
      </c>
    </row>
    <row r="450" spans="1:2">
      <c r="A450" t="s">
        <v>147</v>
      </c>
      <c r="B450" s="49">
        <v>10134.271396907299</v>
      </c>
    </row>
    <row r="451" spans="1:2">
      <c r="A451" t="s">
        <v>148</v>
      </c>
      <c r="B451" s="49">
        <v>5533.8081994000004</v>
      </c>
    </row>
    <row r="452" spans="1:2">
      <c r="A452" t="s">
        <v>128</v>
      </c>
      <c r="B452" s="49">
        <v>0</v>
      </c>
    </row>
    <row r="453" spans="1:2">
      <c r="A453" t="s">
        <v>129</v>
      </c>
      <c r="B453" s="49">
        <v>0</v>
      </c>
    </row>
    <row r="454" spans="1:2">
      <c r="A454" t="s">
        <v>130</v>
      </c>
      <c r="B454" s="49">
        <v>0</v>
      </c>
    </row>
    <row r="455" spans="1:2">
      <c r="A455" s="104" t="s">
        <v>131</v>
      </c>
      <c r="B455" s="49">
        <v>0</v>
      </c>
    </row>
    <row r="456" spans="1:2">
      <c r="A456" t="s">
        <v>132</v>
      </c>
      <c r="B456" s="49">
        <v>0</v>
      </c>
    </row>
    <row r="457" spans="1:2">
      <c r="A457" t="s">
        <v>133</v>
      </c>
      <c r="B457" s="49">
        <v>-62.049974800000101</v>
      </c>
    </row>
    <row r="458" spans="1:2">
      <c r="A458" t="s">
        <v>134</v>
      </c>
      <c r="B458" s="49">
        <v>4547.7000959999996</v>
      </c>
    </row>
    <row r="459" spans="1:2">
      <c r="A459" t="s">
        <v>135</v>
      </c>
      <c r="B459" s="49">
        <v>0</v>
      </c>
    </row>
    <row r="460" spans="1:2">
      <c r="A460" t="s">
        <v>149</v>
      </c>
      <c r="B460" s="49">
        <v>-7107.3199999999897</v>
      </c>
    </row>
    <row r="461" spans="1:2">
      <c r="A461" t="s">
        <v>150</v>
      </c>
      <c r="B461" s="49">
        <v>2430.5749999999998</v>
      </c>
    </row>
    <row r="462" spans="1:2">
      <c r="A462" t="s">
        <v>151</v>
      </c>
      <c r="B462" s="49">
        <v>11283.02</v>
      </c>
    </row>
    <row r="463" spans="1:2">
      <c r="A463" t="s">
        <v>136</v>
      </c>
      <c r="B463" s="49">
        <v>0</v>
      </c>
    </row>
    <row r="464" spans="1:2">
      <c r="A464" t="s">
        <v>137</v>
      </c>
      <c r="B464" s="49">
        <v>0</v>
      </c>
    </row>
    <row r="465" spans="1:2">
      <c r="A465" t="s">
        <v>138</v>
      </c>
      <c r="B465" s="49">
        <v>118.25</v>
      </c>
    </row>
    <row r="466" spans="1:2">
      <c r="A466" t="s">
        <v>139</v>
      </c>
      <c r="B466" s="49">
        <v>0</v>
      </c>
    </row>
    <row r="467" spans="1:2">
      <c r="A467" t="s">
        <v>140</v>
      </c>
      <c r="B467" s="49">
        <v>0</v>
      </c>
    </row>
    <row r="468" spans="1:2">
      <c r="A468" t="s">
        <v>141</v>
      </c>
      <c r="B468" s="49">
        <v>0</v>
      </c>
    </row>
    <row r="469" spans="1:2">
      <c r="A469" s="10" t="s">
        <v>26</v>
      </c>
      <c r="B469" s="99">
        <v>25836.352798582499</v>
      </c>
    </row>
    <row r="470" spans="1:2">
      <c r="A470" s="10"/>
      <c r="B470" s="99"/>
    </row>
    <row r="471" spans="1:2">
      <c r="A471" s="10" t="s">
        <v>175</v>
      </c>
      <c r="B471" s="99"/>
    </row>
    <row r="472" spans="1:2">
      <c r="A472" t="s">
        <v>143</v>
      </c>
      <c r="B472" s="49">
        <v>56.936325999999902</v>
      </c>
    </row>
    <row r="473" spans="1:2">
      <c r="A473" t="s">
        <v>144</v>
      </c>
      <c r="B473" s="49">
        <v>0</v>
      </c>
    </row>
    <row r="474" spans="1:2">
      <c r="A474" t="s">
        <v>145</v>
      </c>
      <c r="B474" s="49">
        <v>41.652073899999898</v>
      </c>
    </row>
    <row r="475" spans="1:2">
      <c r="A475" t="s">
        <v>146</v>
      </c>
      <c r="B475" s="49">
        <v>25.638728</v>
      </c>
    </row>
    <row r="476" spans="1:2">
      <c r="A476" t="s">
        <v>147</v>
      </c>
      <c r="B476" s="49">
        <v>80.811192000000005</v>
      </c>
    </row>
    <row r="477" spans="1:2">
      <c r="A477" t="s">
        <v>148</v>
      </c>
      <c r="B477" s="49">
        <v>-1910.2438164</v>
      </c>
    </row>
    <row r="478" spans="1:2">
      <c r="A478" t="s">
        <v>128</v>
      </c>
      <c r="B478" s="49">
        <v>0</v>
      </c>
    </row>
    <row r="479" spans="1:2">
      <c r="A479" t="s">
        <v>129</v>
      </c>
      <c r="B479" s="49">
        <v>0</v>
      </c>
    </row>
    <row r="480" spans="1:2">
      <c r="A480" s="104" t="s">
        <v>130</v>
      </c>
      <c r="B480" s="49">
        <v>0</v>
      </c>
    </row>
    <row r="481" spans="1:2">
      <c r="A481" t="s">
        <v>131</v>
      </c>
      <c r="B481" s="49">
        <v>0</v>
      </c>
    </row>
    <row r="482" spans="1:2">
      <c r="A482" t="s">
        <v>132</v>
      </c>
      <c r="B482" s="49">
        <v>0</v>
      </c>
    </row>
    <row r="483" spans="1:2">
      <c r="A483" t="s">
        <v>133</v>
      </c>
      <c r="B483" s="49">
        <v>-32.196392599995299</v>
      </c>
    </row>
    <row r="484" spans="1:2">
      <c r="A484" t="s">
        <v>134</v>
      </c>
      <c r="B484" s="49">
        <v>724.99512800000196</v>
      </c>
    </row>
    <row r="485" spans="1:2">
      <c r="A485" t="s">
        <v>135</v>
      </c>
      <c r="B485" s="49">
        <v>17.620961249999901</v>
      </c>
    </row>
    <row r="486" spans="1:2">
      <c r="A486" t="s">
        <v>149</v>
      </c>
      <c r="B486" s="49">
        <v>0</v>
      </c>
    </row>
    <row r="487" spans="1:2">
      <c r="A487" t="s">
        <v>150</v>
      </c>
      <c r="B487" s="49">
        <v>0</v>
      </c>
    </row>
    <row r="488" spans="1:2">
      <c r="A488" t="s">
        <v>151</v>
      </c>
      <c r="B488" s="49">
        <v>0</v>
      </c>
    </row>
    <row r="489" spans="1:2">
      <c r="A489" t="s">
        <v>136</v>
      </c>
      <c r="B489" s="49">
        <v>0</v>
      </c>
    </row>
    <row r="490" spans="1:2">
      <c r="A490" t="s">
        <v>137</v>
      </c>
      <c r="B490" s="49">
        <v>-97.285000000000906</v>
      </c>
    </row>
    <row r="491" spans="1:2">
      <c r="A491" t="s">
        <v>138</v>
      </c>
      <c r="B491" s="49">
        <v>-484.19499999999999</v>
      </c>
    </row>
    <row r="492" spans="1:2">
      <c r="A492" t="s">
        <v>139</v>
      </c>
      <c r="B492" s="49">
        <v>0</v>
      </c>
    </row>
    <row r="493" spans="1:2">
      <c r="A493" t="s">
        <v>140</v>
      </c>
      <c r="B493" s="49">
        <v>0</v>
      </c>
    </row>
    <row r="494" spans="1:2">
      <c r="A494" t="s">
        <v>141</v>
      </c>
      <c r="B494" s="49">
        <v>3136.53</v>
      </c>
    </row>
    <row r="495" spans="1:2">
      <c r="A495" s="10" t="s">
        <v>26</v>
      </c>
      <c r="B495" s="99">
        <v>1560.2642001500101</v>
      </c>
    </row>
    <row r="496" spans="1:2">
      <c r="A496" s="10"/>
      <c r="B496" s="99"/>
    </row>
    <row r="497" spans="1:2">
      <c r="A497" s="10" t="s">
        <v>176</v>
      </c>
      <c r="B497" s="99"/>
    </row>
    <row r="498" spans="1:2">
      <c r="A498" t="s">
        <v>143</v>
      </c>
      <c r="B498" s="49">
        <v>27.865900000000099</v>
      </c>
    </row>
    <row r="499" spans="1:2">
      <c r="A499" t="s">
        <v>144</v>
      </c>
      <c r="B499" s="49">
        <v>0</v>
      </c>
    </row>
    <row r="500" spans="1:2">
      <c r="A500" t="s">
        <v>145</v>
      </c>
      <c r="B500" s="49">
        <v>43.5782794</v>
      </c>
    </row>
    <row r="501" spans="1:2">
      <c r="A501" t="s">
        <v>146</v>
      </c>
      <c r="B501" s="49">
        <v>7.82488000000001</v>
      </c>
    </row>
    <row r="502" spans="1:2">
      <c r="A502" t="s">
        <v>147</v>
      </c>
      <c r="B502" s="49">
        <v>127.93856</v>
      </c>
    </row>
    <row r="503" spans="1:2">
      <c r="A503" t="s">
        <v>148</v>
      </c>
      <c r="B503" s="49">
        <v>1369.6465175999999</v>
      </c>
    </row>
    <row r="504" spans="1:2">
      <c r="A504" t="s">
        <v>128</v>
      </c>
      <c r="B504" s="49">
        <v>0</v>
      </c>
    </row>
    <row r="505" spans="1:2">
      <c r="A505" t="s">
        <v>129</v>
      </c>
      <c r="B505" s="49">
        <v>0</v>
      </c>
    </row>
    <row r="506" spans="1:2">
      <c r="A506" t="s">
        <v>130</v>
      </c>
      <c r="B506" s="49">
        <v>0</v>
      </c>
    </row>
    <row r="507" spans="1:2">
      <c r="A507" t="s">
        <v>131</v>
      </c>
      <c r="B507" s="49">
        <v>0</v>
      </c>
    </row>
    <row r="508" spans="1:2">
      <c r="A508" t="s">
        <v>132</v>
      </c>
      <c r="B508" s="49">
        <v>0</v>
      </c>
    </row>
    <row r="509" spans="1:2">
      <c r="A509" t="s">
        <v>133</v>
      </c>
      <c r="B509" s="49">
        <v>4671.3023595000104</v>
      </c>
    </row>
    <row r="510" spans="1:2">
      <c r="A510" t="s">
        <v>134</v>
      </c>
      <c r="B510" s="49">
        <v>8508.6457040000005</v>
      </c>
    </row>
    <row r="511" spans="1:2">
      <c r="A511" t="s">
        <v>135</v>
      </c>
      <c r="B511" s="49">
        <v>10.92527875</v>
      </c>
    </row>
    <row r="512" spans="1:2">
      <c r="A512" t="s">
        <v>149</v>
      </c>
      <c r="B512" s="49">
        <v>-53.620999999999498</v>
      </c>
    </row>
    <row r="513" spans="1:2">
      <c r="A513" t="s">
        <v>150</v>
      </c>
      <c r="B513" s="49">
        <v>0</v>
      </c>
    </row>
    <row r="514" spans="1:2">
      <c r="A514" t="s">
        <v>151</v>
      </c>
      <c r="B514" s="49">
        <v>0</v>
      </c>
    </row>
    <row r="515" spans="1:2">
      <c r="A515" t="s">
        <v>136</v>
      </c>
      <c r="B515" s="49">
        <v>0</v>
      </c>
    </row>
    <row r="516" spans="1:2">
      <c r="A516" t="s">
        <v>137</v>
      </c>
      <c r="B516" s="49">
        <v>679.83999999999799</v>
      </c>
    </row>
    <row r="517" spans="1:2">
      <c r="A517" t="s">
        <v>138</v>
      </c>
      <c r="B517" s="49">
        <v>0</v>
      </c>
    </row>
    <row r="518" spans="1:2">
      <c r="A518" t="s">
        <v>139</v>
      </c>
      <c r="B518" s="49">
        <v>-29.1177999999999</v>
      </c>
    </row>
    <row r="519" spans="1:2">
      <c r="A519" t="s">
        <v>140</v>
      </c>
      <c r="B519" s="49">
        <v>-62.130989999999997</v>
      </c>
    </row>
    <row r="520" spans="1:2">
      <c r="A520" t="s">
        <v>141</v>
      </c>
      <c r="B520" s="49">
        <v>0</v>
      </c>
    </row>
    <row r="521" spans="1:2">
      <c r="A521" s="10" t="s">
        <v>26</v>
      </c>
      <c r="B521" s="99">
        <v>15302.697689250001</v>
      </c>
    </row>
  </sheetData>
  <sortState ref="A1:B23">
    <sortCondition ref="B1:B23"/>
  </sortState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Original</vt:lpstr>
      <vt:lpstr>Per Id</vt:lpstr>
      <vt:lpstr>Per Data+Id</vt:lpstr>
      <vt:lpstr>CàlculTCompres</vt:lpstr>
      <vt:lpstr>Fons</vt:lpstr>
      <vt:lpstr>Comprovació Saldos</vt:lpstr>
      <vt:lpstr>Contra Split</vt:lpstr>
      <vt:lpstr>PiG</vt:lpstr>
      <vt:lpstr>PiG2</vt:lpstr>
      <vt:lpstr>NouPreuUnitPonderat</vt:lpstr>
      <vt:lpstr>NumPartCompra</vt:lpstr>
      <vt:lpstr>NumPartVenda</vt:lpstr>
      <vt:lpstr>PreuUnitOrig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2017-06-20T09:39:21Z</dcterms:created>
  <dcterms:modified xsi:type="dcterms:W3CDTF">2017-09-30T17:28:05Z</dcterms:modified>
</cp:coreProperties>
</file>