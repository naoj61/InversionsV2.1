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Repositoris\C#\_Actiu\InversionsV2\Docs\"/>
    </mc:Choice>
  </mc:AlternateContent>
  <xr:revisionPtr revIDLastSave="0" documentId="13_ncr:1_{C9EA99FF-649A-4DC4-A889-3F89FE1EEBE1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Movs" sheetId="3" r:id="rId1"/>
    <sheet name="Orig Vendes Reals" sheetId="4" r:id="rId2"/>
  </sheets>
  <calcPr calcId="191029"/>
</workbook>
</file>

<file path=xl/calcChain.xml><?xml version="1.0" encoding="utf-8"?>
<calcChain xmlns="http://schemas.openxmlformats.org/spreadsheetml/2006/main">
  <c r="R11" i="4" l="1"/>
  <c r="J2" i="3" l="1"/>
  <c r="I2" i="3"/>
  <c r="R6" i="4"/>
  <c r="L6" i="4"/>
  <c r="M6" i="4" s="1"/>
  <c r="P6" i="4" s="1"/>
  <c r="K6" i="4"/>
  <c r="N4" i="4"/>
  <c r="M4" i="4"/>
  <c r="P4" i="4" s="1"/>
  <c r="R4" i="4" s="1"/>
  <c r="L4" i="4"/>
  <c r="K4" i="4"/>
  <c r="S2" i="4"/>
  <c r="P11" i="4"/>
  <c r="L11" i="4"/>
  <c r="K9" i="4"/>
  <c r="K10" i="4"/>
  <c r="K8" i="4"/>
  <c r="K5" i="4"/>
  <c r="K3" i="4"/>
  <c r="K2" i="4" s="1"/>
  <c r="P5" i="4"/>
  <c r="H7" i="3"/>
  <c r="H4" i="3"/>
  <c r="H5" i="3" s="1"/>
  <c r="H6" i="3" s="1"/>
  <c r="N6" i="4" l="1"/>
  <c r="O6" i="4" s="1"/>
  <c r="Q6" i="4" s="1"/>
  <c r="S6" i="4" s="1"/>
  <c r="T6" i="4" s="1"/>
  <c r="S4" i="4"/>
  <c r="T4" i="4" s="1"/>
  <c r="O4" i="4"/>
  <c r="Q4" i="4" s="1"/>
  <c r="K7" i="4"/>
  <c r="P3" i="4" l="1"/>
  <c r="L2" i="4" l="1"/>
  <c r="H2" i="3"/>
  <c r="H3" i="3" l="1"/>
  <c r="N2" i="4"/>
  <c r="M2" i="4" l="1"/>
  <c r="P2" i="4" s="1"/>
  <c r="R2" i="4" s="1"/>
  <c r="O2" i="4"/>
  <c r="Q2" i="4" s="1"/>
  <c r="T2" i="4" l="1"/>
</calcChain>
</file>

<file path=xl/sharedStrings.xml><?xml version="1.0" encoding="utf-8"?>
<sst xmlns="http://schemas.openxmlformats.org/spreadsheetml/2006/main" count="63" uniqueCount="35">
  <si>
    <t>Traspàs C</t>
  </si>
  <si>
    <t>Traspàs V</t>
  </si>
  <si>
    <t>Id</t>
  </si>
  <si>
    <t>Mov</t>
  </si>
  <si>
    <t>Data</t>
  </si>
  <si>
    <t>Parts</t>
  </si>
  <si>
    <t>Brut</t>
  </si>
  <si>
    <t>PU</t>
  </si>
  <si>
    <t>Saldo parts</t>
  </si>
  <si>
    <t>Id Orig</t>
  </si>
  <si>
    <t>Nom Fons Orig</t>
  </si>
  <si>
    <t>Data Compra Venda</t>
  </si>
  <si>
    <t>Data Orig Compra</t>
  </si>
  <si>
    <t>PU Orig</t>
  </si>
  <si>
    <t>Parts Orig</t>
  </si>
  <si>
    <t>Parts Util</t>
  </si>
  <si>
    <t>Parts Orig Ut</t>
  </si>
  <si>
    <t>Parts en cartera</t>
  </si>
  <si>
    <t>Parts orig en cartera</t>
  </si>
  <si>
    <t>Import Orig venda real</t>
  </si>
  <si>
    <t>Import Orig en cartera</t>
  </si>
  <si>
    <t>Pig Origen venda real</t>
  </si>
  <si>
    <t>PiG Origen en cartera</t>
  </si>
  <si>
    <t>PiG Total</t>
  </si>
  <si>
    <t>CT</t>
  </si>
  <si>
    <t>VT</t>
  </si>
  <si>
    <t>Bolsa Tecnología y Telecomunicaciones FI</t>
  </si>
  <si>
    <t>Total Return N Acc €-H1</t>
  </si>
  <si>
    <t>PiG</t>
  </si>
  <si>
    <t>NULL</t>
  </si>
  <si>
    <t>V</t>
  </si>
  <si>
    <t>Venda</t>
  </si>
  <si>
    <t>Cartera</t>
  </si>
  <si>
    <t>Parts VT o Ocup</t>
  </si>
  <si>
    <t>Imp. Vendes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</si>
</sst>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8" formatCode="#,##0.00\ &quot;€&quot;;[Red]\-#,##0.00\ &quot;€&quot;"/>
    <numFmt numFmtId="164" formatCode="0.000"/>
    <numFmt numFmtId="165" formatCode="#,##0.000"/>
    <numFmt numFmtId="166" formatCode="#,##0.000\ &quot;€&quot;;[Red]\-#,##0.000\ &quot;€&quot;"/>
    <numFmt numFmtId="167" formatCode="#,##0.000\ &quot;€&quot;"/>
    <numFmt numFmtId="168" formatCode="#,##0.00\ &quot;€&quot;"/>
    <numFmt numFmtId="169" formatCode="0.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 style="thick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4" fontId="0" fillId="0" borderId="0" xfId="0" applyNumberFormat="1"/>
    <xf numFmtId="164" fontId="0" fillId="0" borderId="0" xfId="0" applyNumberFormat="1"/>
    <xf numFmtId="0" fontId="1" fillId="0" borderId="0" xfId="0" applyFont="1" applyAlignment="1">
      <alignment horizontal="center"/>
    </xf>
    <xf numFmtId="8" fontId="0" fillId="0" borderId="0" xfId="0" applyNumberFormat="1"/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8" fontId="0" fillId="0" borderId="0" xfId="0" applyNumberFormat="1" applyAlignment="1">
      <alignment vertical="center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2" borderId="0" xfId="0" applyFill="1"/>
    <xf numFmtId="14" fontId="0" fillId="2" borderId="0" xfId="0" applyNumberFormat="1" applyFill="1"/>
    <xf numFmtId="166" fontId="0" fillId="2" borderId="0" xfId="0" applyNumberFormat="1" applyFill="1" applyAlignment="1">
      <alignment vertical="center" wrapText="1"/>
    </xf>
    <xf numFmtId="167" fontId="0" fillId="2" borderId="0" xfId="0" applyNumberFormat="1" applyFill="1"/>
    <xf numFmtId="164" fontId="0" fillId="2" borderId="0" xfId="0" applyNumberFormat="1" applyFill="1"/>
    <xf numFmtId="165" fontId="0" fillId="2" borderId="0" xfId="0" applyNumberFormat="1" applyFill="1"/>
    <xf numFmtId="168" fontId="0" fillId="2" borderId="0" xfId="0" applyNumberFormat="1" applyFill="1"/>
    <xf numFmtId="0" fontId="0" fillId="3" borderId="0" xfId="0" applyFill="1"/>
    <xf numFmtId="14" fontId="0" fillId="3" borderId="0" xfId="0" applyNumberFormat="1" applyFill="1"/>
    <xf numFmtId="165" fontId="0" fillId="2" borderId="1" xfId="0" applyNumberFormat="1" applyFill="1" applyBorder="1"/>
    <xf numFmtId="166" fontId="0" fillId="3" borderId="0" xfId="0" applyNumberFormat="1" applyFill="1" applyAlignment="1">
      <alignment vertical="center" wrapText="1"/>
    </xf>
    <xf numFmtId="167" fontId="0" fillId="3" borderId="0" xfId="0" applyNumberFormat="1" applyFill="1"/>
    <xf numFmtId="164" fontId="0" fillId="3" borderId="0" xfId="0" applyNumberFormat="1" applyFill="1"/>
    <xf numFmtId="165" fontId="0" fillId="3" borderId="1" xfId="0" applyNumberFormat="1" applyFill="1" applyBorder="1"/>
    <xf numFmtId="165" fontId="0" fillId="3" borderId="0" xfId="0" applyNumberFormat="1" applyFill="1"/>
    <xf numFmtId="168" fontId="0" fillId="3" borderId="0" xfId="0" applyNumberFormat="1" applyFill="1"/>
    <xf numFmtId="169" fontId="0" fillId="0" borderId="0" xfId="0" applyNumberFormat="1"/>
    <xf numFmtId="0" fontId="1" fillId="0" borderId="2" xfId="0" applyFont="1" applyBorder="1" applyAlignment="1">
      <alignment horizontal="center" vertical="center"/>
    </xf>
    <xf numFmtId="164" fontId="0" fillId="2" borderId="3" xfId="0" applyNumberFormat="1" applyFill="1" applyBorder="1"/>
    <xf numFmtId="164" fontId="0" fillId="3" borderId="3" xfId="0" applyNumberFormat="1" applyFill="1" applyBorder="1"/>
    <xf numFmtId="169" fontId="0" fillId="0" borderId="0" xfId="0" applyNumberFormat="1" applyAlignment="1">
      <alignment vertical="center" wrapText="1"/>
    </xf>
    <xf numFmtId="8" fontId="1" fillId="0" borderId="0" xfId="0" applyNumberFormat="1" applyFont="1" applyAlignment="1">
      <alignment vertical="center" wrapText="1"/>
    </xf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FDABC-72FD-4B7B-9322-0520F4E0EAB0}">
  <dimension ref="A1:J9"/>
  <sheetViews>
    <sheetView zoomScale="130" zoomScaleNormal="130" workbookViewId="0">
      <selection activeCell="J3" sqref="J3"/>
    </sheetView>
  </sheetViews>
  <sheetFormatPr defaultRowHeight="14.5" x14ac:dyDescent="0.35"/>
  <cols>
    <col min="1" max="1" width="4.81640625" bestFit="1" customWidth="1"/>
    <col min="2" max="2" width="8.81640625" bestFit="1" customWidth="1"/>
    <col min="3" max="3" width="10.7265625" bestFit="1" customWidth="1"/>
    <col min="6" max="6" width="11.1796875" customWidth="1"/>
    <col min="7" max="7" width="3.36328125" customWidth="1"/>
    <col min="9" max="9" width="10.6328125" bestFit="1" customWidth="1"/>
    <col min="10" max="10" width="11.26953125" bestFit="1" customWidth="1"/>
  </cols>
  <sheetData>
    <row r="1" spans="1:10" ht="29" x14ac:dyDescent="0.35">
      <c r="A1" s="3" t="s">
        <v>2</v>
      </c>
      <c r="C1" s="3" t="s">
        <v>4</v>
      </c>
      <c r="D1" s="3" t="s">
        <v>5</v>
      </c>
      <c r="E1" s="3" t="s">
        <v>7</v>
      </c>
      <c r="F1" s="3" t="s">
        <v>6</v>
      </c>
      <c r="H1" s="8" t="s">
        <v>8</v>
      </c>
      <c r="I1" s="8" t="s">
        <v>34</v>
      </c>
      <c r="J1" s="8" t="s">
        <v>28</v>
      </c>
    </row>
    <row r="2" spans="1:10" x14ac:dyDescent="0.35">
      <c r="A2" s="5">
        <v>101</v>
      </c>
      <c r="B2" s="5" t="s">
        <v>0</v>
      </c>
      <c r="C2" s="6">
        <v>42279</v>
      </c>
      <c r="D2" s="33">
        <v>160.75280000000001</v>
      </c>
      <c r="E2" s="7">
        <v>323.52999999999997</v>
      </c>
      <c r="F2" s="7">
        <v>52008.35</v>
      </c>
      <c r="H2">
        <f>D2</f>
        <v>160.75280000000001</v>
      </c>
      <c r="I2" s="4">
        <f>SUM(F3:F7)</f>
        <v>71661.8</v>
      </c>
      <c r="J2" s="4">
        <f>I2-F2</f>
        <v>19653.450000000004</v>
      </c>
    </row>
    <row r="3" spans="1:10" x14ac:dyDescent="0.35">
      <c r="A3" s="5">
        <v>172</v>
      </c>
      <c r="B3" s="5" t="s">
        <v>1</v>
      </c>
      <c r="C3" s="6">
        <v>43525</v>
      </c>
      <c r="D3" s="33">
        <v>80.752799999999993</v>
      </c>
      <c r="E3" s="7">
        <v>375.55</v>
      </c>
      <c r="F3" s="7">
        <v>30326.71</v>
      </c>
      <c r="H3" s="1">
        <f>H2-D3</f>
        <v>80.000000000000014</v>
      </c>
    </row>
    <row r="4" spans="1:10" x14ac:dyDescent="0.35">
      <c r="A4" s="5">
        <v>196</v>
      </c>
      <c r="B4" s="5" t="s">
        <v>1</v>
      </c>
      <c r="C4" s="6">
        <v>44469</v>
      </c>
      <c r="D4" s="33">
        <v>20</v>
      </c>
      <c r="E4" s="7">
        <v>533.87</v>
      </c>
      <c r="F4" s="7">
        <v>10677.4</v>
      </c>
      <c r="H4" s="1">
        <f t="shared" ref="H4:H7" si="0">H3-D4</f>
        <v>60.000000000000014</v>
      </c>
    </row>
    <row r="5" spans="1:10" x14ac:dyDescent="0.35">
      <c r="A5" s="5">
        <v>204</v>
      </c>
      <c r="B5" s="5" t="s">
        <v>1</v>
      </c>
      <c r="C5" s="6">
        <v>44522</v>
      </c>
      <c r="D5" s="33">
        <v>35</v>
      </c>
      <c r="E5" s="7">
        <v>574.70000000000005</v>
      </c>
      <c r="F5" s="7">
        <v>20114.5</v>
      </c>
      <c r="H5" s="1">
        <f t="shared" si="0"/>
        <v>25.000000000000014</v>
      </c>
    </row>
    <row r="6" spans="1:10" x14ac:dyDescent="0.35">
      <c r="A6" s="5">
        <v>218</v>
      </c>
      <c r="B6" s="5" t="s">
        <v>1</v>
      </c>
      <c r="C6" s="6">
        <v>44734</v>
      </c>
      <c r="D6" s="33">
        <v>23.369900000000001</v>
      </c>
      <c r="E6" s="7">
        <v>416.92</v>
      </c>
      <c r="F6" s="7">
        <v>9743.3799999999992</v>
      </c>
      <c r="H6" s="1">
        <f t="shared" si="0"/>
        <v>1.630100000000013</v>
      </c>
    </row>
    <row r="7" spans="1:10" x14ac:dyDescent="0.35">
      <c r="A7" s="5">
        <v>1252</v>
      </c>
      <c r="B7" s="5" t="s">
        <v>31</v>
      </c>
      <c r="C7" s="6">
        <v>45054</v>
      </c>
      <c r="D7" s="33">
        <v>1.6301000000000001</v>
      </c>
      <c r="E7" s="7">
        <v>490.65</v>
      </c>
      <c r="F7" s="7">
        <v>799.81</v>
      </c>
      <c r="H7" s="1">
        <f t="shared" si="0"/>
        <v>1.2878587085651816E-14</v>
      </c>
    </row>
    <row r="8" spans="1:10" x14ac:dyDescent="0.35">
      <c r="B8" s="5" t="s">
        <v>32</v>
      </c>
      <c r="D8" s="5">
        <v>0</v>
      </c>
    </row>
    <row r="9" spans="1:10" x14ac:dyDescent="0.35">
      <c r="D9" s="29"/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6EA1D-6BC1-4561-91C8-DA45EBB01657}">
  <dimension ref="A1:T13"/>
  <sheetViews>
    <sheetView tabSelected="1" zoomScale="130" zoomScaleNormal="130" workbookViewId="0">
      <pane xSplit="3" ySplit="1" topLeftCell="I2" activePane="bottomRight" state="frozen"/>
      <selection pane="topRight" activeCell="D1" sqref="D1"/>
      <selection pane="bottomLeft" activeCell="A2" sqref="A2"/>
      <selection pane="bottomRight" activeCell="R12" sqref="R12"/>
    </sheetView>
  </sheetViews>
  <sheetFormatPr defaultRowHeight="14.5" x14ac:dyDescent="0.35"/>
  <cols>
    <col min="1" max="1" width="4.7265625" customWidth="1"/>
    <col min="2" max="2" width="5.1796875" bestFit="1" customWidth="1"/>
    <col min="3" max="3" width="4.90625" customWidth="1"/>
    <col min="4" max="4" width="11.36328125" customWidth="1"/>
    <col min="5" max="5" width="11.81640625" customWidth="1"/>
    <col min="6" max="6" width="11" bestFit="1" customWidth="1"/>
    <col min="7" max="7" width="12.453125" bestFit="1" customWidth="1"/>
    <col min="8" max="8" width="9.1796875" bestFit="1" customWidth="1"/>
    <col min="9" max="9" width="9.26953125" bestFit="1" customWidth="1"/>
    <col min="10" max="10" width="9.54296875" bestFit="1" customWidth="1"/>
    <col min="11" max="11" width="8.81640625" customWidth="1"/>
    <col min="12" max="12" width="9.54296875" bestFit="1" customWidth="1"/>
    <col min="13" max="13" width="8.81640625" customWidth="1"/>
    <col min="14" max="14" width="9.453125" bestFit="1" customWidth="1"/>
    <col min="15" max="15" width="10.453125" customWidth="1"/>
    <col min="16" max="17" width="12.08984375" bestFit="1" customWidth="1"/>
    <col min="18" max="18" width="12.54296875" bestFit="1" customWidth="1"/>
    <col min="19" max="19" width="12.08984375" bestFit="1" customWidth="1"/>
    <col min="20" max="20" width="11.90625" bestFit="1" customWidth="1"/>
  </cols>
  <sheetData>
    <row r="1" spans="1:20" ht="31.5" customHeight="1" x14ac:dyDescent="0.35">
      <c r="A1" s="9" t="s">
        <v>3</v>
      </c>
      <c r="B1" s="10" t="s">
        <v>2</v>
      </c>
      <c r="C1" s="9" t="s">
        <v>9</v>
      </c>
      <c r="D1" s="9" t="s">
        <v>10</v>
      </c>
      <c r="E1" s="11" t="s">
        <v>11</v>
      </c>
      <c r="F1" s="9" t="s">
        <v>12</v>
      </c>
      <c r="G1" s="3" t="s">
        <v>7</v>
      </c>
      <c r="H1" s="3" t="s">
        <v>13</v>
      </c>
      <c r="I1" s="30" t="s">
        <v>5</v>
      </c>
      <c r="J1" s="12" t="s">
        <v>14</v>
      </c>
      <c r="K1" s="9" t="s">
        <v>33</v>
      </c>
      <c r="L1" s="9" t="s">
        <v>15</v>
      </c>
      <c r="M1" s="9" t="s">
        <v>16</v>
      </c>
      <c r="N1" s="9" t="s">
        <v>17</v>
      </c>
      <c r="O1" s="9" t="s">
        <v>18</v>
      </c>
      <c r="P1" s="8" t="s">
        <v>19</v>
      </c>
      <c r="Q1" s="9" t="s">
        <v>20</v>
      </c>
      <c r="R1" s="9" t="s">
        <v>21</v>
      </c>
      <c r="S1" s="9" t="s">
        <v>22</v>
      </c>
      <c r="T1" s="9" t="s">
        <v>23</v>
      </c>
    </row>
    <row r="2" spans="1:20" x14ac:dyDescent="0.35">
      <c r="A2" s="13" t="s">
        <v>24</v>
      </c>
      <c r="B2" s="13">
        <v>101</v>
      </c>
      <c r="C2" s="13">
        <v>15</v>
      </c>
      <c r="D2" s="13" t="s">
        <v>26</v>
      </c>
      <c r="E2" s="14">
        <v>42279.463807870372</v>
      </c>
      <c r="F2" s="14">
        <v>36841</v>
      </c>
      <c r="G2" s="15">
        <v>323.52997894904399</v>
      </c>
      <c r="H2" s="16">
        <v>22.9920399034783</v>
      </c>
      <c r="I2" s="31">
        <v>24.7409</v>
      </c>
      <c r="J2" s="22">
        <v>679.64009999999996</v>
      </c>
      <c r="K2" s="17">
        <f>K3</f>
        <v>24.7409</v>
      </c>
      <c r="L2" s="17">
        <f>SUM(L3)</f>
        <v>0</v>
      </c>
      <c r="M2" s="17">
        <f>J2/I2*L2</f>
        <v>0</v>
      </c>
      <c r="N2" s="18">
        <f>I2-(L2+K2)</f>
        <v>0</v>
      </c>
      <c r="O2" s="18">
        <f>J2/I2*N2</f>
        <v>0</v>
      </c>
      <c r="P2" s="19">
        <f>H2*M2</f>
        <v>0</v>
      </c>
      <c r="Q2" s="16">
        <f>O2*H2</f>
        <v>0</v>
      </c>
      <c r="R2" s="16">
        <f>SUM(P3)-P2</f>
        <v>0</v>
      </c>
      <c r="S2" s="16">
        <f>N2*G$12-Q2</f>
        <v>0</v>
      </c>
      <c r="T2" s="16">
        <f>R2+S2</f>
        <v>0</v>
      </c>
    </row>
    <row r="3" spans="1:20" x14ac:dyDescent="0.35">
      <c r="A3" s="20" t="s">
        <v>25</v>
      </c>
      <c r="B3" s="20">
        <v>172</v>
      </c>
      <c r="C3" s="20" t="s">
        <v>29</v>
      </c>
      <c r="D3" s="20" t="s">
        <v>29</v>
      </c>
      <c r="E3" s="21">
        <v>43525.444004629629</v>
      </c>
      <c r="F3" s="21"/>
      <c r="G3" s="23">
        <v>375.55</v>
      </c>
      <c r="H3" s="24"/>
      <c r="I3" s="32">
        <v>80.752799999999993</v>
      </c>
      <c r="J3" s="26"/>
      <c r="K3" s="25">
        <f>I2</f>
        <v>24.7409</v>
      </c>
      <c r="L3" s="25"/>
      <c r="M3" s="25"/>
      <c r="N3" s="27"/>
      <c r="O3" s="27"/>
      <c r="P3" s="28">
        <f>L3*G3</f>
        <v>0</v>
      </c>
      <c r="Q3" s="24"/>
      <c r="R3" s="24"/>
      <c r="S3" s="24"/>
      <c r="T3" s="24"/>
    </row>
    <row r="4" spans="1:20" x14ac:dyDescent="0.35">
      <c r="A4" s="13" t="s">
        <v>24</v>
      </c>
      <c r="B4" s="13">
        <v>101</v>
      </c>
      <c r="C4" s="13">
        <v>16</v>
      </c>
      <c r="D4" s="13" t="s">
        <v>27</v>
      </c>
      <c r="E4" s="14">
        <v>42279.463807870372</v>
      </c>
      <c r="F4" s="14">
        <v>41166.000694444447</v>
      </c>
      <c r="G4" s="15">
        <v>323.52997894904399</v>
      </c>
      <c r="H4" s="16">
        <v>18.259999998612201</v>
      </c>
      <c r="I4" s="31">
        <v>48.378</v>
      </c>
      <c r="J4" s="22">
        <v>547.64509999999996</v>
      </c>
      <c r="K4" s="17">
        <f>K5</f>
        <v>48.378</v>
      </c>
      <c r="L4" s="17">
        <f>SUM(L5)</f>
        <v>0</v>
      </c>
      <c r="M4" s="17">
        <f>J4/I4*L4</f>
        <v>0</v>
      </c>
      <c r="N4" s="18">
        <f>I4-(L4+K4)</f>
        <v>0</v>
      </c>
      <c r="O4" s="18">
        <f>J4/I4*N4</f>
        <v>0</v>
      </c>
      <c r="P4" s="19">
        <f>H4*M4</f>
        <v>0</v>
      </c>
      <c r="Q4" s="16">
        <f>O4*H4</f>
        <v>0</v>
      </c>
      <c r="R4" s="16">
        <f>SUM(P5)-P4</f>
        <v>0</v>
      </c>
      <c r="S4" s="16">
        <f>N4*G$12-Q4</f>
        <v>0</v>
      </c>
      <c r="T4" s="16">
        <f>R4+S4</f>
        <v>0</v>
      </c>
    </row>
    <row r="5" spans="1:20" x14ac:dyDescent="0.35">
      <c r="A5" s="20" t="s">
        <v>25</v>
      </c>
      <c r="B5" s="20">
        <v>172</v>
      </c>
      <c r="C5" s="20" t="s">
        <v>29</v>
      </c>
      <c r="D5" s="20" t="s">
        <v>29</v>
      </c>
      <c r="E5" s="21">
        <v>43525.444004629629</v>
      </c>
      <c r="F5" s="21"/>
      <c r="G5" s="23">
        <v>375.55</v>
      </c>
      <c r="H5" s="24"/>
      <c r="I5" s="32">
        <v>80.752799999999993</v>
      </c>
      <c r="J5" s="26"/>
      <c r="K5" s="25">
        <f>I4</f>
        <v>48.378</v>
      </c>
      <c r="L5" s="25"/>
      <c r="M5" s="25"/>
      <c r="N5" s="27"/>
      <c r="O5" s="27"/>
      <c r="P5" s="28">
        <f>L5*G5</f>
        <v>0</v>
      </c>
      <c r="Q5" s="24"/>
      <c r="R5" s="24"/>
      <c r="S5" s="24"/>
      <c r="T5" s="24"/>
    </row>
    <row r="6" spans="1:20" x14ac:dyDescent="0.35">
      <c r="A6" s="13" t="s">
        <v>24</v>
      </c>
      <c r="B6" s="13">
        <v>101</v>
      </c>
      <c r="C6" s="13">
        <v>17</v>
      </c>
      <c r="D6" s="13" t="s">
        <v>27</v>
      </c>
      <c r="E6" s="14">
        <v>42279.463807870372</v>
      </c>
      <c r="F6" s="14">
        <v>41377</v>
      </c>
      <c r="G6" s="15">
        <v>323.52997894904399</v>
      </c>
      <c r="H6" s="16">
        <v>19.7899983277443</v>
      </c>
      <c r="I6" s="31">
        <v>87.633899999999997</v>
      </c>
      <c r="J6" s="22">
        <v>992.3886</v>
      </c>
      <c r="K6" s="17">
        <f>SUM(K7:K11)</f>
        <v>86.003799999999998</v>
      </c>
      <c r="L6" s="17">
        <f>SUM(L7:L11)</f>
        <v>1.6301000000000001</v>
      </c>
      <c r="M6" s="17">
        <f>J6/I6*L6</f>
        <v>18.459667512914525</v>
      </c>
      <c r="N6" s="18">
        <f>I6-(L6+K6)</f>
        <v>0</v>
      </c>
      <c r="O6" s="18">
        <f>J6/I6*N6</f>
        <v>0</v>
      </c>
      <c r="P6" s="19">
        <f>H6*M6</f>
        <v>365.31678921129424</v>
      </c>
      <c r="Q6" s="16">
        <f>O6*H6</f>
        <v>0</v>
      </c>
      <c r="R6" s="16">
        <f>SUM(P7:P11)-P6</f>
        <v>434.49177578870581</v>
      </c>
      <c r="S6" s="16">
        <f>N6*G$12-Q6</f>
        <v>0</v>
      </c>
      <c r="T6" s="16">
        <f>R6+S6</f>
        <v>434.49177578870581</v>
      </c>
    </row>
    <row r="7" spans="1:20" x14ac:dyDescent="0.35">
      <c r="A7" s="20" t="s">
        <v>25</v>
      </c>
      <c r="B7" s="20">
        <v>172</v>
      </c>
      <c r="C7" s="20" t="s">
        <v>29</v>
      </c>
      <c r="D7" s="20" t="s">
        <v>29</v>
      </c>
      <c r="E7" s="21">
        <v>43525.444004629629</v>
      </c>
      <c r="F7" s="21"/>
      <c r="G7" s="23">
        <v>375.55</v>
      </c>
      <c r="H7" s="24"/>
      <c r="I7" s="32">
        <v>80.752799999999993</v>
      </c>
      <c r="J7" s="26"/>
      <c r="K7" s="25">
        <f>I7-K5-K3</f>
        <v>7.6338999999999935</v>
      </c>
      <c r="L7" s="25"/>
      <c r="M7" s="25"/>
      <c r="N7" s="27"/>
      <c r="O7" s="27"/>
      <c r="P7" s="28">
        <v>0</v>
      </c>
      <c r="Q7" s="24"/>
      <c r="R7" s="24"/>
      <c r="S7" s="24"/>
      <c r="T7" s="24"/>
    </row>
    <row r="8" spans="1:20" x14ac:dyDescent="0.35">
      <c r="A8" s="20" t="s">
        <v>25</v>
      </c>
      <c r="B8" s="20">
        <v>196</v>
      </c>
      <c r="C8" s="20" t="s">
        <v>29</v>
      </c>
      <c r="D8" s="20" t="s">
        <v>29</v>
      </c>
      <c r="E8" s="21">
        <v>44469.586064814815</v>
      </c>
      <c r="F8" s="21"/>
      <c r="G8" s="23">
        <v>533.87</v>
      </c>
      <c r="H8" s="24"/>
      <c r="I8" s="32">
        <v>20</v>
      </c>
      <c r="J8" s="26"/>
      <c r="K8" s="25">
        <f>I8</f>
        <v>20</v>
      </c>
      <c r="L8" s="25"/>
      <c r="M8" s="25"/>
      <c r="N8" s="27"/>
      <c r="O8" s="27"/>
      <c r="P8" s="28">
        <v>0</v>
      </c>
      <c r="Q8" s="24"/>
      <c r="R8" s="24"/>
      <c r="S8" s="24"/>
      <c r="T8" s="24"/>
    </row>
    <row r="9" spans="1:20" x14ac:dyDescent="0.35">
      <c r="A9" s="20" t="s">
        <v>25</v>
      </c>
      <c r="B9" s="20">
        <v>204</v>
      </c>
      <c r="C9" s="20" t="s">
        <v>29</v>
      </c>
      <c r="D9" s="20" t="s">
        <v>29</v>
      </c>
      <c r="E9" s="21">
        <v>44522.518993055557</v>
      </c>
      <c r="F9" s="21"/>
      <c r="G9" s="23">
        <v>574.70000000000005</v>
      </c>
      <c r="H9" s="24"/>
      <c r="I9" s="32">
        <v>35</v>
      </c>
      <c r="J9" s="26"/>
      <c r="K9" s="25">
        <f t="shared" ref="K9:K10" si="0">I9</f>
        <v>35</v>
      </c>
      <c r="L9" s="25"/>
      <c r="M9" s="25"/>
      <c r="N9" s="27"/>
      <c r="O9" s="27"/>
      <c r="P9" s="28">
        <v>0</v>
      </c>
      <c r="Q9" s="24"/>
      <c r="R9" s="24"/>
      <c r="S9" s="24"/>
      <c r="T9" s="24"/>
    </row>
    <row r="10" spans="1:20" x14ac:dyDescent="0.35">
      <c r="A10" s="20" t="s">
        <v>25</v>
      </c>
      <c r="B10" s="20">
        <v>218</v>
      </c>
      <c r="C10" s="20" t="s">
        <v>29</v>
      </c>
      <c r="D10" s="20" t="s">
        <v>29</v>
      </c>
      <c r="E10" s="21">
        <v>44734.476967592593</v>
      </c>
      <c r="F10" s="21"/>
      <c r="G10" s="23">
        <v>416.92</v>
      </c>
      <c r="H10" s="24"/>
      <c r="I10" s="32">
        <v>23.369900000000001</v>
      </c>
      <c r="J10" s="26"/>
      <c r="K10" s="25">
        <f t="shared" si="0"/>
        <v>23.369900000000001</v>
      </c>
      <c r="L10" s="25"/>
      <c r="M10" s="25"/>
      <c r="N10" s="27"/>
      <c r="O10" s="27"/>
      <c r="P10" s="28">
        <v>0</v>
      </c>
      <c r="Q10" s="24"/>
      <c r="R10" s="24"/>
      <c r="S10" s="24"/>
      <c r="T10" s="24"/>
    </row>
    <row r="11" spans="1:20" x14ac:dyDescent="0.35">
      <c r="A11" s="20" t="s">
        <v>30</v>
      </c>
      <c r="B11" s="20">
        <v>1252</v>
      </c>
      <c r="C11" s="20" t="s">
        <v>29</v>
      </c>
      <c r="D11" s="20" t="s">
        <v>29</v>
      </c>
      <c r="E11" s="21">
        <v>45054.531736111108</v>
      </c>
      <c r="F11" s="21"/>
      <c r="G11" s="23">
        <v>490.65</v>
      </c>
      <c r="H11" s="24"/>
      <c r="I11" s="32">
        <v>1.6301000000000001</v>
      </c>
      <c r="J11" s="26"/>
      <c r="K11" s="25"/>
      <c r="L11" s="25">
        <f>I11</f>
        <v>1.6301000000000001</v>
      </c>
      <c r="M11" s="25"/>
      <c r="N11" s="27"/>
      <c r="O11" s="27"/>
      <c r="P11" s="28">
        <f>L11*G11</f>
        <v>799.80856500000004</v>
      </c>
      <c r="Q11" s="24"/>
      <c r="R11" s="24">
        <f>P11-P6/L6*L11</f>
        <v>434.49177578870581</v>
      </c>
      <c r="S11" s="24"/>
      <c r="T11" s="24"/>
    </row>
    <row r="12" spans="1:20" x14ac:dyDescent="0.35">
      <c r="A12" s="35" t="s">
        <v>32</v>
      </c>
      <c r="G12" s="34">
        <v>0</v>
      </c>
      <c r="K12" s="2"/>
      <c r="N12" s="36">
        <v>0</v>
      </c>
    </row>
    <row r="13" spans="1:20" x14ac:dyDescent="0.35">
      <c r="I13" s="2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Movs</vt:lpstr>
      <vt:lpstr>Orig Vendes Reals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joanp</dc:creator>
  <cp:lastModifiedBy>joanp</cp:lastModifiedBy>
  <dcterms:created xsi:type="dcterms:W3CDTF">2021-05-06T11:19:57Z</dcterms:created>
  <dcterms:modified xsi:type="dcterms:W3CDTF">2024-09-21T08:02:09Z</dcterms:modified>
</cp:coreProperties>
</file>