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99933170-2D56-4685-86E6-F13704A45CEE}" xr6:coauthVersionLast="47" xr6:coauthVersionMax="47" xr10:uidLastSave="{00000000-0000-0000-0000-000000000000}"/>
  <bookViews>
    <workbookView xWindow="-110" yWindow="-110" windowWidth="19420" windowHeight="10420" tabRatio="689" xr2:uid="{67C9267C-8DE9-4BF2-8230-BF48900302D9}"/>
  </bookViews>
  <sheets>
    <sheet name="Compra 15" sheetId="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9" l="1"/>
  <c r="K15" i="9"/>
  <c r="J15" i="9" l="1"/>
  <c r="J11" i="9"/>
  <c r="L15" i="9"/>
  <c r="L11" i="9" l="1"/>
</calcChain>
</file>

<file path=xl/sharedStrings.xml><?xml version="1.0" encoding="utf-8"?>
<sst xmlns="http://schemas.openxmlformats.org/spreadsheetml/2006/main" count="44" uniqueCount="22">
  <si>
    <t>PU</t>
  </si>
  <si>
    <t>Id Orig</t>
  </si>
  <si>
    <t>Data Orig Compra</t>
  </si>
  <si>
    <t>Parts Util</t>
  </si>
  <si>
    <t>Parts Orig Ut</t>
  </si>
  <si>
    <t>Parts en cartera</t>
  </si>
  <si>
    <t>Parts orig en cartera</t>
  </si>
  <si>
    <t>PiG Orig en cartera</t>
  </si>
  <si>
    <t>PU Orig</t>
  </si>
  <si>
    <t>Import Orig venda real</t>
  </si>
  <si>
    <t>Pig Origen venda real</t>
  </si>
  <si>
    <t>Nom Fons Orig</t>
  </si>
  <si>
    <t>Bolsa Tecnología y Telecomunicaciones FI</t>
  </si>
  <si>
    <t>Data Compra Venda</t>
  </si>
  <si>
    <t>Import Orig en cartera</t>
  </si>
  <si>
    <t>Mov</t>
  </si>
  <si>
    <t>CT</t>
  </si>
  <si>
    <t>V</t>
  </si>
  <si>
    <t>Id Mov</t>
  </si>
  <si>
    <t>Parts Desg</t>
  </si>
  <si>
    <t>Parts Desg Orig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</si>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</sst>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,##0.000"/>
    <numFmt numFmtId="166" formatCode="#,##0.000\ &quot;€&quot;"/>
    <numFmt numFmtId="168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/>
    </xf>
    <xf numFmtId="0" fontId="0" fillId="2" borderId="0" xfId="0" applyFill="1"/>
    <xf numFmtId="1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8" fontId="0" fillId="2" borderId="0" xfId="0" applyNumberFormat="1" applyFill="1"/>
    <xf numFmtId="168" fontId="1" fillId="0" borderId="0" xfId="0" applyNumberFormat="1" applyFont="1" applyAlignment="1">
      <alignment horizontal="center" vertical="center"/>
    </xf>
    <xf numFmtId="168" fontId="0" fillId="0" borderId="0" xfId="0" applyNumberFormat="1"/>
    <xf numFmtId="168" fontId="0" fillId="3" borderId="0" xfId="0" applyNumberFormat="1" applyFill="1"/>
    <xf numFmtId="165" fontId="0" fillId="3" borderId="0" xfId="0" applyNumberFormat="1" applyFill="1"/>
    <xf numFmtId="0" fontId="0" fillId="3" borderId="0" xfId="0" applyFill="1"/>
    <xf numFmtId="14" fontId="0" fillId="3" borderId="0" xfId="0" applyNumberFormat="1" applyFill="1"/>
    <xf numFmtId="16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A2B2-2509-47A4-B7F1-E6D80090BB78}">
  <sheetPr>
    <tabColor rgb="FF00B0F0"/>
  </sheetPr>
  <dimension ref="A1:R15"/>
  <sheetViews>
    <sheetView tabSelected="1" zoomScale="85" zoomScaleNormal="85" workbookViewId="0">
      <pane ySplit="1" topLeftCell="A2" activePane="bottomLeft" state="frozen"/>
      <selection pane="bottomLeft" activeCell="E10" sqref="E10"/>
    </sheetView>
  </sheetViews>
  <sheetFormatPr defaultRowHeight="14.5" x14ac:dyDescent="0.35"/>
  <cols>
    <col min="1" max="1" width="4.81640625" bestFit="1" customWidth="1"/>
    <col min="2" max="2" width="5" bestFit="1" customWidth="1"/>
    <col min="3" max="3" width="4.54296875" customWidth="1"/>
    <col min="4" max="4" width="10.26953125" customWidth="1"/>
    <col min="5" max="5" width="11.90625" style="1" bestFit="1" customWidth="1"/>
    <col min="6" max="6" width="11.1796875" style="1" customWidth="1"/>
    <col min="7" max="7" width="11" style="5" bestFit="1" customWidth="1"/>
    <col min="8" max="8" width="10.6328125" style="5" bestFit="1" customWidth="1"/>
    <col min="9" max="10" width="9.6328125" style="4" bestFit="1" customWidth="1"/>
    <col min="11" max="11" width="9" style="17" bestFit="1" customWidth="1"/>
    <col min="12" max="12" width="9.26953125" style="4" customWidth="1"/>
    <col min="13" max="13" width="10.7265625" bestFit="1" customWidth="1"/>
    <col min="14" max="14" width="11.36328125" bestFit="1" customWidth="1"/>
    <col min="15" max="15" width="11.7265625" bestFit="1" customWidth="1"/>
    <col min="16" max="16" width="10.6328125" customWidth="1"/>
    <col min="17" max="17" width="11.26953125" bestFit="1" customWidth="1"/>
    <col min="18" max="18" width="13.90625" customWidth="1"/>
  </cols>
  <sheetData>
    <row r="1" spans="1:18" ht="29" customHeight="1" x14ac:dyDescent="0.35">
      <c r="A1" s="6" t="s">
        <v>15</v>
      </c>
      <c r="B1" s="2" t="s">
        <v>18</v>
      </c>
      <c r="C1" s="2" t="s">
        <v>1</v>
      </c>
      <c r="D1" s="2" t="s">
        <v>11</v>
      </c>
      <c r="E1" s="7" t="s">
        <v>13</v>
      </c>
      <c r="F1" s="7" t="s">
        <v>2</v>
      </c>
      <c r="G1" s="10" t="s">
        <v>0</v>
      </c>
      <c r="H1" s="10" t="s">
        <v>8</v>
      </c>
      <c r="I1" s="8" t="s">
        <v>19</v>
      </c>
      <c r="J1" s="9" t="s">
        <v>20</v>
      </c>
      <c r="K1" s="16" t="s">
        <v>3</v>
      </c>
      <c r="L1" s="9" t="s">
        <v>4</v>
      </c>
      <c r="M1" s="2" t="s">
        <v>5</v>
      </c>
      <c r="N1" s="2" t="s">
        <v>6</v>
      </c>
      <c r="O1" s="3" t="s">
        <v>9</v>
      </c>
      <c r="P1" s="2" t="s">
        <v>14</v>
      </c>
      <c r="Q1" s="2" t="s">
        <v>10</v>
      </c>
      <c r="R1" s="2" t="s">
        <v>7</v>
      </c>
    </row>
    <row r="2" spans="1:18" x14ac:dyDescent="0.35">
      <c r="A2" s="20" t="s">
        <v>21</v>
      </c>
      <c r="B2" s="20">
        <v>15</v>
      </c>
      <c r="C2" s="20">
        <v>15</v>
      </c>
      <c r="D2" s="20" t="s">
        <v>12</v>
      </c>
      <c r="E2" s="21">
        <v>36841</v>
      </c>
      <c r="F2" s="21">
        <v>36841</v>
      </c>
      <c r="G2" s="22">
        <v>22.9920399034783</v>
      </c>
      <c r="H2" s="22">
        <v>22.9920399034783</v>
      </c>
      <c r="I2" s="19">
        <v>679.64</v>
      </c>
      <c r="J2" s="19">
        <v>679.64</v>
      </c>
      <c r="K2" s="18"/>
      <c r="L2" s="19"/>
      <c r="M2" s="20"/>
      <c r="N2" s="20"/>
      <c r="O2" s="20"/>
      <c r="P2" s="20"/>
      <c r="Q2" s="20"/>
      <c r="R2" s="20"/>
    </row>
    <row r="3" spans="1:18" x14ac:dyDescent="0.35">
      <c r="A3" t="s">
        <v>16</v>
      </c>
      <c r="B3">
        <v>24</v>
      </c>
      <c r="C3">
        <v>15</v>
      </c>
      <c r="D3" t="s">
        <v>12</v>
      </c>
      <c r="E3" s="1">
        <v>41383.000011574077</v>
      </c>
      <c r="F3" s="1">
        <v>36841</v>
      </c>
      <c r="G3" s="5">
        <v>19.679972863926899</v>
      </c>
      <c r="H3" s="5">
        <v>22.9920399034783</v>
      </c>
      <c r="I3" s="4">
        <v>280.07</v>
      </c>
      <c r="J3" s="4">
        <v>679.64</v>
      </c>
    </row>
    <row r="4" spans="1:18" x14ac:dyDescent="0.35">
      <c r="A4" t="s">
        <v>16</v>
      </c>
      <c r="B4">
        <v>26</v>
      </c>
      <c r="C4">
        <v>15</v>
      </c>
      <c r="D4" t="s">
        <v>12</v>
      </c>
      <c r="E4" s="1">
        <v>41439.000011574077</v>
      </c>
      <c r="F4" s="1">
        <v>36841</v>
      </c>
      <c r="G4" s="5">
        <v>139.70998660100699</v>
      </c>
      <c r="H4" s="5">
        <v>22.9920399034783</v>
      </c>
      <c r="I4" s="4">
        <v>37.988199999999999</v>
      </c>
      <c r="J4" s="4">
        <v>679.64009999999996</v>
      </c>
    </row>
    <row r="5" spans="1:18" x14ac:dyDescent="0.35">
      <c r="A5" t="s">
        <v>16</v>
      </c>
      <c r="B5">
        <v>29</v>
      </c>
      <c r="C5">
        <v>15</v>
      </c>
      <c r="D5" t="s">
        <v>12</v>
      </c>
      <c r="E5" s="1">
        <v>41794.000011574077</v>
      </c>
      <c r="F5" s="1">
        <v>36841</v>
      </c>
      <c r="G5" s="5">
        <v>18.249684960674401</v>
      </c>
      <c r="H5" s="5">
        <v>22.9920399034783</v>
      </c>
      <c r="I5" s="4">
        <v>358.11520000000002</v>
      </c>
      <c r="J5" s="4">
        <v>679.64009999999996</v>
      </c>
    </row>
    <row r="6" spans="1:18" x14ac:dyDescent="0.35">
      <c r="A6" t="s">
        <v>16</v>
      </c>
      <c r="B6">
        <v>31</v>
      </c>
      <c r="C6">
        <v>15</v>
      </c>
      <c r="D6" t="s">
        <v>12</v>
      </c>
      <c r="E6" s="1">
        <v>41976</v>
      </c>
      <c r="F6" s="1">
        <v>36841</v>
      </c>
      <c r="G6" s="5">
        <v>168.57001179118001</v>
      </c>
      <c r="H6" s="5">
        <v>22.9920399034783</v>
      </c>
      <c r="I6" s="4">
        <v>39.353999999999999</v>
      </c>
      <c r="J6" s="4">
        <v>679.64009999999996</v>
      </c>
    </row>
    <row r="7" spans="1:18" x14ac:dyDescent="0.35">
      <c r="A7" t="s">
        <v>16</v>
      </c>
      <c r="B7">
        <v>92</v>
      </c>
      <c r="C7">
        <v>15</v>
      </c>
      <c r="D7" t="s">
        <v>12</v>
      </c>
      <c r="E7" s="1">
        <v>42202.719108796293</v>
      </c>
      <c r="F7" s="1">
        <v>36841</v>
      </c>
      <c r="G7" s="5">
        <v>18.393100097181701</v>
      </c>
      <c r="H7" s="5">
        <v>22.9920399034783</v>
      </c>
      <c r="I7" s="4">
        <v>443.13400000000001</v>
      </c>
      <c r="J7" s="4">
        <v>679.64009999999996</v>
      </c>
    </row>
    <row r="8" spans="1:18" x14ac:dyDescent="0.35">
      <c r="A8" t="s">
        <v>16</v>
      </c>
      <c r="B8">
        <v>101</v>
      </c>
      <c r="C8">
        <v>15</v>
      </c>
      <c r="D8" t="s">
        <v>12</v>
      </c>
      <c r="E8" s="1">
        <v>42279.463807870372</v>
      </c>
      <c r="F8" s="1">
        <v>36841</v>
      </c>
      <c r="G8" s="5">
        <v>323.52997894904399</v>
      </c>
      <c r="H8" s="5">
        <v>22.9920399034783</v>
      </c>
      <c r="I8" s="4">
        <v>24.7409</v>
      </c>
      <c r="J8" s="4">
        <v>679.64009999999996</v>
      </c>
    </row>
    <row r="9" spans="1:18" x14ac:dyDescent="0.35">
      <c r="A9" t="s">
        <v>16</v>
      </c>
      <c r="B9">
        <v>173</v>
      </c>
      <c r="C9">
        <v>15</v>
      </c>
      <c r="D9" t="s">
        <v>12</v>
      </c>
      <c r="E9" s="1">
        <v>43525.444016203706</v>
      </c>
      <c r="F9" s="1">
        <v>36841</v>
      </c>
      <c r="G9" s="5">
        <v>17.05</v>
      </c>
      <c r="H9" s="5">
        <v>22.9920399034783</v>
      </c>
      <c r="I9" s="4">
        <v>544.95190000000002</v>
      </c>
      <c r="J9" s="4">
        <v>679.64009999999996</v>
      </c>
    </row>
    <row r="10" spans="1:18" x14ac:dyDescent="0.35">
      <c r="A10" s="20" t="s">
        <v>16</v>
      </c>
      <c r="B10" s="20">
        <v>199</v>
      </c>
      <c r="C10" s="20">
        <v>15</v>
      </c>
      <c r="D10" s="20" t="s">
        <v>12</v>
      </c>
      <c r="E10" s="21">
        <v>44476.938761574071</v>
      </c>
      <c r="F10" s="21">
        <v>36841</v>
      </c>
      <c r="G10" s="22">
        <v>13.0395035545595</v>
      </c>
      <c r="H10" s="22">
        <v>22.9920399034783</v>
      </c>
      <c r="I10" s="19">
        <v>765.3691</v>
      </c>
      <c r="J10" s="19">
        <v>357.97120000000001</v>
      </c>
      <c r="K10" s="18"/>
      <c r="L10" s="19"/>
      <c r="M10" s="20"/>
      <c r="N10" s="20"/>
      <c r="O10" s="20"/>
      <c r="P10" s="20"/>
      <c r="Q10" s="20"/>
      <c r="R10" s="20"/>
    </row>
    <row r="11" spans="1:18" x14ac:dyDescent="0.35">
      <c r="A11" s="11" t="s">
        <v>17</v>
      </c>
      <c r="B11" s="11">
        <v>1229</v>
      </c>
      <c r="C11" s="11"/>
      <c r="D11" s="11"/>
      <c r="E11" s="12">
        <v>44844.783541666664</v>
      </c>
      <c r="F11" s="12"/>
      <c r="G11" s="14">
        <v>12.534000000000001</v>
      </c>
      <c r="H11" s="14"/>
      <c r="I11" s="13">
        <v>765.3691</v>
      </c>
      <c r="J11" s="13">
        <f>J10/I10*I11</f>
        <v>357.97120000000001</v>
      </c>
      <c r="K11" s="15">
        <f>I11</f>
        <v>765.3691</v>
      </c>
      <c r="L11" s="13">
        <f>J10/I10*K11</f>
        <v>357.97120000000001</v>
      </c>
      <c r="M11" s="11"/>
      <c r="N11" s="11"/>
      <c r="O11" s="11"/>
      <c r="P11" s="11"/>
      <c r="Q11" s="11"/>
      <c r="R11" s="11"/>
    </row>
    <row r="12" spans="1:18" x14ac:dyDescent="0.35">
      <c r="A12" t="s">
        <v>16</v>
      </c>
      <c r="B12">
        <v>201</v>
      </c>
      <c r="C12">
        <v>15</v>
      </c>
      <c r="D12" t="s">
        <v>12</v>
      </c>
      <c r="E12" s="1">
        <v>44477.938761574071</v>
      </c>
      <c r="F12" s="1">
        <v>36841</v>
      </c>
      <c r="G12" s="5">
        <v>1904.1616206589399</v>
      </c>
      <c r="H12" s="5">
        <v>22.9920399034783</v>
      </c>
      <c r="I12" s="4">
        <v>4.6418999999999997</v>
      </c>
      <c r="J12" s="4">
        <v>321.66890000000001</v>
      </c>
    </row>
    <row r="13" spans="1:18" x14ac:dyDescent="0.35">
      <c r="A13" t="s">
        <v>16</v>
      </c>
      <c r="B13">
        <v>1231</v>
      </c>
      <c r="C13">
        <v>15</v>
      </c>
      <c r="D13" t="s">
        <v>12</v>
      </c>
      <c r="E13" s="1">
        <v>44861.454050925924</v>
      </c>
      <c r="F13" s="1">
        <v>36841</v>
      </c>
      <c r="G13" s="5">
        <v>10.282472605653799</v>
      </c>
      <c r="H13" s="5">
        <v>22.9920399034783</v>
      </c>
      <c r="I13" s="4">
        <v>810.69650000000001</v>
      </c>
      <c r="J13" s="4">
        <v>321.66890000000001</v>
      </c>
    </row>
    <row r="14" spans="1:18" x14ac:dyDescent="0.35">
      <c r="A14" s="20" t="s">
        <v>16</v>
      </c>
      <c r="B14" s="20">
        <v>1239</v>
      </c>
      <c r="C14" s="20">
        <v>15</v>
      </c>
      <c r="D14" s="20" t="s">
        <v>12</v>
      </c>
      <c r="E14" s="21">
        <v>44893.572569444441</v>
      </c>
      <c r="F14" s="21">
        <v>36841</v>
      </c>
      <c r="G14" s="22">
        <v>433.54192724694099</v>
      </c>
      <c r="H14" s="22">
        <v>22.9920399034783</v>
      </c>
      <c r="I14" s="19">
        <v>18.6356</v>
      </c>
      <c r="J14" s="19">
        <v>321.66890000000001</v>
      </c>
      <c r="K14" s="18"/>
      <c r="L14" s="19"/>
      <c r="M14" s="20"/>
      <c r="N14" s="20"/>
      <c r="O14" s="20"/>
      <c r="P14" s="20"/>
      <c r="Q14" s="20"/>
      <c r="R14" s="20"/>
    </row>
    <row r="15" spans="1:18" x14ac:dyDescent="0.35">
      <c r="A15" s="11" t="s">
        <v>17</v>
      </c>
      <c r="B15" s="11">
        <v>1278</v>
      </c>
      <c r="C15" s="11"/>
      <c r="D15" s="11"/>
      <c r="E15" s="12">
        <v>45495.441631944443</v>
      </c>
      <c r="F15" s="12"/>
      <c r="G15" s="14">
        <v>457.74209999999999</v>
      </c>
      <c r="H15" s="14"/>
      <c r="I15" s="13">
        <v>18.635999999999999</v>
      </c>
      <c r="J15" s="13">
        <f>J14/I14*I15</f>
        <v>321.67580439588738</v>
      </c>
      <c r="K15" s="15">
        <f>I14</f>
        <v>18.6356</v>
      </c>
      <c r="L15" s="13">
        <f>J14/I14*K15</f>
        <v>321.66890000000001</v>
      </c>
      <c r="M15" s="11"/>
      <c r="N15" s="11"/>
      <c r="O15" s="11"/>
      <c r="P15" s="11"/>
      <c r="Q15" s="11"/>
      <c r="R15" s="1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2024-09-07T17:22:57Z</dcterms:created>
  <dcterms:modified xsi:type="dcterms:W3CDTF">2024-09-21T08:29:40Z</dcterms:modified>
</cp:coreProperties>
</file>