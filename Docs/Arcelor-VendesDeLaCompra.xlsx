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 activeTab="1"/>
  </bookViews>
  <sheets>
    <sheet name="Asian Small" sheetId="3" r:id="rId1"/>
    <sheet name="Arcelor" sheetId="1" r:id="rId2"/>
  </sheets>
  <calcPr calcId="125725"/>
</workbook>
</file>

<file path=xl/calcChain.xml><?xml version="1.0" encoding="utf-8"?>
<calcChain xmlns="http://schemas.openxmlformats.org/spreadsheetml/2006/main">
  <c r="R6" i="3"/>
  <c r="Q6"/>
  <c r="P6"/>
  <c r="R5"/>
  <c r="P5"/>
  <c r="O5"/>
  <c r="R4"/>
  <c r="Q4"/>
  <c r="P4"/>
  <c r="P3"/>
  <c r="O3"/>
  <c r="R2"/>
  <c r="Q2"/>
  <c r="P2"/>
  <c r="L2"/>
  <c r="L3" s="1"/>
  <c r="L5" s="1"/>
  <c r="L7" s="1"/>
  <c r="L8" s="1"/>
  <c r="L9" s="1"/>
  <c r="O14" i="1"/>
  <c r="Q16" s="1"/>
  <c r="Q17" s="1"/>
  <c r="Q14"/>
  <c r="P16" s="1"/>
  <c r="Q13"/>
  <c r="L11"/>
  <c r="L4"/>
  <c r="L5" s="1"/>
  <c r="L6" s="1"/>
  <c r="L3"/>
  <c r="L2"/>
  <c r="P20" l="1"/>
  <c r="O17"/>
  <c r="Q20" s="1"/>
  <c r="Q21" s="1"/>
  <c r="P23" s="1"/>
  <c r="R3" i="3"/>
  <c r="Q3"/>
  <c r="L10"/>
  <c r="L11" s="1"/>
  <c r="L12" s="1"/>
  <c r="L7" i="1"/>
  <c r="L8" l="1"/>
  <c r="L9" s="1"/>
  <c r="L12" s="1"/>
  <c r="L13" s="1"/>
  <c r="L15" s="1"/>
  <c r="L18" l="1"/>
  <c r="L19" s="1"/>
  <c r="L16"/>
  <c r="L22" l="1"/>
  <c r="L23" s="1"/>
  <c r="O21" s="1"/>
  <c r="Q23" s="1"/>
  <c r="L20"/>
</calcChain>
</file>

<file path=xl/sharedStrings.xml><?xml version="1.0" encoding="utf-8"?>
<sst xmlns="http://schemas.openxmlformats.org/spreadsheetml/2006/main" count="47" uniqueCount="14">
  <si>
    <t>Compra</t>
  </si>
  <si>
    <t>Venda</t>
  </si>
  <si>
    <t>ContraSplit</t>
  </si>
  <si>
    <t>Dividends</t>
  </si>
  <si>
    <t>Parts</t>
  </si>
  <si>
    <t>PU</t>
  </si>
  <si>
    <t>Desp</t>
  </si>
  <si>
    <t>Id Venda</t>
  </si>
  <si>
    <t>Ocu</t>
  </si>
  <si>
    <t>Util</t>
  </si>
  <si>
    <t>Disp</t>
  </si>
  <si>
    <t>Traspàs C</t>
  </si>
  <si>
    <t>Traspàs V</t>
  </si>
  <si>
    <t>Cartera</t>
  </si>
</sst>
</file>

<file path=xl/styles.xml><?xml version="1.0" encoding="utf-8"?>
<styleSheet xmlns="http://schemas.openxmlformats.org/spreadsheetml/2006/main">
  <numFmts count="2">
    <numFmt numFmtId="8" formatCode="#,##0.00\ &quot;€&quot;;[Red]\-#,##0.00\ &quot;€&quot;"/>
    <numFmt numFmtId="169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69" fontId="0" fillId="0" borderId="0" xfId="0" applyNumberForma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8" fontId="0" fillId="0" borderId="2" xfId="0" applyNumberFormat="1" applyBorder="1" applyAlignment="1">
      <alignment wrapText="1"/>
    </xf>
    <xf numFmtId="2" fontId="0" fillId="0" borderId="2" xfId="0" applyNumberFormat="1" applyBorder="1"/>
    <xf numFmtId="0" fontId="0" fillId="0" borderId="2" xfId="0" applyBorder="1"/>
    <xf numFmtId="169" fontId="0" fillId="0" borderId="2" xfId="0" applyNumberFormat="1" applyBorder="1"/>
    <xf numFmtId="169" fontId="0" fillId="0" borderId="3" xfId="0" applyNumberFormat="1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wrapText="1"/>
    </xf>
    <xf numFmtId="8" fontId="0" fillId="0" borderId="5" xfId="0" applyNumberFormat="1" applyBorder="1" applyAlignment="1">
      <alignment wrapText="1"/>
    </xf>
    <xf numFmtId="2" fontId="0" fillId="0" borderId="5" xfId="0" applyNumberFormat="1" applyBorder="1"/>
    <xf numFmtId="0" fontId="0" fillId="0" borderId="5" xfId="0" applyBorder="1"/>
    <xf numFmtId="169" fontId="0" fillId="0" borderId="5" xfId="0" applyNumberFormat="1" applyBorder="1"/>
    <xf numFmtId="169" fontId="0" fillId="0" borderId="6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zoomScale="115" zoomScaleNormal="115" workbookViewId="0">
      <pane ySplit="1" topLeftCell="A2" activePane="bottomLeft" state="frozen"/>
      <selection pane="bottomLeft" activeCell="P7" sqref="P7"/>
    </sheetView>
  </sheetViews>
  <sheetFormatPr defaultRowHeight="14.5"/>
  <cols>
    <col min="1" max="1" width="5" customWidth="1"/>
    <col min="2" max="2" width="10.7265625" customWidth="1"/>
    <col min="3" max="3" width="11.7265625" customWidth="1"/>
    <col min="6" max="7" width="11.08984375" hidden="1" customWidth="1"/>
    <col min="8" max="9" width="0" hidden="1" customWidth="1"/>
    <col min="11" max="11" width="2.26953125" customWidth="1"/>
    <col min="12" max="12" width="8.1796875" style="9" customWidth="1"/>
    <col min="13" max="13" width="2.36328125" customWidth="1"/>
    <col min="15" max="17" width="10.1796875" style="7" customWidth="1"/>
    <col min="18" max="18" width="10.1796875" customWidth="1"/>
  </cols>
  <sheetData>
    <row r="1" spans="1:18">
      <c r="D1" s="5" t="s">
        <v>4</v>
      </c>
      <c r="E1" s="5" t="s">
        <v>5</v>
      </c>
      <c r="J1" s="5" t="s">
        <v>6</v>
      </c>
      <c r="L1" s="8" t="s">
        <v>4</v>
      </c>
      <c r="N1" s="5" t="s">
        <v>7</v>
      </c>
      <c r="O1" s="6" t="s">
        <v>8</v>
      </c>
      <c r="P1" s="6" t="s">
        <v>9</v>
      </c>
      <c r="Q1" s="6" t="s">
        <v>10</v>
      </c>
    </row>
    <row r="2" spans="1:18">
      <c r="A2" s="1">
        <v>1</v>
      </c>
      <c r="B2" s="1" t="s">
        <v>0</v>
      </c>
      <c r="C2" s="2">
        <v>41172</v>
      </c>
      <c r="D2" s="1">
        <v>325.52199999999999</v>
      </c>
      <c r="E2" s="3">
        <v>30.719899999999999</v>
      </c>
      <c r="F2" s="3">
        <v>9999.99</v>
      </c>
      <c r="G2" s="3">
        <v>9999.99</v>
      </c>
      <c r="H2" s="1"/>
      <c r="I2" s="1">
        <v>1</v>
      </c>
      <c r="J2" s="1"/>
      <c r="K2" s="1"/>
      <c r="L2" s="9">
        <f>D2</f>
        <v>325.52199999999999</v>
      </c>
      <c r="N2">
        <v>4</v>
      </c>
      <c r="O2" s="10">
        <v>0</v>
      </c>
      <c r="P2" s="10">
        <f>D2</f>
        <v>325.52199999999999</v>
      </c>
      <c r="Q2" s="10">
        <f>D7-P2</f>
        <v>1090.0600000000002</v>
      </c>
      <c r="R2" s="10">
        <f>SUM(O2:Q2)</f>
        <v>1415.5820000000001</v>
      </c>
    </row>
    <row r="3" spans="1:18">
      <c r="A3" s="1">
        <v>2</v>
      </c>
      <c r="B3" s="1" t="s">
        <v>0</v>
      </c>
      <c r="C3" s="2">
        <v>41187</v>
      </c>
      <c r="D3" s="4">
        <v>1267.6880000000001</v>
      </c>
      <c r="E3" s="3">
        <v>31.5535</v>
      </c>
      <c r="F3" s="3">
        <v>39999.980000000003</v>
      </c>
      <c r="G3" s="3">
        <v>39999.980000000003</v>
      </c>
      <c r="H3" s="1"/>
      <c r="I3" s="1">
        <v>1</v>
      </c>
      <c r="J3" s="1"/>
      <c r="K3" s="1"/>
      <c r="L3" s="9">
        <f>L2+D3</f>
        <v>1593.21</v>
      </c>
      <c r="N3">
        <v>4</v>
      </c>
      <c r="O3" s="10">
        <f>P2</f>
        <v>325.52199999999999</v>
      </c>
      <c r="P3" s="10">
        <f>D7-O3</f>
        <v>1090.0600000000002</v>
      </c>
      <c r="Q3" s="10">
        <f>Q2-P3</f>
        <v>0</v>
      </c>
      <c r="R3" s="10">
        <f>SUM(O3:Q3)</f>
        <v>1415.5820000000001</v>
      </c>
    </row>
    <row r="4" spans="1:18">
      <c r="A4" s="1"/>
      <c r="B4" s="1"/>
      <c r="C4" s="2"/>
      <c r="D4" s="4"/>
      <c r="E4" s="3"/>
      <c r="F4" s="3"/>
      <c r="G4" s="3"/>
      <c r="H4" s="1"/>
      <c r="I4" s="1"/>
      <c r="J4" s="1"/>
      <c r="K4" s="1"/>
      <c r="N4">
        <v>5</v>
      </c>
      <c r="O4" s="10">
        <v>0</v>
      </c>
      <c r="P4" s="10">
        <f>D3-P3</f>
        <v>177.62799999999993</v>
      </c>
      <c r="Q4" s="10">
        <f>D8-P4</f>
        <v>0.37200000000007094</v>
      </c>
      <c r="R4" s="10">
        <f>SUM(O4:Q4)</f>
        <v>178</v>
      </c>
    </row>
    <row r="5" spans="1:18">
      <c r="A5" s="11">
        <v>3</v>
      </c>
      <c r="B5" s="12" t="s">
        <v>0</v>
      </c>
      <c r="C5" s="13">
        <v>41410</v>
      </c>
      <c r="D5" s="12">
        <v>522.37400000000002</v>
      </c>
      <c r="E5" s="14">
        <v>38.286799999999999</v>
      </c>
      <c r="F5" s="14">
        <v>20000.02</v>
      </c>
      <c r="G5" s="14">
        <v>20000.02</v>
      </c>
      <c r="H5" s="12"/>
      <c r="I5" s="12">
        <v>1</v>
      </c>
      <c r="J5" s="12"/>
      <c r="K5" s="12"/>
      <c r="L5" s="15">
        <f>L3+D5</f>
        <v>2115.5839999999998</v>
      </c>
      <c r="M5" s="16"/>
      <c r="N5" s="16">
        <v>5</v>
      </c>
      <c r="O5" s="17">
        <f>P4</f>
        <v>177.62799999999993</v>
      </c>
      <c r="P5" s="17">
        <f>Q4</f>
        <v>0.37200000000007094</v>
      </c>
      <c r="Q5" s="18">
        <v>0</v>
      </c>
      <c r="R5" s="10">
        <f>SUM(O5:Q5)</f>
        <v>178</v>
      </c>
    </row>
    <row r="6" spans="1:18">
      <c r="A6" s="19"/>
      <c r="B6" s="20"/>
      <c r="C6" s="21"/>
      <c r="D6" s="20"/>
      <c r="E6" s="22"/>
      <c r="F6" s="22"/>
      <c r="G6" s="22"/>
      <c r="H6" s="20"/>
      <c r="I6" s="20"/>
      <c r="J6" s="20"/>
      <c r="K6" s="20"/>
      <c r="L6" s="23"/>
      <c r="M6" s="24"/>
      <c r="N6" s="24">
        <v>6</v>
      </c>
      <c r="O6" s="25">
        <v>0</v>
      </c>
      <c r="P6" s="25">
        <f>D5-P5</f>
        <v>522.00199999999995</v>
      </c>
      <c r="Q6" s="26">
        <f>D9-P6</f>
        <v>0</v>
      </c>
      <c r="R6" s="10">
        <f>SUM(O6:Q6)</f>
        <v>522.00199999999995</v>
      </c>
    </row>
    <row r="7" spans="1:18">
      <c r="A7" s="1">
        <v>4</v>
      </c>
      <c r="B7" s="1" t="s">
        <v>1</v>
      </c>
      <c r="C7" s="2">
        <v>41438</v>
      </c>
      <c r="D7" s="4">
        <v>1415.5820000000001</v>
      </c>
      <c r="E7" s="3">
        <v>33.983400000000003</v>
      </c>
      <c r="F7" s="3">
        <v>48106.28</v>
      </c>
      <c r="G7" s="3">
        <v>48106.28</v>
      </c>
      <c r="H7" s="1"/>
      <c r="I7" s="1">
        <v>1</v>
      </c>
      <c r="J7" s="1"/>
      <c r="K7" s="1"/>
      <c r="L7" s="9">
        <f>L5-D7</f>
        <v>700.00199999999973</v>
      </c>
    </row>
    <row r="8" spans="1:18">
      <c r="A8" s="1">
        <v>5</v>
      </c>
      <c r="B8" s="1" t="s">
        <v>1</v>
      </c>
      <c r="C8" s="2">
        <v>41492</v>
      </c>
      <c r="D8" s="1">
        <v>178</v>
      </c>
      <c r="E8" s="3">
        <v>33.8964</v>
      </c>
      <c r="F8" s="3">
        <v>6033.56</v>
      </c>
      <c r="G8" s="3">
        <v>6033.56</v>
      </c>
      <c r="H8" s="1"/>
      <c r="I8" s="1">
        <v>1</v>
      </c>
      <c r="J8" s="1"/>
      <c r="K8" s="1"/>
      <c r="L8" s="9">
        <f>L7-D8</f>
        <v>522.00199999999973</v>
      </c>
    </row>
    <row r="9" spans="1:18">
      <c r="A9" s="1">
        <v>6</v>
      </c>
      <c r="B9" s="1" t="s">
        <v>1</v>
      </c>
      <c r="C9" s="2">
        <v>41506</v>
      </c>
      <c r="D9" s="1">
        <v>522.00199999999995</v>
      </c>
      <c r="E9" s="3">
        <v>32.470300000000002</v>
      </c>
      <c r="F9" s="3">
        <v>16949.560000000001</v>
      </c>
      <c r="G9" s="3">
        <v>16949.560000000001</v>
      </c>
      <c r="H9" s="1"/>
      <c r="I9" s="1">
        <v>1</v>
      </c>
      <c r="J9" s="1"/>
      <c r="K9" s="1"/>
      <c r="L9" s="9">
        <f>L8-D9</f>
        <v>0</v>
      </c>
    </row>
    <row r="10" spans="1:18">
      <c r="A10" s="1">
        <v>41</v>
      </c>
      <c r="B10" s="1" t="s">
        <v>11</v>
      </c>
      <c r="C10" s="2">
        <v>42047</v>
      </c>
      <c r="D10" s="1">
        <v>174.22900000000001</v>
      </c>
      <c r="E10" s="3">
        <v>39.429099999999998</v>
      </c>
      <c r="F10" s="3">
        <v>6869.7</v>
      </c>
      <c r="G10" s="3">
        <v>6869.7</v>
      </c>
      <c r="H10" s="1"/>
      <c r="I10" s="1">
        <v>1</v>
      </c>
      <c r="J10" s="1"/>
      <c r="K10" s="1"/>
      <c r="L10" s="9">
        <f t="shared" ref="L10" si="0">L9+D10</f>
        <v>174.22900000000001</v>
      </c>
    </row>
    <row r="11" spans="1:18">
      <c r="A11" s="1">
        <v>95</v>
      </c>
      <c r="B11" s="1" t="s">
        <v>12</v>
      </c>
      <c r="C11" s="2">
        <v>42207</v>
      </c>
      <c r="D11" s="1">
        <v>150</v>
      </c>
      <c r="E11" s="3">
        <v>39.5777</v>
      </c>
      <c r="F11" s="3">
        <v>5936.65</v>
      </c>
      <c r="G11" s="3">
        <v>5936.65</v>
      </c>
      <c r="H11" s="1"/>
      <c r="I11" s="1">
        <v>1</v>
      </c>
      <c r="J11" s="1"/>
      <c r="K11" s="1"/>
      <c r="L11" s="9">
        <f>L10-D11</f>
        <v>24.229000000000013</v>
      </c>
    </row>
    <row r="12" spans="1:18">
      <c r="A12" s="1">
        <v>187</v>
      </c>
      <c r="B12" s="1" t="s">
        <v>1</v>
      </c>
      <c r="C12" s="2">
        <v>44176</v>
      </c>
      <c r="D12" s="1">
        <v>24.228999999999999</v>
      </c>
      <c r="E12" s="3">
        <v>42.515799999999999</v>
      </c>
      <c r="F12" s="3">
        <v>1030.1199999999999</v>
      </c>
      <c r="G12" s="3">
        <v>1030.1199999999999</v>
      </c>
      <c r="H12" s="1"/>
      <c r="I12" s="1">
        <v>1</v>
      </c>
      <c r="J12" s="3">
        <v>0</v>
      </c>
      <c r="K12" s="1"/>
      <c r="L12" s="9">
        <f>L11-D12</f>
        <v>0</v>
      </c>
    </row>
    <row r="13" spans="1:18">
      <c r="A13" s="1"/>
      <c r="B13" s="1"/>
      <c r="C13" s="2"/>
      <c r="D13" s="1"/>
      <c r="E13" s="3"/>
      <c r="F13" s="3"/>
      <c r="G13" s="3"/>
      <c r="H13" s="1"/>
      <c r="I13" s="1"/>
      <c r="J13" s="3"/>
      <c r="K13" s="1"/>
    </row>
    <row r="14" spans="1:18">
      <c r="A14" s="1"/>
      <c r="B14" s="1"/>
      <c r="C14" s="2"/>
      <c r="D14" s="1"/>
      <c r="E14" s="3"/>
      <c r="F14" s="3"/>
      <c r="G14" s="3"/>
      <c r="H14" s="1"/>
      <c r="I14" s="1"/>
      <c r="J14" s="3"/>
      <c r="K14" s="1"/>
    </row>
    <row r="15" spans="1:18">
      <c r="A15" s="1"/>
      <c r="B15" s="1"/>
      <c r="C15" s="2"/>
      <c r="D15" s="4"/>
      <c r="E15" s="3"/>
      <c r="F15" s="3"/>
      <c r="G15" s="3"/>
      <c r="H15" s="1"/>
      <c r="I15" s="1"/>
      <c r="J15" s="3"/>
      <c r="K15" s="1"/>
    </row>
    <row r="16" spans="1:18">
      <c r="A16" s="1"/>
      <c r="B16" s="1"/>
      <c r="C16" s="2"/>
      <c r="D16" s="4"/>
      <c r="E16" s="3"/>
      <c r="F16" s="3"/>
      <c r="G16" s="3"/>
      <c r="H16" s="1"/>
      <c r="I16" s="1"/>
      <c r="J16" s="3"/>
      <c r="K16" s="1"/>
    </row>
    <row r="17" spans="1:11">
      <c r="A17" s="1"/>
      <c r="B17" s="1"/>
      <c r="C17" s="2"/>
      <c r="D17" s="1"/>
      <c r="E17" s="3"/>
      <c r="F17" s="3"/>
      <c r="G17" s="3"/>
      <c r="H17" s="1"/>
      <c r="I17" s="1"/>
      <c r="J17" s="3"/>
      <c r="K17" s="1"/>
    </row>
    <row r="18" spans="1:11">
      <c r="A18" s="1"/>
      <c r="B18" s="1"/>
      <c r="C18" s="2"/>
      <c r="D18" s="1"/>
      <c r="E18" s="3"/>
      <c r="F18" s="3"/>
      <c r="G18" s="3"/>
      <c r="H18" s="1"/>
      <c r="I18" s="1"/>
      <c r="J18" s="3"/>
      <c r="K18" s="1"/>
    </row>
    <row r="19" spans="1:11">
      <c r="A19" s="1"/>
      <c r="B19" s="1"/>
      <c r="C19" s="2"/>
      <c r="D19" s="1"/>
      <c r="E19" s="3"/>
      <c r="F19" s="3"/>
      <c r="G19" s="3"/>
      <c r="H19" s="1"/>
      <c r="I19" s="1"/>
      <c r="J19" s="3"/>
      <c r="K19" s="1"/>
    </row>
    <row r="20" spans="1:11">
      <c r="A20" s="1"/>
      <c r="B20" s="1"/>
      <c r="C20" s="2"/>
      <c r="D20" s="1"/>
      <c r="E20" s="3"/>
      <c r="F20" s="3"/>
      <c r="G20" s="3"/>
      <c r="H20" s="1"/>
      <c r="I20" s="1"/>
      <c r="J20" s="3"/>
      <c r="K20" s="1"/>
    </row>
    <row r="21" spans="1:11">
      <c r="A21" s="1"/>
      <c r="B21" s="1"/>
      <c r="C21" s="2"/>
      <c r="D21" s="4"/>
      <c r="E21" s="3"/>
      <c r="F21" s="3"/>
      <c r="G21" s="3"/>
      <c r="H21" s="1"/>
      <c r="I21" s="1"/>
      <c r="J21" s="3"/>
      <c r="K21" s="1"/>
    </row>
    <row r="22" spans="1:11">
      <c r="A22" s="1"/>
      <c r="B22" s="1"/>
      <c r="C22" s="2"/>
      <c r="D22" s="4"/>
      <c r="E22" s="3"/>
      <c r="F22" s="3"/>
      <c r="G22" s="3"/>
      <c r="H22" s="1"/>
      <c r="I22" s="1"/>
      <c r="J22" s="3"/>
      <c r="K22" s="1"/>
    </row>
    <row r="23" spans="1:11">
      <c r="A23" s="1"/>
      <c r="B23" s="1"/>
      <c r="C23" s="2"/>
      <c r="D23" s="4"/>
      <c r="E23" s="3"/>
      <c r="F23" s="3"/>
      <c r="G23" s="3"/>
      <c r="H23" s="1"/>
      <c r="I23" s="1"/>
      <c r="J23" s="3"/>
      <c r="K23" s="1"/>
    </row>
    <row r="24" spans="1:11">
      <c r="A24" s="1"/>
      <c r="B24" s="1"/>
      <c r="C24" s="2"/>
      <c r="D24" s="4"/>
      <c r="E24" s="3"/>
      <c r="F24" s="3"/>
      <c r="G24" s="3"/>
      <c r="H24" s="1"/>
      <c r="I24" s="1"/>
      <c r="J24" s="3"/>
      <c r="K2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4"/>
  <sheetViews>
    <sheetView tabSelected="1" zoomScale="115" zoomScaleNormal="115" workbookViewId="0">
      <pane ySplit="1" topLeftCell="A8" activePane="bottomLeft" state="frozen"/>
      <selection pane="bottomLeft" activeCell="Q9" sqref="Q9"/>
    </sheetView>
  </sheetViews>
  <sheetFormatPr defaultRowHeight="14.5"/>
  <cols>
    <col min="1" max="1" width="5" customWidth="1"/>
    <col min="2" max="2" width="10.7265625" customWidth="1"/>
    <col min="3" max="3" width="11.7265625" customWidth="1"/>
    <col min="6" max="7" width="11.08984375" hidden="1" customWidth="1"/>
    <col min="8" max="9" width="0" hidden="1" customWidth="1"/>
    <col min="11" max="11" width="2.26953125" customWidth="1"/>
    <col min="12" max="12" width="7.1796875" customWidth="1"/>
    <col min="13" max="13" width="2.36328125" customWidth="1"/>
    <col min="15" max="17" width="8.7265625" style="7"/>
  </cols>
  <sheetData>
    <row r="1" spans="1:17">
      <c r="D1" s="5" t="s">
        <v>4</v>
      </c>
      <c r="E1" s="5" t="s">
        <v>5</v>
      </c>
      <c r="J1" s="5" t="s">
        <v>6</v>
      </c>
      <c r="L1" s="5" t="s">
        <v>4</v>
      </c>
      <c r="N1" s="5" t="s">
        <v>7</v>
      </c>
      <c r="O1" s="6" t="s">
        <v>10</v>
      </c>
      <c r="P1" s="6" t="s">
        <v>8</v>
      </c>
      <c r="Q1" s="6" t="s">
        <v>9</v>
      </c>
    </row>
    <row r="2" spans="1:17">
      <c r="A2" s="1">
        <v>79</v>
      </c>
      <c r="B2" s="1" t="s">
        <v>0</v>
      </c>
      <c r="C2" s="2">
        <v>41711</v>
      </c>
      <c r="D2" s="1">
        <v>925</v>
      </c>
      <c r="E2" s="3">
        <v>10.824999999999999</v>
      </c>
      <c r="F2" s="3">
        <v>10013.129999999999</v>
      </c>
      <c r="G2" s="3">
        <v>10028.19</v>
      </c>
      <c r="H2" s="1"/>
      <c r="I2" s="1">
        <v>1</v>
      </c>
      <c r="J2" s="3">
        <v>15.06</v>
      </c>
      <c r="K2" s="1"/>
      <c r="L2">
        <f>D2</f>
        <v>925</v>
      </c>
    </row>
    <row r="3" spans="1:17">
      <c r="A3" s="1">
        <v>80</v>
      </c>
      <c r="B3" s="1" t="s">
        <v>1</v>
      </c>
      <c r="C3" s="2">
        <v>41717</v>
      </c>
      <c r="D3" s="1">
        <v>925</v>
      </c>
      <c r="E3" s="3">
        <v>11.05</v>
      </c>
      <c r="F3" s="3">
        <v>10221.25</v>
      </c>
      <c r="G3" s="3">
        <v>10195.93</v>
      </c>
      <c r="H3" s="1"/>
      <c r="I3" s="1">
        <v>1</v>
      </c>
      <c r="J3" s="3">
        <v>25.32</v>
      </c>
      <c r="K3" s="1"/>
      <c r="L3">
        <f>L2-D3</f>
        <v>0</v>
      </c>
    </row>
    <row r="4" spans="1:17">
      <c r="A4" s="1">
        <v>81</v>
      </c>
      <c r="B4" s="1" t="s">
        <v>0</v>
      </c>
      <c r="C4" s="2">
        <v>41830</v>
      </c>
      <c r="D4" s="1">
        <v>929</v>
      </c>
      <c r="E4" s="3">
        <v>10.74</v>
      </c>
      <c r="F4" s="3">
        <v>9977.4599999999991</v>
      </c>
      <c r="G4" s="3">
        <v>9992.52</v>
      </c>
      <c r="H4" s="1"/>
      <c r="I4" s="1">
        <v>1</v>
      </c>
      <c r="J4" s="3">
        <v>15.06</v>
      </c>
      <c r="K4" s="1"/>
      <c r="L4">
        <f>L3+D4</f>
        <v>929</v>
      </c>
    </row>
    <row r="5" spans="1:17">
      <c r="A5" s="1">
        <v>82</v>
      </c>
      <c r="B5" s="1" t="s">
        <v>1</v>
      </c>
      <c r="C5" s="2">
        <v>41877</v>
      </c>
      <c r="D5" s="1">
        <v>929</v>
      </c>
      <c r="E5" s="3">
        <v>10.98</v>
      </c>
      <c r="F5" s="3">
        <v>10200.42</v>
      </c>
      <c r="G5" s="3">
        <v>10185.33</v>
      </c>
      <c r="H5" s="1"/>
      <c r="I5" s="1">
        <v>1</v>
      </c>
      <c r="J5" s="3">
        <v>15.09</v>
      </c>
      <c r="K5" s="1"/>
      <c r="L5">
        <f t="shared" ref="L5:L19" si="0">L4-D5</f>
        <v>0</v>
      </c>
    </row>
    <row r="6" spans="1:17">
      <c r="A6" s="1">
        <v>83</v>
      </c>
      <c r="B6" s="1" t="s">
        <v>0</v>
      </c>
      <c r="C6" s="2">
        <v>41984</v>
      </c>
      <c r="D6" s="4">
        <v>5386</v>
      </c>
      <c r="E6" s="3">
        <v>9.2676999999999996</v>
      </c>
      <c r="F6" s="3">
        <v>49916.04</v>
      </c>
      <c r="G6" s="3">
        <v>49936.18</v>
      </c>
      <c r="H6" s="1"/>
      <c r="I6" s="1">
        <v>1</v>
      </c>
      <c r="J6" s="3">
        <v>20.14</v>
      </c>
      <c r="K6" s="1"/>
      <c r="L6">
        <f>L5+D6</f>
        <v>5386</v>
      </c>
    </row>
    <row r="7" spans="1:17">
      <c r="A7" s="1">
        <v>84</v>
      </c>
      <c r="B7" s="1" t="s">
        <v>1</v>
      </c>
      <c r="C7" s="2">
        <v>42047</v>
      </c>
      <c r="D7" s="4">
        <v>5386</v>
      </c>
      <c r="E7" s="3">
        <v>9.0449999999999999</v>
      </c>
      <c r="F7" s="3">
        <v>48716.37</v>
      </c>
      <c r="G7" s="3">
        <v>48696.34</v>
      </c>
      <c r="H7" s="1"/>
      <c r="I7" s="1">
        <v>1</v>
      </c>
      <c r="J7" s="3">
        <v>20.03</v>
      </c>
      <c r="K7" s="1"/>
      <c r="L7">
        <f t="shared" si="0"/>
        <v>0</v>
      </c>
    </row>
    <row r="8" spans="1:17">
      <c r="A8" s="1">
        <v>94</v>
      </c>
      <c r="B8" s="1" t="s">
        <v>0</v>
      </c>
      <c r="C8" s="2">
        <v>42212</v>
      </c>
      <c r="D8" s="4">
        <v>6415</v>
      </c>
      <c r="E8" s="3">
        <v>7.7939999999999996</v>
      </c>
      <c r="F8" s="3">
        <v>49998.51</v>
      </c>
      <c r="G8" s="3">
        <v>50018.66</v>
      </c>
      <c r="H8" s="1"/>
      <c r="I8" s="1">
        <v>1</v>
      </c>
      <c r="J8" s="3">
        <v>20.149999999999999</v>
      </c>
      <c r="K8" s="1"/>
      <c r="L8">
        <f>L7+D8</f>
        <v>6415</v>
      </c>
    </row>
    <row r="9" spans="1:17">
      <c r="A9" s="1">
        <v>97</v>
      </c>
      <c r="B9" s="1" t="s">
        <v>1</v>
      </c>
      <c r="C9" s="2">
        <v>42214</v>
      </c>
      <c r="D9" s="4">
        <v>6415</v>
      </c>
      <c r="E9" s="3">
        <v>8.19</v>
      </c>
      <c r="F9" s="3">
        <v>52538.85</v>
      </c>
      <c r="G9" s="3">
        <v>52518.45</v>
      </c>
      <c r="H9" s="1"/>
      <c r="I9" s="1">
        <v>1</v>
      </c>
      <c r="J9" s="3">
        <v>20.399999999999999</v>
      </c>
      <c r="K9" s="1"/>
      <c r="L9">
        <f t="shared" si="0"/>
        <v>0</v>
      </c>
    </row>
    <row r="10" spans="1:17">
      <c r="A10" s="1">
        <v>138</v>
      </c>
      <c r="B10" s="1" t="s">
        <v>2</v>
      </c>
      <c r="C10" s="2">
        <v>42822</v>
      </c>
      <c r="D10" s="4">
        <v>1581</v>
      </c>
      <c r="E10" s="3">
        <v>7.5910000000000002</v>
      </c>
      <c r="F10" s="3">
        <v>12001.37</v>
      </c>
      <c r="G10" s="3">
        <v>12001.37</v>
      </c>
      <c r="H10" s="1"/>
      <c r="I10" s="1">
        <v>1</v>
      </c>
      <c r="J10" s="3">
        <v>0</v>
      </c>
      <c r="K10" s="1"/>
      <c r="L10">
        <v>0</v>
      </c>
    </row>
    <row r="11" spans="1:17">
      <c r="A11" s="1">
        <v>151</v>
      </c>
      <c r="B11" s="1" t="s">
        <v>0</v>
      </c>
      <c r="C11" s="2">
        <v>42822</v>
      </c>
      <c r="D11" s="1">
        <v>527</v>
      </c>
      <c r="E11" s="3">
        <v>22.773</v>
      </c>
      <c r="F11" s="3">
        <v>12001.37</v>
      </c>
      <c r="G11" s="3">
        <v>12016.52</v>
      </c>
      <c r="H11" s="1"/>
      <c r="I11" s="1">
        <v>1</v>
      </c>
      <c r="J11" s="3">
        <v>15.15</v>
      </c>
      <c r="K11" s="1"/>
      <c r="L11">
        <f>L10+D11</f>
        <v>527</v>
      </c>
    </row>
    <row r="12" spans="1:17">
      <c r="A12" s="1">
        <v>165</v>
      </c>
      <c r="B12" s="1" t="s">
        <v>1</v>
      </c>
      <c r="C12" s="2">
        <v>43236</v>
      </c>
      <c r="D12" s="1">
        <v>527</v>
      </c>
      <c r="E12" s="3">
        <v>30.416</v>
      </c>
      <c r="F12" s="3">
        <v>16029.25</v>
      </c>
      <c r="G12" s="3">
        <v>16001.8</v>
      </c>
      <c r="H12" s="1"/>
      <c r="I12" s="1">
        <v>1</v>
      </c>
      <c r="J12" s="3">
        <v>27.45</v>
      </c>
      <c r="K12" s="1"/>
      <c r="L12">
        <f t="shared" si="0"/>
        <v>0</v>
      </c>
    </row>
    <row r="13" spans="1:17">
      <c r="A13" s="1">
        <v>166</v>
      </c>
      <c r="B13" s="1" t="s">
        <v>0</v>
      </c>
      <c r="C13" s="2">
        <v>43389</v>
      </c>
      <c r="D13" s="4">
        <v>1600</v>
      </c>
      <c r="E13" s="3">
        <v>24.388000000000002</v>
      </c>
      <c r="F13" s="3">
        <v>39020.800000000003</v>
      </c>
      <c r="G13" s="3">
        <v>39049.31</v>
      </c>
      <c r="H13" s="1"/>
      <c r="I13" s="1">
        <v>1</v>
      </c>
      <c r="J13" s="3">
        <v>28.51</v>
      </c>
      <c r="K13" s="1"/>
      <c r="L13">
        <f>L12+D13</f>
        <v>1600</v>
      </c>
      <c r="N13">
        <v>169</v>
      </c>
      <c r="O13" s="7">
        <v>0</v>
      </c>
      <c r="P13" s="7">
        <v>0</v>
      </c>
      <c r="Q13" s="7">
        <f>D15</f>
        <v>648</v>
      </c>
    </row>
    <row r="14" spans="1:17">
      <c r="A14" s="1"/>
      <c r="B14" s="1"/>
      <c r="C14" s="2"/>
      <c r="D14" s="4"/>
      <c r="E14" s="3"/>
      <c r="F14" s="3"/>
      <c r="G14" s="3"/>
      <c r="H14" s="1"/>
      <c r="I14" s="1"/>
      <c r="J14" s="3"/>
      <c r="K14" s="1"/>
      <c r="N14">
        <v>177</v>
      </c>
      <c r="O14" s="7">
        <f>D19-Q14</f>
        <v>300</v>
      </c>
      <c r="P14" s="7">
        <v>0</v>
      </c>
      <c r="Q14" s="7">
        <f>D13-Q13</f>
        <v>952</v>
      </c>
    </row>
    <row r="15" spans="1:17">
      <c r="A15" s="1">
        <v>169</v>
      </c>
      <c r="B15" s="1" t="s">
        <v>1</v>
      </c>
      <c r="C15" s="2">
        <v>43458</v>
      </c>
      <c r="D15" s="1">
        <v>648</v>
      </c>
      <c r="E15" s="3">
        <v>18.260000000000002</v>
      </c>
      <c r="F15" s="3">
        <v>11832.48</v>
      </c>
      <c r="G15" s="3">
        <v>11822.42</v>
      </c>
      <c r="H15" s="1"/>
      <c r="I15" s="1">
        <v>1</v>
      </c>
      <c r="J15" s="3">
        <v>10.06</v>
      </c>
      <c r="K15" s="1"/>
      <c r="L15">
        <f>L13-D15</f>
        <v>952</v>
      </c>
    </row>
    <row r="16" spans="1:17">
      <c r="A16" s="1">
        <v>174</v>
      </c>
      <c r="B16" s="1" t="s">
        <v>0</v>
      </c>
      <c r="C16" s="2">
        <v>43550</v>
      </c>
      <c r="D16" s="1">
        <v>700</v>
      </c>
      <c r="E16" s="3">
        <v>18.027999999999999</v>
      </c>
      <c r="F16" s="3">
        <v>12619.6</v>
      </c>
      <c r="G16" s="3">
        <v>12629.66</v>
      </c>
      <c r="H16" s="1"/>
      <c r="I16" s="1">
        <v>1</v>
      </c>
      <c r="J16" s="3">
        <v>10.06</v>
      </c>
      <c r="K16" s="1"/>
      <c r="L16">
        <f>L15+D16</f>
        <v>1652</v>
      </c>
      <c r="N16">
        <v>177</v>
      </c>
      <c r="O16" s="7">
        <v>0</v>
      </c>
      <c r="P16" s="7">
        <f>Q14</f>
        <v>952</v>
      </c>
      <c r="Q16" s="7">
        <f>O14</f>
        <v>300</v>
      </c>
    </row>
    <row r="17" spans="1:18">
      <c r="A17" s="1"/>
      <c r="B17" s="1"/>
      <c r="C17" s="2"/>
      <c r="D17" s="1"/>
      <c r="E17" s="3"/>
      <c r="F17" s="3"/>
      <c r="G17" s="3"/>
      <c r="H17" s="1"/>
      <c r="I17" s="1"/>
      <c r="J17" s="3"/>
      <c r="K17" s="1"/>
      <c r="N17">
        <v>179</v>
      </c>
      <c r="O17" s="7">
        <f>D22-Q17</f>
        <v>852</v>
      </c>
      <c r="P17" s="7">
        <v>0</v>
      </c>
      <c r="Q17" s="7">
        <f>D16-Q16</f>
        <v>400</v>
      </c>
    </row>
    <row r="18" spans="1:18">
      <c r="A18" s="1">
        <v>176</v>
      </c>
      <c r="B18" s="1" t="s">
        <v>3</v>
      </c>
      <c r="C18" s="2">
        <v>43629</v>
      </c>
      <c r="D18" s="1">
        <v>0</v>
      </c>
      <c r="E18" s="3">
        <v>294.32</v>
      </c>
      <c r="F18" s="3">
        <v>294.32</v>
      </c>
      <c r="G18" s="3">
        <v>294.32</v>
      </c>
      <c r="H18" s="1"/>
      <c r="I18" s="1">
        <v>1</v>
      </c>
      <c r="J18" s="3">
        <v>0</v>
      </c>
      <c r="K18" s="1"/>
      <c r="L18">
        <f>L16-D18</f>
        <v>1652</v>
      </c>
    </row>
    <row r="19" spans="1:18">
      <c r="A19" s="1">
        <v>177</v>
      </c>
      <c r="B19" s="1" t="s">
        <v>1</v>
      </c>
      <c r="C19" s="2">
        <v>43797</v>
      </c>
      <c r="D19" s="4">
        <v>1252</v>
      </c>
      <c r="E19" s="3">
        <v>15.624000000000001</v>
      </c>
      <c r="F19" s="3">
        <v>19561.25</v>
      </c>
      <c r="G19" s="3">
        <v>19551.189999999999</v>
      </c>
      <c r="H19" s="1"/>
      <c r="I19" s="1">
        <v>1</v>
      </c>
      <c r="J19" s="3">
        <v>10.06</v>
      </c>
      <c r="K19" s="1"/>
      <c r="L19">
        <f t="shared" si="0"/>
        <v>400</v>
      </c>
    </row>
    <row r="20" spans="1:18">
      <c r="A20" s="1">
        <v>178</v>
      </c>
      <c r="B20" s="1" t="s">
        <v>0</v>
      </c>
      <c r="C20" s="2">
        <v>43802</v>
      </c>
      <c r="D20" s="4">
        <v>1252</v>
      </c>
      <c r="E20" s="3">
        <v>15.3162</v>
      </c>
      <c r="F20" s="3">
        <v>19175.86</v>
      </c>
      <c r="G20" s="3">
        <v>19201.150000000001</v>
      </c>
      <c r="H20" s="1"/>
      <c r="I20" s="1">
        <v>1</v>
      </c>
      <c r="J20" s="3">
        <v>25.29</v>
      </c>
      <c r="K20" s="1"/>
      <c r="L20">
        <f>L19+D20</f>
        <v>1652</v>
      </c>
      <c r="N20">
        <v>179</v>
      </c>
      <c r="O20" s="7">
        <v>0</v>
      </c>
      <c r="P20" s="7">
        <f>Q17</f>
        <v>400</v>
      </c>
      <c r="Q20" s="7">
        <f>O17</f>
        <v>852</v>
      </c>
      <c r="R20" s="7"/>
    </row>
    <row r="21" spans="1:18">
      <c r="A21" s="1"/>
      <c r="B21" s="1"/>
      <c r="C21" s="2"/>
      <c r="D21" s="4"/>
      <c r="E21" s="3"/>
      <c r="F21" s="3"/>
      <c r="G21" s="3"/>
      <c r="H21" s="1"/>
      <c r="I21" s="1"/>
      <c r="J21" s="3"/>
      <c r="K21" s="1"/>
      <c r="N21" t="s">
        <v>13</v>
      </c>
      <c r="O21" s="7">
        <f>L23-Q21</f>
        <v>1500</v>
      </c>
      <c r="P21" s="7">
        <v>0</v>
      </c>
      <c r="Q21" s="7">
        <f>D20-Q20</f>
        <v>400</v>
      </c>
      <c r="R21" s="7"/>
    </row>
    <row r="22" spans="1:18">
      <c r="A22" s="1">
        <v>179</v>
      </c>
      <c r="B22" s="1" t="s">
        <v>1</v>
      </c>
      <c r="C22" s="2">
        <v>43872</v>
      </c>
      <c r="D22" s="4">
        <v>1252</v>
      </c>
      <c r="E22" s="3">
        <v>16.611999999999998</v>
      </c>
      <c r="F22" s="3">
        <v>20798.22</v>
      </c>
      <c r="G22" s="3">
        <v>20781.68</v>
      </c>
      <c r="H22" s="1"/>
      <c r="I22" s="1">
        <v>1</v>
      </c>
      <c r="J22" s="3">
        <v>16.54</v>
      </c>
      <c r="K22" s="1"/>
      <c r="L22">
        <f>L20-D22</f>
        <v>400</v>
      </c>
    </row>
    <row r="23" spans="1:18">
      <c r="A23" s="1">
        <v>182</v>
      </c>
      <c r="B23" s="1" t="s">
        <v>0</v>
      </c>
      <c r="C23" s="2">
        <v>43893</v>
      </c>
      <c r="D23" s="4">
        <v>1500</v>
      </c>
      <c r="E23" s="3">
        <v>13.281000000000001</v>
      </c>
      <c r="F23" s="3">
        <v>19921.46</v>
      </c>
      <c r="G23" s="3">
        <v>19949.75</v>
      </c>
      <c r="H23" s="1"/>
      <c r="I23" s="1">
        <v>1</v>
      </c>
      <c r="J23" s="3">
        <v>28.29</v>
      </c>
      <c r="K23" s="1"/>
      <c r="L23">
        <f>L22+D23</f>
        <v>1900</v>
      </c>
      <c r="N23" t="s">
        <v>13</v>
      </c>
      <c r="O23" s="7">
        <v>0</v>
      </c>
      <c r="P23" s="7">
        <f>Q21</f>
        <v>400</v>
      </c>
      <c r="Q23" s="7">
        <f>O21</f>
        <v>1500</v>
      </c>
    </row>
    <row r="24" spans="1:18">
      <c r="B24" s="1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Asian Small</vt:lpstr>
      <vt:lpstr>Arcelor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2021-05-16T17:59:38Z</dcterms:created>
  <dcterms:modified xsi:type="dcterms:W3CDTF">2021-05-16T22:53:50Z</dcterms:modified>
</cp:coreProperties>
</file>