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positoris\C#\_Actiu\InversionsV2\Docs\"/>
    </mc:Choice>
  </mc:AlternateContent>
  <xr:revisionPtr revIDLastSave="0" documentId="13_ncr:1_{49478E25-9626-43A3-889F-4EB9C591108E}" xr6:coauthVersionLast="47" xr6:coauthVersionMax="47" xr10:uidLastSave="{00000000-0000-0000-0000-000000000000}"/>
  <bookViews>
    <workbookView xWindow="22932" yWindow="0" windowWidth="23256" windowHeight="12576" xr2:uid="{93A197F9-A3E0-494F-B49F-FAA26AC3CE2F}"/>
  </bookViews>
  <sheets>
    <sheet name="2023" sheetId="6" r:id="rId1"/>
    <sheet name="2024" sheetId="1" r:id="rId2"/>
    <sheet name="2025" sheetId="2" r:id="rId3"/>
    <sheet name="Sheet1" sheetId="3" r:id="rId4"/>
    <sheet name="Sheet2" sheetId="4" r:id="rId5"/>
    <sheet name="Sheet3" sheetId="5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6" l="1"/>
  <c r="N6" i="6" s="1"/>
  <c r="N7" i="6" s="1"/>
  <c r="N8" i="6" s="1"/>
  <c r="N9" i="6" s="1"/>
  <c r="N4" i="6"/>
  <c r="I14" i="6"/>
  <c r="I13" i="6"/>
  <c r="J14" i="6" s="1"/>
  <c r="H2" i="6"/>
  <c r="H5" i="6" s="1"/>
  <c r="H6" i="6" s="1"/>
  <c r="H9" i="6" s="1"/>
  <c r="H10" i="6" s="1"/>
  <c r="H13" i="6" s="1"/>
  <c r="H14" i="6" s="1"/>
  <c r="H17" i="6" s="1"/>
  <c r="H18" i="6" s="1"/>
  <c r="B45" i="5"/>
  <c r="B44" i="5"/>
  <c r="B43" i="5"/>
  <c r="B34" i="5"/>
  <c r="B16" i="5"/>
  <c r="B17" i="5"/>
  <c r="B10" i="5"/>
  <c r="B9" i="5"/>
  <c r="B11" i="5" s="1"/>
  <c r="B26" i="5"/>
  <c r="B25" i="5"/>
  <c r="B33" i="5"/>
  <c r="B36" i="5" s="1"/>
  <c r="B24" i="5"/>
  <c r="B4" i="5"/>
  <c r="G17" i="4"/>
  <c r="G14" i="4"/>
  <c r="G18" i="4"/>
  <c r="D6" i="4"/>
  <c r="E6" i="4" s="1"/>
  <c r="F8" i="4"/>
  <c r="F9" i="4" s="1"/>
  <c r="F10" i="4" s="1"/>
  <c r="F11" i="4" s="1"/>
  <c r="F12" i="4" s="1"/>
  <c r="F13" i="4" s="1"/>
  <c r="F14" i="4" s="1"/>
  <c r="F15" i="4" s="1"/>
  <c r="D18" i="1"/>
  <c r="C15" i="1"/>
  <c r="C16" i="1"/>
  <c r="C17" i="1"/>
  <c r="C18" i="1"/>
  <c r="C19" i="1"/>
  <c r="C20" i="1"/>
  <c r="C21" i="1"/>
  <c r="C22" i="1"/>
  <c r="C23" i="1"/>
  <c r="C14" i="1"/>
  <c r="C3" i="1"/>
  <c r="C4" i="1"/>
  <c r="C5" i="1"/>
  <c r="C6" i="1"/>
  <c r="C7" i="1"/>
  <c r="C8" i="1"/>
  <c r="C9" i="1"/>
  <c r="C10" i="1"/>
  <c r="C11" i="1"/>
  <c r="C2" i="1"/>
  <c r="E13" i="1"/>
  <c r="B12" i="1"/>
  <c r="I15" i="6" l="1"/>
  <c r="I16" i="6" s="1"/>
  <c r="H19" i="6"/>
  <c r="H20" i="6" s="1"/>
  <c r="H21" i="6" s="1"/>
  <c r="B18" i="5"/>
  <c r="B27" i="5"/>
  <c r="G19" i="4"/>
  <c r="J20" i="1"/>
  <c r="J16" i="1"/>
  <c r="H32" i="2"/>
  <c r="H29" i="2"/>
  <c r="H24" i="2"/>
</calcChain>
</file>

<file path=xl/sharedStrings.xml><?xml version="1.0" encoding="utf-8"?>
<sst xmlns="http://schemas.openxmlformats.org/spreadsheetml/2006/main" count="172" uniqueCount="44">
  <si>
    <t>Clarus</t>
  </si>
  <si>
    <t>MasterCard</t>
  </si>
  <si>
    <t>Berkshire Hathaway</t>
  </si>
  <si>
    <t>DWS Invest ESG Fltng Rt Nots LC</t>
  </si>
  <si>
    <t>Euro Fund A-2 Acc</t>
  </si>
  <si>
    <t>Global Technology A-Acc-USD H</t>
  </si>
  <si>
    <t>DWS Floating Rate Notes LC</t>
  </si>
  <si>
    <t>Terra Classic (LUNA)</t>
  </si>
  <si>
    <t>TerraUSD Classic (UST)</t>
  </si>
  <si>
    <t>Terra 2.0 (LUNA2)</t>
  </si>
  <si>
    <t>Compra</t>
  </si>
  <si>
    <t>Traspàs C</t>
  </si>
  <si>
    <t>Ini</t>
  </si>
  <si>
    <t>Fi</t>
  </si>
  <si>
    <t>S&amp;P 500 Information Tech USD</t>
  </si>
  <si>
    <t>Venda</t>
  </si>
  <si>
    <t>Id</t>
  </si>
  <si>
    <t>Mov</t>
  </si>
  <si>
    <t>Data</t>
  </si>
  <si>
    <t>Parts</t>
  </si>
  <si>
    <t>PU</t>
  </si>
  <si>
    <t>Brut</t>
  </si>
  <si>
    <t>Net</t>
  </si>
  <si>
    <t>Import Fi</t>
  </si>
  <si>
    <t>Import Ini</t>
  </si>
  <si>
    <t>PU Ini</t>
  </si>
  <si>
    <t>Parts Ini</t>
  </si>
  <si>
    <t>PU Fi</t>
  </si>
  <si>
    <t>Parts Fi</t>
  </si>
  <si>
    <t>partsEnCarteraIni</t>
  </si>
  <si>
    <t>partsEnCarteraFi</t>
  </si>
  <si>
    <t>preuPartIni</t>
  </si>
  <si>
    <t>preuPartFi</t>
  </si>
  <si>
    <t>Valor Ini</t>
  </si>
  <si>
    <t>Valor Fi</t>
  </si>
  <si>
    <t>PiG</t>
  </si>
  <si>
    <t>PiG Venda</t>
  </si>
  <si>
    <t>PiG Compra</t>
  </si>
  <si>
    <t>PiG Inici</t>
  </si>
  <si>
    <t>Preu final - Preu inicial * Part final - Parts comprades</t>
  </si>
  <si>
    <t>Preu final - Preu inicial * Part final</t>
  </si>
  <si>
    <t>Preu final - Preu compra * Parts comprades</t>
  </si>
  <si>
    <t>Preu venda - Preu Inical * Parts venudes</t>
  </si>
  <si>
    <t>Traspàs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</si>
</sst>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8" fontId="0" fillId="0" borderId="0" xfId="0" applyNumberFormat="1"/>
    <xf numFmtId="0" fontId="0" fillId="0" borderId="0" xfId="0" applyAlignment="1">
      <alignment vertical="center"/>
    </xf>
    <xf numFmtId="8" fontId="0" fillId="0" borderId="0" xfId="0" applyNumberFormat="1" applyAlignment="1">
      <alignment vertical="center"/>
    </xf>
    <xf numFmtId="14" fontId="0" fillId="0" borderId="0" xfId="0" applyNumberForma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/>
    </xf>
    <xf numFmtId="0" fontId="1" fillId="0" borderId="0" xfId="0" applyFont="1"/>
    <xf numFmtId="8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164" fontId="0" fillId="0" borderId="0" xfId="0" applyNumberFormat="1"/>
    <xf numFmtId="0" fontId="0" fillId="2" borderId="0" xfId="0" applyFill="1" applyAlignment="1">
      <alignment vertical="center"/>
    </xf>
    <xf numFmtId="14" fontId="0" fillId="2" borderId="0" xfId="0" applyNumberFormat="1" applyFill="1" applyAlignment="1">
      <alignment vertical="center"/>
    </xf>
    <xf numFmtId="8" fontId="0" fillId="2" borderId="0" xfId="0" applyNumberFormat="1" applyFill="1" applyAlignment="1">
      <alignment vertical="center"/>
    </xf>
    <xf numFmtId="4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E29BB-006A-4648-B9D3-BA04225C45F3}">
  <dimension ref="A1:O21"/>
  <sheetViews>
    <sheetView tabSelected="1" zoomScale="130" zoomScaleNormal="130" workbookViewId="0">
      <selection activeCell="J14" sqref="J14"/>
    </sheetView>
  </sheetViews>
  <sheetFormatPr defaultRowHeight="14.5" x14ac:dyDescent="0.35"/>
  <cols>
    <col min="1" max="1" width="4.90625" bestFit="1" customWidth="1"/>
    <col min="2" max="2" width="8.81640625" bestFit="1" customWidth="1"/>
    <col min="3" max="3" width="10.453125" bestFit="1" customWidth="1"/>
    <col min="4" max="4" width="7.81640625" bestFit="1" customWidth="1"/>
    <col min="5" max="5" width="6.7265625" bestFit="1" customWidth="1"/>
    <col min="6" max="6" width="10.26953125" bestFit="1" customWidth="1"/>
    <col min="7" max="7" width="2.81640625" customWidth="1"/>
    <col min="9" max="10" width="9.26953125" bestFit="1" customWidth="1"/>
    <col min="15" max="15" width="10.90625" bestFit="1" customWidth="1"/>
  </cols>
  <sheetData>
    <row r="1" spans="1:15" x14ac:dyDescent="0.35">
      <c r="D1" s="10" t="s">
        <v>19</v>
      </c>
      <c r="E1" s="10" t="s">
        <v>20</v>
      </c>
      <c r="F1" s="10" t="s">
        <v>21</v>
      </c>
    </row>
    <row r="2" spans="1:15" x14ac:dyDescent="0.35">
      <c r="A2">
        <v>173</v>
      </c>
      <c r="B2" t="s">
        <v>11</v>
      </c>
      <c r="C2" s="4">
        <v>43525</v>
      </c>
      <c r="D2" s="16">
        <v>1778.69</v>
      </c>
      <c r="E2" s="1">
        <v>17.05</v>
      </c>
      <c r="F2" s="1">
        <v>30326.66</v>
      </c>
      <c r="H2" s="16">
        <f>D2</f>
        <v>1778.69</v>
      </c>
    </row>
    <row r="3" spans="1:15" x14ac:dyDescent="0.35">
      <c r="C3" s="4"/>
      <c r="D3" s="16"/>
      <c r="E3" s="1"/>
      <c r="F3" s="1"/>
      <c r="H3" s="16"/>
      <c r="N3">
        <v>2019</v>
      </c>
      <c r="O3" s="1"/>
    </row>
    <row r="4" spans="1:15" x14ac:dyDescent="0.35">
      <c r="C4" s="4"/>
      <c r="D4" s="16"/>
      <c r="E4" s="1"/>
      <c r="F4" s="1"/>
      <c r="H4" s="16"/>
      <c r="N4">
        <f>+N3+1</f>
        <v>2020</v>
      </c>
      <c r="O4" s="1">
        <v>25830.78</v>
      </c>
    </row>
    <row r="5" spans="1:15" x14ac:dyDescent="0.35">
      <c r="A5">
        <v>198</v>
      </c>
      <c r="B5" t="s">
        <v>43</v>
      </c>
      <c r="C5" s="4">
        <v>44470</v>
      </c>
      <c r="D5">
        <v>287.02999999999997</v>
      </c>
      <c r="E5" s="1">
        <v>34.770000000000003</v>
      </c>
      <c r="F5" s="1">
        <v>9980.0300000000007</v>
      </c>
      <c r="H5" s="16">
        <f>H2-D5</f>
        <v>1491.66</v>
      </c>
      <c r="N5">
        <f t="shared" ref="N5:N12" si="0">+N4+1</f>
        <v>2021</v>
      </c>
      <c r="O5" s="1">
        <v>40419.31</v>
      </c>
    </row>
    <row r="6" spans="1:15" x14ac:dyDescent="0.35">
      <c r="A6">
        <v>200</v>
      </c>
      <c r="B6" t="s">
        <v>43</v>
      </c>
      <c r="C6" s="4">
        <v>44473</v>
      </c>
      <c r="D6">
        <v>287.02999999999997</v>
      </c>
      <c r="E6" s="1">
        <v>34.270000000000003</v>
      </c>
      <c r="F6" s="1">
        <v>9836.52</v>
      </c>
      <c r="H6" s="16">
        <f t="shared" ref="H6:H21" si="1">H5-D6</f>
        <v>1204.6300000000001</v>
      </c>
      <c r="N6">
        <f t="shared" si="0"/>
        <v>2022</v>
      </c>
      <c r="O6" s="1">
        <v>-10001.57</v>
      </c>
    </row>
    <row r="7" spans="1:15" x14ac:dyDescent="0.35">
      <c r="C7" s="4"/>
      <c r="E7" s="1"/>
      <c r="F7" s="1"/>
      <c r="H7" s="16"/>
      <c r="N7">
        <f t="shared" si="0"/>
        <v>2023</v>
      </c>
      <c r="O7" s="1">
        <v>7225.05</v>
      </c>
    </row>
    <row r="8" spans="1:15" x14ac:dyDescent="0.35">
      <c r="C8" s="4"/>
      <c r="E8" s="1"/>
      <c r="F8" s="1"/>
      <c r="H8" s="16"/>
      <c r="N8">
        <f t="shared" si="0"/>
        <v>2024</v>
      </c>
      <c r="O8" s="1">
        <v>5342.51</v>
      </c>
    </row>
    <row r="9" spans="1:15" x14ac:dyDescent="0.35">
      <c r="A9">
        <v>216</v>
      </c>
      <c r="B9" t="s">
        <v>43</v>
      </c>
      <c r="C9" s="4">
        <v>44720</v>
      </c>
      <c r="D9">
        <v>296.82</v>
      </c>
      <c r="E9" s="1">
        <v>33.909999999999997</v>
      </c>
      <c r="F9" s="1">
        <v>10065.17</v>
      </c>
      <c r="H9" s="16">
        <f>H6-D9</f>
        <v>907.81000000000017</v>
      </c>
      <c r="N9">
        <f t="shared" si="0"/>
        <v>2025</v>
      </c>
      <c r="O9" s="1">
        <v>-667.64</v>
      </c>
    </row>
    <row r="10" spans="1:15" x14ac:dyDescent="0.35">
      <c r="A10">
        <v>1227</v>
      </c>
      <c r="B10" t="s">
        <v>43</v>
      </c>
      <c r="C10" s="4">
        <v>44831</v>
      </c>
      <c r="D10">
        <v>308.74</v>
      </c>
      <c r="E10" s="1">
        <v>32.26</v>
      </c>
      <c r="F10" s="1">
        <v>9959.9500000000007</v>
      </c>
      <c r="H10" s="16">
        <f t="shared" si="1"/>
        <v>599.07000000000016</v>
      </c>
    </row>
    <row r="11" spans="1:15" x14ac:dyDescent="0.35">
      <c r="C11" s="4"/>
      <c r="E11" s="1"/>
      <c r="F11" s="1"/>
      <c r="H11" s="16"/>
    </row>
    <row r="12" spans="1:15" x14ac:dyDescent="0.35">
      <c r="C12" s="4"/>
      <c r="E12" s="1">
        <v>30.39</v>
      </c>
      <c r="F12" s="1"/>
      <c r="H12" s="16"/>
      <c r="I12" s="8" t="s">
        <v>35</v>
      </c>
    </row>
    <row r="13" spans="1:15" x14ac:dyDescent="0.35">
      <c r="A13" s="17">
        <v>1247</v>
      </c>
      <c r="B13" s="17" t="s">
        <v>43</v>
      </c>
      <c r="C13" s="18">
        <v>45028</v>
      </c>
      <c r="D13" s="17">
        <v>172.46</v>
      </c>
      <c r="E13" s="19">
        <v>34.47</v>
      </c>
      <c r="F13" s="19">
        <v>5944.7</v>
      </c>
      <c r="H13" s="16">
        <f>H10-D13</f>
        <v>426.61000000000013</v>
      </c>
      <c r="I13" s="1">
        <f>(E13-E12)*D13</f>
        <v>703.63679999999977</v>
      </c>
    </row>
    <row r="14" spans="1:15" x14ac:dyDescent="0.35">
      <c r="A14" s="17">
        <v>1251</v>
      </c>
      <c r="B14" s="17" t="s">
        <v>15</v>
      </c>
      <c r="C14" s="18">
        <v>45054</v>
      </c>
      <c r="D14" s="17">
        <v>270</v>
      </c>
      <c r="E14" s="19">
        <v>34.29</v>
      </c>
      <c r="F14" s="19">
        <v>9258.2999999999993</v>
      </c>
      <c r="H14" s="16">
        <f t="shared" si="1"/>
        <v>156.61000000000013</v>
      </c>
      <c r="I14" s="1">
        <f>(E14-E12)*D14</f>
        <v>1052.9999999999995</v>
      </c>
      <c r="J14" s="1">
        <f>SUM(I13:I14)</f>
        <v>1756.6367999999993</v>
      </c>
    </row>
    <row r="15" spans="1:15" x14ac:dyDescent="0.35">
      <c r="C15" s="4"/>
      <c r="E15" s="1">
        <v>42.33</v>
      </c>
      <c r="F15" s="1"/>
      <c r="H15" s="16"/>
      <c r="I15" s="1">
        <f>(E15-E12)*H14</f>
        <v>1869.9234000000013</v>
      </c>
    </row>
    <row r="16" spans="1:15" x14ac:dyDescent="0.35">
      <c r="C16" s="4"/>
      <c r="E16" s="1"/>
      <c r="F16" s="1"/>
      <c r="H16" s="16"/>
      <c r="I16" s="1">
        <f>SUM(I13:I15)</f>
        <v>3626.5602000000008</v>
      </c>
    </row>
    <row r="17" spans="1:8" x14ac:dyDescent="0.35">
      <c r="A17">
        <v>1273</v>
      </c>
      <c r="B17" t="s">
        <v>11</v>
      </c>
      <c r="C17" s="4">
        <v>45356</v>
      </c>
      <c r="D17">
        <v>266.58999999999997</v>
      </c>
      <c r="E17" s="1">
        <v>44.9208</v>
      </c>
      <c r="F17" s="1">
        <v>11975.44</v>
      </c>
      <c r="H17" s="16">
        <f>H14+D17</f>
        <v>423.2000000000001</v>
      </c>
    </row>
    <row r="18" spans="1:8" x14ac:dyDescent="0.35">
      <c r="A18">
        <v>1275</v>
      </c>
      <c r="B18" t="s">
        <v>11</v>
      </c>
      <c r="C18" s="4">
        <v>45478</v>
      </c>
      <c r="D18">
        <v>301.27</v>
      </c>
      <c r="E18" s="1">
        <v>49.440100000000001</v>
      </c>
      <c r="F18" s="1">
        <v>14894.82</v>
      </c>
      <c r="H18" s="16">
        <f>H17+D18</f>
        <v>724.47</v>
      </c>
    </row>
    <row r="19" spans="1:8" x14ac:dyDescent="0.35">
      <c r="A19">
        <v>1279</v>
      </c>
      <c r="B19" t="s">
        <v>43</v>
      </c>
      <c r="C19" s="4">
        <v>45495</v>
      </c>
      <c r="D19">
        <v>20</v>
      </c>
      <c r="E19" s="1">
        <v>48.8</v>
      </c>
      <c r="F19" s="1">
        <v>976</v>
      </c>
      <c r="H19" s="16">
        <f t="shared" si="1"/>
        <v>704.47</v>
      </c>
    </row>
    <row r="20" spans="1:8" x14ac:dyDescent="0.35">
      <c r="A20">
        <v>1293</v>
      </c>
      <c r="B20" t="s">
        <v>43</v>
      </c>
      <c r="C20" s="4">
        <v>45596</v>
      </c>
      <c r="D20">
        <v>501.04</v>
      </c>
      <c r="E20" s="1">
        <v>49.51</v>
      </c>
      <c r="F20" s="1">
        <v>24806.49</v>
      </c>
      <c r="H20" s="16">
        <f t="shared" si="1"/>
        <v>203.43</v>
      </c>
    </row>
    <row r="21" spans="1:8" x14ac:dyDescent="0.35">
      <c r="A21">
        <v>1295</v>
      </c>
      <c r="B21" t="s">
        <v>15</v>
      </c>
      <c r="C21" s="4">
        <v>45601</v>
      </c>
      <c r="D21">
        <v>203.43</v>
      </c>
      <c r="E21" s="1">
        <v>49.6</v>
      </c>
      <c r="F21" s="1">
        <v>10090.129999999999</v>
      </c>
      <c r="H21" s="16">
        <f t="shared" si="1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5F719-568E-4C7B-B8E9-A9675B23D814}">
  <dimension ref="A2:J23"/>
  <sheetViews>
    <sheetView topLeftCell="A4" zoomScale="130" zoomScaleNormal="130" workbookViewId="0">
      <selection activeCell="A14" sqref="A14:B23"/>
    </sheetView>
  </sheetViews>
  <sheetFormatPr defaultRowHeight="14.5" x14ac:dyDescent="0.35"/>
  <cols>
    <col min="1" max="1" width="27.54296875" bestFit="1" customWidth="1"/>
    <col min="2" max="2" width="9.90625" bestFit="1" customWidth="1"/>
    <col min="3" max="3" width="8.7265625" bestFit="1" customWidth="1"/>
    <col min="4" max="4" width="27.54296875" bestFit="1" customWidth="1"/>
    <col min="5" max="5" width="9.6328125" bestFit="1" customWidth="1"/>
    <col min="9" max="9" width="10.453125" bestFit="1" customWidth="1"/>
  </cols>
  <sheetData>
    <row r="2" spans="1:10" x14ac:dyDescent="0.35">
      <c r="A2" t="s">
        <v>0</v>
      </c>
      <c r="B2" s="1">
        <v>4.83</v>
      </c>
      <c r="C2" s="1">
        <f>B2-E2</f>
        <v>1</v>
      </c>
      <c r="D2" s="5" t="s">
        <v>0</v>
      </c>
      <c r="E2" s="9">
        <v>3.83</v>
      </c>
    </row>
    <row r="3" spans="1:10" x14ac:dyDescent="0.35">
      <c r="A3" t="s">
        <v>1</v>
      </c>
      <c r="B3" s="1">
        <v>11.18</v>
      </c>
      <c r="C3" s="1">
        <f t="shared" ref="C3:C11" si="0">B3-E3</f>
        <v>0</v>
      </c>
      <c r="D3" s="5" t="s">
        <v>1</v>
      </c>
      <c r="E3" s="9">
        <v>11.18</v>
      </c>
    </row>
    <row r="4" spans="1:10" x14ac:dyDescent="0.35">
      <c r="A4" t="s">
        <v>14</v>
      </c>
      <c r="B4" s="1">
        <v>9.5299999999999994</v>
      </c>
      <c r="C4" s="1">
        <f t="shared" si="0"/>
        <v>9.5299999999999994</v>
      </c>
    </row>
    <row r="5" spans="1:10" x14ac:dyDescent="0.35">
      <c r="A5" t="s">
        <v>3</v>
      </c>
      <c r="B5" s="1">
        <v>41.11</v>
      </c>
      <c r="C5" s="1">
        <f t="shared" si="0"/>
        <v>0</v>
      </c>
      <c r="D5" s="5" t="s">
        <v>3</v>
      </c>
      <c r="E5" s="9">
        <v>41.11</v>
      </c>
    </row>
    <row r="6" spans="1:10" x14ac:dyDescent="0.35">
      <c r="A6" t="s">
        <v>4</v>
      </c>
      <c r="B6" s="1">
        <v>2579.5100000000002</v>
      </c>
      <c r="C6" s="1">
        <f t="shared" si="0"/>
        <v>-178.89999999999964</v>
      </c>
      <c r="D6" s="5" t="s">
        <v>4</v>
      </c>
      <c r="E6" s="9">
        <v>2758.41</v>
      </c>
    </row>
    <row r="7" spans="1:10" x14ac:dyDescent="0.35">
      <c r="A7" t="s">
        <v>5</v>
      </c>
      <c r="B7" s="1">
        <v>1812.73</v>
      </c>
      <c r="C7" s="1">
        <f t="shared" si="0"/>
        <v>0.23000000000001819</v>
      </c>
      <c r="D7" s="5" t="s">
        <v>5</v>
      </c>
      <c r="E7" s="9">
        <v>1812.5</v>
      </c>
    </row>
    <row r="8" spans="1:10" x14ac:dyDescent="0.35">
      <c r="A8" t="s">
        <v>6</v>
      </c>
      <c r="B8" s="1">
        <v>845.79</v>
      </c>
      <c r="C8" s="1">
        <f t="shared" si="0"/>
        <v>0</v>
      </c>
      <c r="D8" s="5" t="s">
        <v>6</v>
      </c>
      <c r="E8" s="9">
        <v>845.79</v>
      </c>
    </row>
    <row r="9" spans="1:10" x14ac:dyDescent="0.35">
      <c r="A9" t="s">
        <v>7</v>
      </c>
      <c r="B9" s="1">
        <v>-68.760000000000005</v>
      </c>
      <c r="C9" s="1">
        <f t="shared" si="0"/>
        <v>0</v>
      </c>
      <c r="D9" s="5" t="s">
        <v>7</v>
      </c>
      <c r="E9" s="9">
        <v>-68.760000000000005</v>
      </c>
    </row>
    <row r="10" spans="1:10" x14ac:dyDescent="0.35">
      <c r="A10" t="s">
        <v>8</v>
      </c>
      <c r="B10" s="1">
        <v>-45.42</v>
      </c>
      <c r="C10" s="1">
        <f t="shared" si="0"/>
        <v>0</v>
      </c>
      <c r="D10" s="5" t="s">
        <v>8</v>
      </c>
      <c r="E10" s="9">
        <v>-45.42</v>
      </c>
    </row>
    <row r="11" spans="1:10" x14ac:dyDescent="0.35">
      <c r="A11" t="s">
        <v>9</v>
      </c>
      <c r="B11" s="1">
        <v>-24.66</v>
      </c>
      <c r="C11" s="1">
        <f t="shared" si="0"/>
        <v>0</v>
      </c>
      <c r="D11" s="5" t="s">
        <v>9</v>
      </c>
      <c r="E11" s="9">
        <v>-24.66</v>
      </c>
      <c r="G11" s="5">
        <v>1301</v>
      </c>
      <c r="H11" s="5" t="s">
        <v>10</v>
      </c>
      <c r="I11" s="6">
        <v>45567</v>
      </c>
      <c r="J11" s="5">
        <v>0.1113</v>
      </c>
    </row>
    <row r="12" spans="1:10" x14ac:dyDescent="0.35">
      <c r="B12" s="1">
        <f>SUM(B2:B11)</f>
        <v>5165.84</v>
      </c>
      <c r="G12" s="5">
        <v>1302</v>
      </c>
      <c r="H12" s="5" t="s">
        <v>10</v>
      </c>
      <c r="I12" s="6">
        <v>45600</v>
      </c>
      <c r="J12" s="5">
        <v>2.24E-2</v>
      </c>
    </row>
    <row r="13" spans="1:10" x14ac:dyDescent="0.35">
      <c r="E13" s="1">
        <f>SUM(E2:E12)</f>
        <v>5333.98</v>
      </c>
      <c r="G13" s="5">
        <v>1303</v>
      </c>
      <c r="H13" s="5" t="s">
        <v>10</v>
      </c>
      <c r="I13" s="6">
        <v>45600</v>
      </c>
      <c r="J13" s="5">
        <v>0.10780000000000001</v>
      </c>
    </row>
    <row r="14" spans="1:10" x14ac:dyDescent="0.35">
      <c r="A14" t="s">
        <v>0</v>
      </c>
      <c r="B14" s="1">
        <v>4.83</v>
      </c>
      <c r="C14" s="1">
        <f>B14-B2</f>
        <v>0</v>
      </c>
      <c r="G14" s="5">
        <v>1305</v>
      </c>
      <c r="H14" s="5" t="s">
        <v>10</v>
      </c>
      <c r="I14" s="6">
        <v>45628</v>
      </c>
      <c r="J14" s="5">
        <v>2.69E-2</v>
      </c>
    </row>
    <row r="15" spans="1:10" x14ac:dyDescent="0.35">
      <c r="A15" t="s">
        <v>1</v>
      </c>
      <c r="B15" s="1">
        <v>11.18</v>
      </c>
      <c r="C15" s="1">
        <f t="shared" ref="C15:C23" si="1">B15-B3</f>
        <v>0</v>
      </c>
      <c r="G15" s="5">
        <v>1306</v>
      </c>
      <c r="H15" s="5" t="s">
        <v>10</v>
      </c>
      <c r="I15" s="6">
        <v>45628</v>
      </c>
      <c r="J15" s="5">
        <v>9.8400000000000001E-2</v>
      </c>
    </row>
    <row r="16" spans="1:10" x14ac:dyDescent="0.35">
      <c r="A16" t="s">
        <v>14</v>
      </c>
      <c r="B16" s="1">
        <v>9.5299999999999994</v>
      </c>
      <c r="C16" s="1">
        <f t="shared" si="1"/>
        <v>0</v>
      </c>
      <c r="J16">
        <f>SUM(J11:J15)</f>
        <v>0.36679999999999996</v>
      </c>
    </row>
    <row r="17" spans="1:10" x14ac:dyDescent="0.35">
      <c r="A17" t="s">
        <v>3</v>
      </c>
      <c r="B17" s="1">
        <v>41.11</v>
      </c>
      <c r="C17" s="1">
        <f t="shared" si="1"/>
        <v>0</v>
      </c>
    </row>
    <row r="18" spans="1:10" x14ac:dyDescent="0.35">
      <c r="A18" t="s">
        <v>4</v>
      </c>
      <c r="B18" s="1">
        <v>2758.41</v>
      </c>
      <c r="C18" s="1">
        <f t="shared" si="1"/>
        <v>178.89999999999964</v>
      </c>
      <c r="D18" s="1">
        <f>+B18-E6</f>
        <v>0</v>
      </c>
      <c r="G18" s="2">
        <v>1280</v>
      </c>
      <c r="H18" s="2" t="s">
        <v>11</v>
      </c>
      <c r="I18" s="7">
        <v>45495</v>
      </c>
      <c r="J18" s="2">
        <v>20.32</v>
      </c>
    </row>
    <row r="19" spans="1:10" x14ac:dyDescent="0.35">
      <c r="A19" t="s">
        <v>5</v>
      </c>
      <c r="B19" s="1">
        <v>1812.73</v>
      </c>
      <c r="C19" s="1">
        <f t="shared" si="1"/>
        <v>0</v>
      </c>
      <c r="G19" s="2">
        <v>1294</v>
      </c>
      <c r="H19" s="2" t="s">
        <v>11</v>
      </c>
      <c r="I19" s="7">
        <v>45596</v>
      </c>
      <c r="J19" s="2">
        <v>512.95000000000005</v>
      </c>
    </row>
    <row r="20" spans="1:10" x14ac:dyDescent="0.35">
      <c r="A20" t="s">
        <v>6</v>
      </c>
      <c r="B20" s="1">
        <v>845.79</v>
      </c>
      <c r="C20" s="1">
        <f t="shared" si="1"/>
        <v>0</v>
      </c>
      <c r="J20">
        <f>SUM(J18:J19)</f>
        <v>533.2700000000001</v>
      </c>
    </row>
    <row r="21" spans="1:10" x14ac:dyDescent="0.35">
      <c r="A21" t="s">
        <v>7</v>
      </c>
      <c r="B21" s="1">
        <v>-68.760000000000005</v>
      </c>
      <c r="C21" s="1">
        <f t="shared" si="1"/>
        <v>0</v>
      </c>
    </row>
    <row r="22" spans="1:10" x14ac:dyDescent="0.35">
      <c r="A22" t="s">
        <v>8</v>
      </c>
      <c r="B22" s="1">
        <v>-45.42</v>
      </c>
      <c r="C22" s="1">
        <f t="shared" si="1"/>
        <v>0</v>
      </c>
    </row>
    <row r="23" spans="1:10" x14ac:dyDescent="0.35">
      <c r="A23" t="s">
        <v>9</v>
      </c>
      <c r="B23" s="1">
        <v>-24.66</v>
      </c>
      <c r="C23" s="1">
        <f t="shared" si="1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48222-56DC-4136-B390-8277FFD846DF}">
  <dimension ref="A2:J32"/>
  <sheetViews>
    <sheetView zoomScale="130" zoomScaleNormal="130" workbookViewId="0">
      <selection activeCell="A2" sqref="A2"/>
    </sheetView>
  </sheetViews>
  <sheetFormatPr defaultRowHeight="14.5" x14ac:dyDescent="0.35"/>
  <cols>
    <col min="1" max="1" width="27.54296875" bestFit="1" customWidth="1"/>
    <col min="2" max="2" width="9.6328125" bestFit="1" customWidth="1"/>
    <col min="3" max="3" width="3.453125" customWidth="1"/>
    <col min="4" max="4" width="27.54296875" bestFit="1" customWidth="1"/>
    <col min="5" max="5" width="9.6328125" bestFit="1" customWidth="1"/>
    <col min="6" max="6" width="10.7265625" bestFit="1" customWidth="1"/>
    <col min="7" max="7" width="10.453125" bestFit="1" customWidth="1"/>
  </cols>
  <sheetData>
    <row r="2" spans="1:6" x14ac:dyDescent="0.35">
      <c r="A2" t="s">
        <v>0</v>
      </c>
      <c r="B2" s="1">
        <v>-270.52999999999997</v>
      </c>
      <c r="D2" s="2" t="s">
        <v>0</v>
      </c>
      <c r="E2" s="3">
        <v>-270.52999999999997</v>
      </c>
    </row>
    <row r="3" spans="1:6" x14ac:dyDescent="0.35">
      <c r="A3" t="s">
        <v>1</v>
      </c>
      <c r="B3" s="1">
        <v>-24.88</v>
      </c>
      <c r="D3" s="2" t="s">
        <v>1</v>
      </c>
      <c r="E3" s="3">
        <v>-24.88</v>
      </c>
    </row>
    <row r="4" spans="1:6" x14ac:dyDescent="0.35">
      <c r="A4" t="s">
        <v>2</v>
      </c>
      <c r="B4" s="1">
        <v>-10.67</v>
      </c>
      <c r="D4" s="2" t="s">
        <v>2</v>
      </c>
      <c r="E4" s="3">
        <v>-10.67</v>
      </c>
    </row>
    <row r="5" spans="1:6" x14ac:dyDescent="0.35">
      <c r="A5" t="s">
        <v>3</v>
      </c>
      <c r="B5" s="1">
        <v>430.29</v>
      </c>
      <c r="D5" s="2" t="s">
        <v>3</v>
      </c>
      <c r="E5" s="3">
        <v>430.29</v>
      </c>
    </row>
    <row r="6" spans="1:6" x14ac:dyDescent="0.35">
      <c r="A6" t="s">
        <v>4</v>
      </c>
      <c r="B6" s="1">
        <v>920.29</v>
      </c>
      <c r="D6" s="2" t="s">
        <v>4</v>
      </c>
      <c r="E6" s="3">
        <v>920.29</v>
      </c>
    </row>
    <row r="7" spans="1:6" x14ac:dyDescent="0.35">
      <c r="A7" t="s">
        <v>5</v>
      </c>
      <c r="B7" s="1">
        <v>-398.35</v>
      </c>
      <c r="D7" s="2" t="s">
        <v>5</v>
      </c>
      <c r="E7" s="3">
        <v>-435.89</v>
      </c>
    </row>
    <row r="8" spans="1:6" x14ac:dyDescent="0.35">
      <c r="A8" t="s">
        <v>6</v>
      </c>
      <c r="B8" s="1">
        <v>1193.4000000000001</v>
      </c>
      <c r="D8" s="2" t="s">
        <v>6</v>
      </c>
      <c r="E8" s="3">
        <v>1269.3900000000001</v>
      </c>
    </row>
    <row r="11" spans="1:6" x14ac:dyDescent="0.35">
      <c r="F11" s="4">
        <v>45292</v>
      </c>
    </row>
    <row r="15" spans="1:6" x14ac:dyDescent="0.35">
      <c r="F15" s="4">
        <v>45657</v>
      </c>
    </row>
    <row r="17" spans="5:10" x14ac:dyDescent="0.35">
      <c r="E17" s="8" t="s">
        <v>1</v>
      </c>
    </row>
    <row r="18" spans="5:10" x14ac:dyDescent="0.35">
      <c r="E18" s="5">
        <v>1308</v>
      </c>
      <c r="F18" s="5" t="s">
        <v>10</v>
      </c>
      <c r="G18" s="6">
        <v>45659</v>
      </c>
      <c r="H18" s="5">
        <v>1.46E-2</v>
      </c>
    </row>
    <row r="19" spans="5:10" x14ac:dyDescent="0.35">
      <c r="E19" s="5">
        <v>1309</v>
      </c>
      <c r="F19" s="5" t="s">
        <v>10</v>
      </c>
      <c r="G19" s="6">
        <v>45659</v>
      </c>
      <c r="H19" s="5">
        <v>9.7699999999999995E-2</v>
      </c>
    </row>
    <row r="20" spans="5:10" x14ac:dyDescent="0.35">
      <c r="E20" s="5">
        <v>1310</v>
      </c>
      <c r="F20" s="5" t="s">
        <v>10</v>
      </c>
      <c r="G20" s="6">
        <v>45691</v>
      </c>
      <c r="H20" s="5">
        <v>1.17E-2</v>
      </c>
    </row>
    <row r="21" spans="5:10" x14ac:dyDescent="0.35">
      <c r="E21" s="5">
        <v>1311</v>
      </c>
      <c r="F21" s="5" t="s">
        <v>10</v>
      </c>
      <c r="G21" s="6">
        <v>45691</v>
      </c>
      <c r="H21" s="5">
        <v>9.1800000000000007E-2</v>
      </c>
    </row>
    <row r="22" spans="5:10" x14ac:dyDescent="0.35">
      <c r="E22" s="5">
        <v>1314</v>
      </c>
      <c r="F22" s="5" t="s">
        <v>10</v>
      </c>
      <c r="G22" s="6">
        <v>45719</v>
      </c>
      <c r="H22" s="5">
        <v>1.5599999999999999E-2</v>
      </c>
    </row>
    <row r="23" spans="5:10" x14ac:dyDescent="0.35">
      <c r="E23" s="5">
        <v>1315</v>
      </c>
      <c r="F23" s="5" t="s">
        <v>10</v>
      </c>
      <c r="G23" s="6">
        <v>45719</v>
      </c>
      <c r="H23" s="5">
        <v>9.0700000000000003E-2</v>
      </c>
      <c r="I23" t="s">
        <v>12</v>
      </c>
      <c r="J23" t="s">
        <v>13</v>
      </c>
    </row>
    <row r="24" spans="5:10" x14ac:dyDescent="0.35">
      <c r="H24" s="8">
        <f>SUM(H18:H23)</f>
        <v>0.3221</v>
      </c>
      <c r="I24" s="8">
        <v>0.36680800000000002</v>
      </c>
      <c r="J24" s="8">
        <v>0.68884000000000001</v>
      </c>
    </row>
    <row r="26" spans="5:10" x14ac:dyDescent="0.35">
      <c r="E26" s="5">
        <v>1318</v>
      </c>
      <c r="F26" s="5" t="s">
        <v>10</v>
      </c>
      <c r="G26" s="6">
        <v>45749</v>
      </c>
      <c r="H26" s="5">
        <v>0.1013</v>
      </c>
    </row>
    <row r="27" spans="5:10" x14ac:dyDescent="0.35">
      <c r="E27" s="5">
        <v>1319</v>
      </c>
      <c r="F27" s="5" t="s">
        <v>10</v>
      </c>
      <c r="G27" s="6">
        <v>45749</v>
      </c>
      <c r="H27" s="5">
        <v>1.2E-2</v>
      </c>
    </row>
    <row r="28" spans="5:10" x14ac:dyDescent="0.35">
      <c r="E28" s="5">
        <v>1325</v>
      </c>
      <c r="F28" s="5" t="s">
        <v>10</v>
      </c>
      <c r="G28" s="6">
        <v>45779</v>
      </c>
      <c r="H28" s="5">
        <v>1.9800000000000002E-2</v>
      </c>
    </row>
    <row r="29" spans="5:10" x14ac:dyDescent="0.35">
      <c r="H29">
        <f>SUM(H26:H28)</f>
        <v>0.1331</v>
      </c>
    </row>
    <row r="31" spans="5:10" x14ac:dyDescent="0.35">
      <c r="E31" s="5">
        <v>1312</v>
      </c>
      <c r="F31" s="5" t="s">
        <v>10</v>
      </c>
      <c r="G31" s="6">
        <v>45695</v>
      </c>
      <c r="H31" s="5">
        <v>185.49430000000001</v>
      </c>
    </row>
    <row r="32" spans="5:10" x14ac:dyDescent="0.35">
      <c r="H32">
        <f>SUM(H31:H31)</f>
        <v>185.49430000000001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FDDF8-D2F6-465A-8273-90AD0960B264}">
  <dimension ref="A1:G16"/>
  <sheetViews>
    <sheetView zoomScale="130" zoomScaleNormal="130" workbookViewId="0">
      <selection activeCell="E17" sqref="E17"/>
    </sheetView>
  </sheetViews>
  <sheetFormatPr defaultRowHeight="14.5" x14ac:dyDescent="0.35"/>
  <cols>
    <col min="1" max="1" width="4.81640625" bestFit="1" customWidth="1"/>
    <col min="2" max="2" width="8.81640625" bestFit="1" customWidth="1"/>
    <col min="3" max="3" width="10.453125" bestFit="1" customWidth="1"/>
    <col min="4" max="4" width="6.81640625" bestFit="1" customWidth="1"/>
    <col min="5" max="5" width="7.7265625" bestFit="1" customWidth="1"/>
    <col min="6" max="7" width="10.26953125" bestFit="1" customWidth="1"/>
  </cols>
  <sheetData>
    <row r="1" spans="1:7" x14ac:dyDescent="0.35">
      <c r="A1" s="10" t="s">
        <v>16</v>
      </c>
      <c r="B1" s="10" t="s">
        <v>17</v>
      </c>
      <c r="C1" s="10" t="s">
        <v>18</v>
      </c>
      <c r="D1" s="10" t="s">
        <v>19</v>
      </c>
      <c r="E1" s="10" t="s">
        <v>20</v>
      </c>
      <c r="F1" s="10" t="s">
        <v>21</v>
      </c>
      <c r="G1" s="10" t="s">
        <v>22</v>
      </c>
    </row>
    <row r="2" spans="1:7" x14ac:dyDescent="0.35">
      <c r="A2" s="2">
        <v>197</v>
      </c>
      <c r="B2" s="2" t="s">
        <v>11</v>
      </c>
      <c r="C2" s="7">
        <v>44473</v>
      </c>
      <c r="D2" s="2">
        <v>24.54</v>
      </c>
      <c r="E2" s="3">
        <v>435.1019</v>
      </c>
      <c r="F2" s="3">
        <v>10677.4</v>
      </c>
      <c r="G2" s="3">
        <v>10677.4</v>
      </c>
    </row>
    <row r="3" spans="1:7" x14ac:dyDescent="0.35">
      <c r="A3" s="2">
        <v>203</v>
      </c>
      <c r="B3" s="2" t="s">
        <v>11</v>
      </c>
      <c r="C3" s="7">
        <v>44496</v>
      </c>
      <c r="D3" s="2">
        <v>34.723999999999997</v>
      </c>
      <c r="E3" s="3">
        <v>434.9468</v>
      </c>
      <c r="F3" s="3">
        <v>15103.09</v>
      </c>
      <c r="G3" s="3">
        <v>15103.09</v>
      </c>
    </row>
    <row r="4" spans="1:7" x14ac:dyDescent="0.35">
      <c r="A4" s="2">
        <v>205</v>
      </c>
      <c r="B4" s="2" t="s">
        <v>11</v>
      </c>
      <c r="C4" s="7">
        <v>44524</v>
      </c>
      <c r="D4" s="2">
        <v>46.265999999999998</v>
      </c>
      <c r="E4" s="3">
        <v>434.7577</v>
      </c>
      <c r="F4" s="3">
        <v>20114.5</v>
      </c>
      <c r="G4" s="3">
        <v>20114.5</v>
      </c>
    </row>
    <row r="5" spans="1:7" x14ac:dyDescent="0.35">
      <c r="A5" s="2">
        <v>217</v>
      </c>
      <c r="B5" s="2" t="s">
        <v>11</v>
      </c>
      <c r="C5" s="7">
        <v>44725</v>
      </c>
      <c r="D5" s="2">
        <v>23.23</v>
      </c>
      <c r="E5" s="3">
        <v>433.28309999999999</v>
      </c>
      <c r="F5" s="3">
        <v>10065.17</v>
      </c>
      <c r="G5" s="3">
        <v>10065.17</v>
      </c>
    </row>
    <row r="6" spans="1:7" x14ac:dyDescent="0.35">
      <c r="A6" s="2">
        <v>1235</v>
      </c>
      <c r="B6" s="2" t="s">
        <v>11</v>
      </c>
      <c r="C6" s="7">
        <v>44893</v>
      </c>
      <c r="D6" s="2">
        <v>21.81</v>
      </c>
      <c r="E6" s="3">
        <v>433.51990000000001</v>
      </c>
      <c r="F6" s="3">
        <v>9455.07</v>
      </c>
      <c r="G6" s="3">
        <v>9455.07</v>
      </c>
    </row>
    <row r="7" spans="1:7" x14ac:dyDescent="0.35">
      <c r="A7" s="2">
        <v>1239</v>
      </c>
      <c r="B7" s="2" t="s">
        <v>11</v>
      </c>
      <c r="C7" s="7">
        <v>44893</v>
      </c>
      <c r="D7" s="2">
        <v>18.635999999999999</v>
      </c>
      <c r="E7" s="3">
        <v>433.5419</v>
      </c>
      <c r="F7" s="3">
        <v>8079.49</v>
      </c>
      <c r="G7" s="3">
        <v>8079.49</v>
      </c>
    </row>
    <row r="8" spans="1:7" x14ac:dyDescent="0.35">
      <c r="A8" s="2">
        <v>1241</v>
      </c>
      <c r="B8" s="2" t="s">
        <v>11</v>
      </c>
      <c r="C8" s="7">
        <v>44939</v>
      </c>
      <c r="D8" s="2">
        <v>5.8719999999999999</v>
      </c>
      <c r="E8" s="3">
        <v>434.45089999999999</v>
      </c>
      <c r="F8" s="3">
        <v>2551.1</v>
      </c>
      <c r="G8" s="3">
        <v>2551.1</v>
      </c>
    </row>
    <row r="9" spans="1:7" x14ac:dyDescent="0.35">
      <c r="A9" s="2"/>
      <c r="B9" s="2"/>
      <c r="C9" s="7"/>
      <c r="D9" s="2"/>
      <c r="E9" s="3"/>
      <c r="F9" s="3"/>
      <c r="G9" s="3"/>
    </row>
    <row r="10" spans="1:7" x14ac:dyDescent="0.35">
      <c r="A10" s="2">
        <v>1278</v>
      </c>
      <c r="B10" s="2" t="s">
        <v>15</v>
      </c>
      <c r="C10" s="7">
        <v>45495</v>
      </c>
      <c r="D10" s="2">
        <v>18.635999999999999</v>
      </c>
      <c r="E10" s="3">
        <v>457.74209999999999</v>
      </c>
      <c r="F10" s="3">
        <v>8530.48</v>
      </c>
      <c r="G10" s="3">
        <v>8530.48</v>
      </c>
    </row>
    <row r="12" spans="1:7" x14ac:dyDescent="0.35">
      <c r="B12" s="2" t="s">
        <v>24</v>
      </c>
    </row>
    <row r="13" spans="1:7" x14ac:dyDescent="0.35">
      <c r="B13" s="11" t="s">
        <v>23</v>
      </c>
      <c r="C13" s="1">
        <v>73611.08</v>
      </c>
    </row>
    <row r="15" spans="1:7" x14ac:dyDescent="0.35">
      <c r="B15" s="8" t="s">
        <v>25</v>
      </c>
      <c r="C15" s="8" t="s">
        <v>26</v>
      </c>
      <c r="E15" s="8" t="s">
        <v>27</v>
      </c>
      <c r="F15" s="8" t="s">
        <v>28</v>
      </c>
    </row>
    <row r="16" spans="1:7" x14ac:dyDescent="0.35">
      <c r="B16">
        <v>448.14260000000002</v>
      </c>
      <c r="C16">
        <v>156.44200000000001</v>
      </c>
      <c r="E16">
        <v>464.63119999999998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06591-383F-409F-8E8B-0388049C8B0B}">
  <dimension ref="A2:G19"/>
  <sheetViews>
    <sheetView workbookViewId="0">
      <selection activeCell="G17" sqref="G17"/>
    </sheetView>
  </sheetViews>
  <sheetFormatPr defaultRowHeight="14.5" x14ac:dyDescent="0.35"/>
  <cols>
    <col min="1" max="1" width="8.1796875" customWidth="1"/>
    <col min="2" max="2" width="8.81640625" bestFit="1" customWidth="1"/>
    <col min="3" max="3" width="10.453125" bestFit="1" customWidth="1"/>
    <col min="4" max="4" width="6.81640625" bestFit="1" customWidth="1"/>
    <col min="5" max="5" width="10.26953125" bestFit="1" customWidth="1"/>
    <col min="6" max="6" width="9.26953125" bestFit="1" customWidth="1"/>
    <col min="7" max="7" width="10.26953125" bestFit="1" customWidth="1"/>
  </cols>
  <sheetData>
    <row r="2" spans="1:7" x14ac:dyDescent="0.35">
      <c r="A2" s="8" t="s">
        <v>4</v>
      </c>
    </row>
    <row r="3" spans="1:7" x14ac:dyDescent="0.35">
      <c r="A3" t="s">
        <v>29</v>
      </c>
      <c r="C3" s="2">
        <v>169.20599999999999</v>
      </c>
    </row>
    <row r="4" spans="1:7" x14ac:dyDescent="0.35">
      <c r="A4" t="s">
        <v>30</v>
      </c>
      <c r="C4" s="2">
        <v>175.078</v>
      </c>
      <c r="E4" s="12"/>
    </row>
    <row r="5" spans="1:7" x14ac:dyDescent="0.35">
      <c r="A5" t="s">
        <v>31</v>
      </c>
      <c r="C5" s="3">
        <v>434.12720000000002</v>
      </c>
      <c r="E5" s="12"/>
    </row>
    <row r="6" spans="1:7" x14ac:dyDescent="0.35">
      <c r="A6" t="s">
        <v>32</v>
      </c>
      <c r="C6" s="3">
        <v>448.14260000000002</v>
      </c>
      <c r="D6" s="1">
        <f>C6-C5</f>
        <v>14.0154</v>
      </c>
      <c r="E6" s="12">
        <f>+D6*C4</f>
        <v>2453.7882012</v>
      </c>
      <c r="F6" s="12"/>
    </row>
    <row r="7" spans="1:7" x14ac:dyDescent="0.35">
      <c r="D7" s="10" t="s">
        <v>19</v>
      </c>
      <c r="E7" s="10" t="s">
        <v>20</v>
      </c>
    </row>
    <row r="8" spans="1:7" x14ac:dyDescent="0.35">
      <c r="A8" s="2">
        <v>197</v>
      </c>
      <c r="B8" s="2" t="s">
        <v>11</v>
      </c>
      <c r="C8" s="7">
        <v>44473</v>
      </c>
      <c r="D8" s="2">
        <v>24.54</v>
      </c>
      <c r="E8" s="3">
        <v>435.1019</v>
      </c>
      <c r="F8">
        <f>D8</f>
        <v>24.54</v>
      </c>
    </row>
    <row r="9" spans="1:7" x14ac:dyDescent="0.35">
      <c r="A9" s="2">
        <v>203</v>
      </c>
      <c r="B9" s="2" t="s">
        <v>11</v>
      </c>
      <c r="C9" s="7">
        <v>44496</v>
      </c>
      <c r="D9" s="2">
        <v>34.723999999999997</v>
      </c>
      <c r="E9" s="3">
        <v>434.9468</v>
      </c>
      <c r="F9">
        <f>F8+D9</f>
        <v>59.263999999999996</v>
      </c>
    </row>
    <row r="10" spans="1:7" x14ac:dyDescent="0.35">
      <c r="A10" s="2">
        <v>205</v>
      </c>
      <c r="B10" s="2" t="s">
        <v>11</v>
      </c>
      <c r="C10" s="7">
        <v>44524</v>
      </c>
      <c r="D10" s="2">
        <v>46.265999999999998</v>
      </c>
      <c r="E10" s="3">
        <v>434.7577</v>
      </c>
      <c r="F10">
        <f t="shared" ref="F10:F14" si="0">F9+D10</f>
        <v>105.53</v>
      </c>
    </row>
    <row r="11" spans="1:7" x14ac:dyDescent="0.35">
      <c r="A11" s="2">
        <v>217</v>
      </c>
      <c r="B11" s="2" t="s">
        <v>11</v>
      </c>
      <c r="C11" s="7">
        <v>44725</v>
      </c>
      <c r="D11" s="2">
        <v>23.23</v>
      </c>
      <c r="E11" s="3">
        <v>433.28309999999999</v>
      </c>
      <c r="F11">
        <f t="shared" si="0"/>
        <v>128.76</v>
      </c>
    </row>
    <row r="12" spans="1:7" x14ac:dyDescent="0.35">
      <c r="A12" s="2">
        <v>1235</v>
      </c>
      <c r="B12" s="2" t="s">
        <v>11</v>
      </c>
      <c r="C12" s="7">
        <v>44893</v>
      </c>
      <c r="D12" s="2">
        <v>21.81</v>
      </c>
      <c r="E12" s="3">
        <v>433.51990000000001</v>
      </c>
      <c r="F12">
        <f t="shared" si="0"/>
        <v>150.57</v>
      </c>
    </row>
    <row r="13" spans="1:7" x14ac:dyDescent="0.35">
      <c r="A13" s="2">
        <v>1239</v>
      </c>
      <c r="B13" s="2" t="s">
        <v>11</v>
      </c>
      <c r="C13" s="7">
        <v>44893</v>
      </c>
      <c r="D13" s="2">
        <v>18.635999999999999</v>
      </c>
      <c r="E13" s="3">
        <v>433.5419</v>
      </c>
      <c r="F13">
        <f t="shared" si="0"/>
        <v>169.20599999999999</v>
      </c>
    </row>
    <row r="14" spans="1:7" x14ac:dyDescent="0.35">
      <c r="A14" s="13">
        <v>1241</v>
      </c>
      <c r="B14" s="13" t="s">
        <v>11</v>
      </c>
      <c r="C14" s="14">
        <v>44939</v>
      </c>
      <c r="D14" s="13">
        <v>5.8719999999999999</v>
      </c>
      <c r="E14" s="15">
        <v>434.45089999999999</v>
      </c>
      <c r="F14">
        <f t="shared" si="0"/>
        <v>175.07799999999997</v>
      </c>
      <c r="G14" s="1">
        <f>+D14*E14</f>
        <v>2551.0956848000001</v>
      </c>
    </row>
    <row r="15" spans="1:7" x14ac:dyDescent="0.35">
      <c r="A15" s="2">
        <v>1278</v>
      </c>
      <c r="B15" s="2" t="s">
        <v>15</v>
      </c>
      <c r="C15" s="7">
        <v>45495</v>
      </c>
      <c r="D15" s="2">
        <v>18.635999999999999</v>
      </c>
      <c r="E15" s="3">
        <v>457.74209999999999</v>
      </c>
      <c r="F15">
        <f>F14-D15</f>
        <v>156.44199999999998</v>
      </c>
    </row>
    <row r="17" spans="6:7" x14ac:dyDescent="0.35">
      <c r="F17" t="s">
        <v>33</v>
      </c>
      <c r="G17" s="1">
        <f>C3*C5+D14*E14</f>
        <v>76008.022687999997</v>
      </c>
    </row>
    <row r="18" spans="6:7" x14ac:dyDescent="0.35">
      <c r="F18" t="s">
        <v>34</v>
      </c>
      <c r="G18" s="1">
        <f>C4*C6</f>
        <v>78459.910122800007</v>
      </c>
    </row>
    <row r="19" spans="6:7" x14ac:dyDescent="0.35">
      <c r="G19" s="1">
        <f>+G18-G17</f>
        <v>2451.8874348000099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3DEA7-A703-4AD4-B8BF-21FD4693B71B}">
  <dimension ref="A1:D46"/>
  <sheetViews>
    <sheetView zoomScale="175" zoomScaleNormal="175" workbookViewId="0">
      <pane ySplit="1" topLeftCell="A2" activePane="bottomLeft" state="frozen"/>
      <selection pane="bottomLeft" activeCell="B46" sqref="B46"/>
    </sheetView>
  </sheetViews>
  <sheetFormatPr defaultRowHeight="14.5" x14ac:dyDescent="0.35"/>
  <cols>
    <col min="1" max="1" width="10.7265625" bestFit="1" customWidth="1"/>
    <col min="4" max="4" width="54.7265625" customWidth="1"/>
  </cols>
  <sheetData>
    <row r="1" spans="1:4" x14ac:dyDescent="0.35">
      <c r="B1" s="10" t="s">
        <v>19</v>
      </c>
      <c r="C1" s="10" t="s">
        <v>20</v>
      </c>
    </row>
    <row r="2" spans="1:4" x14ac:dyDescent="0.35">
      <c r="A2" t="s">
        <v>12</v>
      </c>
      <c r="B2">
        <v>10</v>
      </c>
      <c r="C2">
        <v>5</v>
      </c>
    </row>
    <row r="3" spans="1:4" x14ac:dyDescent="0.35">
      <c r="A3" t="s">
        <v>13</v>
      </c>
      <c r="B3">
        <v>10</v>
      </c>
      <c r="C3">
        <v>9</v>
      </c>
    </row>
    <row r="4" spans="1:4" x14ac:dyDescent="0.35">
      <c r="A4" s="8" t="s">
        <v>35</v>
      </c>
      <c r="B4" s="8">
        <f>(C3-C2)*B3</f>
        <v>40</v>
      </c>
      <c r="D4" s="8" t="s">
        <v>40</v>
      </c>
    </row>
    <row r="6" spans="1:4" x14ac:dyDescent="0.35">
      <c r="A6" t="s">
        <v>12</v>
      </c>
      <c r="B6">
        <v>10</v>
      </c>
      <c r="C6">
        <v>5</v>
      </c>
    </row>
    <row r="7" spans="1:4" x14ac:dyDescent="0.35">
      <c r="A7" t="s">
        <v>10</v>
      </c>
      <c r="B7">
        <v>3</v>
      </c>
      <c r="C7">
        <v>7</v>
      </c>
    </row>
    <row r="8" spans="1:4" x14ac:dyDescent="0.35">
      <c r="A8" t="s">
        <v>13</v>
      </c>
      <c r="B8">
        <v>13</v>
      </c>
      <c r="C8">
        <v>9</v>
      </c>
    </row>
    <row r="9" spans="1:4" x14ac:dyDescent="0.35">
      <c r="A9" s="8" t="s">
        <v>37</v>
      </c>
      <c r="B9" s="8">
        <f>(C8-C7)*B7</f>
        <v>6</v>
      </c>
      <c r="D9" s="8" t="s">
        <v>41</v>
      </c>
    </row>
    <row r="10" spans="1:4" x14ac:dyDescent="0.35">
      <c r="A10" s="8" t="s">
        <v>38</v>
      </c>
      <c r="B10" s="8">
        <f>(C8-C6)*(B8-B7)</f>
        <v>40</v>
      </c>
      <c r="D10" s="8" t="s">
        <v>39</v>
      </c>
    </row>
    <row r="11" spans="1:4" x14ac:dyDescent="0.35">
      <c r="A11" s="8" t="s">
        <v>35</v>
      </c>
      <c r="B11" s="8">
        <f>SUM(B9:B10)</f>
        <v>46</v>
      </c>
      <c r="D11" s="8"/>
    </row>
    <row r="13" spans="1:4" x14ac:dyDescent="0.35">
      <c r="A13" t="s">
        <v>12</v>
      </c>
      <c r="B13">
        <v>10</v>
      </c>
      <c r="C13">
        <v>5</v>
      </c>
    </row>
    <row r="14" spans="1:4" x14ac:dyDescent="0.35">
      <c r="A14" t="s">
        <v>15</v>
      </c>
      <c r="B14">
        <v>3</v>
      </c>
      <c r="C14">
        <v>7</v>
      </c>
    </row>
    <row r="15" spans="1:4" x14ac:dyDescent="0.35">
      <c r="A15" t="s">
        <v>13</v>
      </c>
      <c r="B15">
        <v>7</v>
      </c>
      <c r="C15">
        <v>9</v>
      </c>
    </row>
    <row r="16" spans="1:4" x14ac:dyDescent="0.35">
      <c r="A16" s="8" t="s">
        <v>36</v>
      </c>
      <c r="B16" s="8">
        <f>(C14-C13)*B14</f>
        <v>6</v>
      </c>
      <c r="D16" s="8" t="s">
        <v>42</v>
      </c>
    </row>
    <row r="17" spans="1:4" x14ac:dyDescent="0.35">
      <c r="A17" s="8" t="s">
        <v>38</v>
      </c>
      <c r="B17" s="8">
        <f>(C15-C13)*B15</f>
        <v>28</v>
      </c>
      <c r="D17" s="8" t="s">
        <v>40</v>
      </c>
    </row>
    <row r="18" spans="1:4" x14ac:dyDescent="0.35">
      <c r="A18" s="8" t="s">
        <v>35</v>
      </c>
      <c r="B18" s="8">
        <f>SUM(B16:B17)</f>
        <v>34</v>
      </c>
      <c r="D18" s="8"/>
    </row>
    <row r="20" spans="1:4" x14ac:dyDescent="0.35">
      <c r="A20" t="s">
        <v>12</v>
      </c>
      <c r="B20">
        <v>10</v>
      </c>
      <c r="C20">
        <v>5</v>
      </c>
    </row>
    <row r="21" spans="1:4" x14ac:dyDescent="0.35">
      <c r="A21" t="s">
        <v>15</v>
      </c>
      <c r="B21">
        <v>3</v>
      </c>
      <c r="C21">
        <v>7</v>
      </c>
    </row>
    <row r="22" spans="1:4" x14ac:dyDescent="0.35">
      <c r="A22" t="s">
        <v>10</v>
      </c>
      <c r="B22">
        <v>6</v>
      </c>
      <c r="C22">
        <v>8</v>
      </c>
    </row>
    <row r="23" spans="1:4" x14ac:dyDescent="0.35">
      <c r="A23" t="s">
        <v>13</v>
      </c>
      <c r="B23">
        <v>13</v>
      </c>
      <c r="C23">
        <v>9</v>
      </c>
    </row>
    <row r="24" spans="1:4" x14ac:dyDescent="0.35">
      <c r="A24" s="8" t="s">
        <v>36</v>
      </c>
      <c r="B24" s="8">
        <f>(C21-C20)*B21</f>
        <v>6</v>
      </c>
      <c r="D24" s="8" t="s">
        <v>42</v>
      </c>
    </row>
    <row r="25" spans="1:4" x14ac:dyDescent="0.35">
      <c r="A25" s="8" t="s">
        <v>37</v>
      </c>
      <c r="B25" s="8">
        <f>(C23-C22)*B22</f>
        <v>6</v>
      </c>
      <c r="D25" s="8" t="s">
        <v>41</v>
      </c>
    </row>
    <row r="26" spans="1:4" x14ac:dyDescent="0.35">
      <c r="A26" s="8" t="s">
        <v>38</v>
      </c>
      <c r="B26" s="8">
        <f>(C23-C20)*(B23-B22)</f>
        <v>28</v>
      </c>
      <c r="D26" s="8" t="s">
        <v>39</v>
      </c>
    </row>
    <row r="27" spans="1:4" x14ac:dyDescent="0.35">
      <c r="A27" s="8" t="s">
        <v>35</v>
      </c>
      <c r="B27" s="8">
        <f>SUM(B24:B26)</f>
        <v>40</v>
      </c>
    </row>
    <row r="29" spans="1:4" x14ac:dyDescent="0.35">
      <c r="A29" t="s">
        <v>12</v>
      </c>
      <c r="B29">
        <v>10</v>
      </c>
      <c r="C29">
        <v>5</v>
      </c>
    </row>
    <row r="30" spans="1:4" x14ac:dyDescent="0.35">
      <c r="A30" t="s">
        <v>10</v>
      </c>
      <c r="B30">
        <v>6</v>
      </c>
      <c r="C30">
        <v>6</v>
      </c>
    </row>
    <row r="31" spans="1:4" x14ac:dyDescent="0.35">
      <c r="A31" t="s">
        <v>15</v>
      </c>
      <c r="B31">
        <v>3</v>
      </c>
      <c r="C31">
        <v>7</v>
      </c>
    </row>
    <row r="32" spans="1:4" x14ac:dyDescent="0.35">
      <c r="A32" t="s">
        <v>10</v>
      </c>
      <c r="B32">
        <v>6</v>
      </c>
      <c r="C32">
        <v>8</v>
      </c>
    </row>
    <row r="33" spans="1:4" x14ac:dyDescent="0.35">
      <c r="A33" t="s">
        <v>13</v>
      </c>
      <c r="B33">
        <f>B29+B30-B31+B32</f>
        <v>19</v>
      </c>
      <c r="C33">
        <v>9</v>
      </c>
    </row>
    <row r="34" spans="1:4" x14ac:dyDescent="0.35">
      <c r="A34" s="8" t="s">
        <v>36</v>
      </c>
      <c r="B34" s="8">
        <f>(C31-C29)*B31</f>
        <v>6</v>
      </c>
      <c r="D34" s="8" t="s">
        <v>42</v>
      </c>
    </row>
    <row r="35" spans="1:4" x14ac:dyDescent="0.35">
      <c r="A35" s="8" t="s">
        <v>37</v>
      </c>
      <c r="B35" s="8"/>
      <c r="D35" s="8"/>
    </row>
    <row r="36" spans="1:4" x14ac:dyDescent="0.35">
      <c r="A36" s="8" t="s">
        <v>38</v>
      </c>
      <c r="B36" s="8">
        <f>(C33-C30)*(B33-B32-B30)</f>
        <v>21</v>
      </c>
      <c r="D36" s="8" t="s">
        <v>39</v>
      </c>
    </row>
    <row r="37" spans="1:4" x14ac:dyDescent="0.35">
      <c r="A37" s="8" t="s">
        <v>35</v>
      </c>
    </row>
    <row r="39" spans="1:4" x14ac:dyDescent="0.35">
      <c r="A39" t="s">
        <v>12</v>
      </c>
      <c r="B39">
        <v>10</v>
      </c>
      <c r="C39">
        <v>5</v>
      </c>
    </row>
    <row r="40" spans="1:4" x14ac:dyDescent="0.35">
      <c r="A40" t="s">
        <v>15</v>
      </c>
      <c r="B40">
        <v>10</v>
      </c>
      <c r="C40">
        <v>7</v>
      </c>
    </row>
    <row r="41" spans="1:4" x14ac:dyDescent="0.35">
      <c r="A41" t="s">
        <v>10</v>
      </c>
      <c r="B41">
        <v>6</v>
      </c>
      <c r="C41">
        <v>8</v>
      </c>
    </row>
    <row r="42" spans="1:4" x14ac:dyDescent="0.35">
      <c r="A42" t="s">
        <v>13</v>
      </c>
      <c r="B42">
        <v>6</v>
      </c>
      <c r="C42">
        <v>9</v>
      </c>
    </row>
    <row r="43" spans="1:4" x14ac:dyDescent="0.35">
      <c r="A43" s="8" t="s">
        <v>36</v>
      </c>
      <c r="B43" s="8">
        <f>(C40-C39)*B40</f>
        <v>20</v>
      </c>
      <c r="D43" s="8" t="s">
        <v>42</v>
      </c>
    </row>
    <row r="44" spans="1:4" x14ac:dyDescent="0.35">
      <c r="A44" s="8" t="s">
        <v>37</v>
      </c>
      <c r="B44" s="8">
        <f>(C42-C41)*B41</f>
        <v>6</v>
      </c>
      <c r="D44" s="8" t="s">
        <v>41</v>
      </c>
    </row>
    <row r="45" spans="1:4" x14ac:dyDescent="0.35">
      <c r="A45" s="8" t="s">
        <v>38</v>
      </c>
      <c r="B45" s="8">
        <f>(C42-C39)*(B42-B41)</f>
        <v>0</v>
      </c>
      <c r="D45" s="8" t="s">
        <v>39</v>
      </c>
    </row>
    <row r="46" spans="1:4" x14ac:dyDescent="0.35">
      <c r="A46" s="8" t="s">
        <v>35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2023</vt:lpstr>
      <vt:lpstr>2024</vt:lpstr>
      <vt:lpstr>2025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2025-07-24T17:59:40Z</dcterms:created>
  <dcterms:modified xsi:type="dcterms:W3CDTF">2025-08-03T20:08:37Z</dcterms:modified>
</cp:coreProperties>
</file>