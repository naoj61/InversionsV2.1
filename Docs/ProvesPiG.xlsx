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joanp\Documents\"/>
    </mc:Choice>
  </mc:AlternateContent>
  <xr:revisionPtr revIDLastSave="0" documentId="13_ncr:1_{DB489BF8-C5EB-4FA2-B1B0-889A482AFD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H25" i="1"/>
  <c r="H24" i="1"/>
  <c r="P14" i="1"/>
  <c r="N13" i="1"/>
  <c r="N12" i="1"/>
  <c r="C27" i="1"/>
  <c r="K2" i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l="1"/>
  <c r="K15" i="1" s="1"/>
  <c r="K16" i="1" l="1"/>
  <c r="K17" i="1" s="1"/>
  <c r="G24" i="1" s="1"/>
  <c r="M12" i="1"/>
  <c r="P12" i="1" s="1"/>
  <c r="G25" i="1" l="1"/>
  <c r="I25" i="1" s="1"/>
  <c r="I24" i="1"/>
  <c r="L23" i="1" s="1"/>
  <c r="L24" i="1" s="1"/>
  <c r="K18" i="1"/>
  <c r="K19" i="1" s="1"/>
  <c r="K20" i="1" s="1"/>
  <c r="O12" i="1"/>
  <c r="M13" i="1"/>
  <c r="K23" i="1" l="1"/>
  <c r="L25" i="1" s="1"/>
  <c r="O14" i="1"/>
  <c r="N14" i="1" s="1"/>
  <c r="Q12" i="1"/>
  <c r="O13" i="1"/>
  <c r="P13" i="1"/>
  <c r="P15" i="1" s="1"/>
  <c r="Q13" i="1" l="1"/>
  <c r="Q14" i="1" s="1"/>
  <c r="O17" i="1" s="1"/>
  <c r="O19" i="1" s="1"/>
</calcChain>
</file>

<file path=xl/sharedStrings.xml><?xml version="1.0" encoding="utf-8"?>
<sst xmlns="http://schemas.openxmlformats.org/spreadsheetml/2006/main" count="33" uniqueCount="14">
  <si>
    <t>Compra</t>
  </si>
  <si>
    <t>Venda</t>
  </si>
  <si>
    <t>ContraSplit</t>
  </si>
  <si>
    <t>Part</t>
  </si>
  <si>
    <t>PU</t>
  </si>
  <si>
    <t>Imp. Brut</t>
  </si>
  <si>
    <t>Imp. Net</t>
  </si>
  <si>
    <t>Pig</t>
  </si>
  <si>
    <t>??????</t>
  </si>
  <si>
    <t>Desp</t>
  </si>
  <si>
    <t>Hisenda</t>
  </si>
  <si>
    <t>Id compra</t>
  </si>
  <si>
    <t>Venda---&gt;</t>
  </si>
  <si>
    <t>PU 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</si>
</sst>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0\ &quot;€&quot;;[Red]\-#,##0.000\ &quot;€&quot;"/>
  </numFmts>
  <fonts count="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8" fontId="0" fillId="0" borderId="0" xfId="0" applyNumberFormat="1"/>
    <xf numFmtId="4" fontId="0" fillId="0" borderId="0" xfId="0" applyNumberFormat="1"/>
    <xf numFmtId="0" fontId="2" fillId="0" borderId="0" xfId="0" applyFont="1" applyAlignment="1">
      <alignment horizontal="center"/>
    </xf>
    <xf numFmtId="3" fontId="0" fillId="0" borderId="0" xfId="0" applyNumberFormat="1"/>
    <xf numFmtId="0" fontId="1" fillId="2" borderId="0" xfId="1"/>
    <xf numFmtId="14" fontId="1" fillId="2" borderId="0" xfId="1" applyNumberFormat="1"/>
    <xf numFmtId="4" fontId="1" fillId="2" borderId="0" xfId="1" applyNumberFormat="1"/>
    <xf numFmtId="8" fontId="1" fillId="2" borderId="0" xfId="1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8" fontId="0" fillId="0" borderId="0" xfId="0" applyNumberFormat="1" applyAlignment="1">
      <alignment wrapText="1"/>
    </xf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8" fontId="0" fillId="0" borderId="2" xfId="0" applyNumberFormat="1" applyBorder="1"/>
    <xf numFmtId="3" fontId="0" fillId="0" borderId="3" xfId="0" applyNumberFormat="1" applyBorder="1"/>
    <xf numFmtId="0" fontId="0" fillId="0" borderId="4" xfId="0" applyBorder="1"/>
    <xf numFmtId="14" fontId="0" fillId="0" borderId="0" xfId="0" applyNumberFormat="1" applyBorder="1"/>
    <xf numFmtId="8" fontId="0" fillId="0" borderId="0" xfId="0" applyNumberFormat="1" applyBorder="1"/>
    <xf numFmtId="0" fontId="0" fillId="0" borderId="0" xfId="0" applyBorder="1"/>
    <xf numFmtId="3" fontId="0" fillId="0" borderId="5" xfId="0" applyNumberFormat="1" applyBorder="1"/>
    <xf numFmtId="0" fontId="0" fillId="0" borderId="6" xfId="0" applyBorder="1"/>
    <xf numFmtId="14" fontId="0" fillId="0" borderId="7" xfId="0" applyNumberFormat="1" applyBorder="1"/>
    <xf numFmtId="8" fontId="0" fillId="0" borderId="7" xfId="0" applyNumberFormat="1" applyBorder="1"/>
    <xf numFmtId="0" fontId="0" fillId="0" borderId="7" xfId="0" applyBorder="1"/>
    <xf numFmtId="3" fontId="0" fillId="0" borderId="8" xfId="0" applyNumberFormat="1" applyBorder="1"/>
    <xf numFmtId="8" fontId="0" fillId="0" borderId="2" xfId="0" applyNumberFormat="1" applyBorder="1" applyAlignment="1">
      <alignment wrapText="1"/>
    </xf>
    <xf numFmtId="8" fontId="0" fillId="0" borderId="0" xfId="0" applyNumberFormat="1" applyBorder="1" applyAlignment="1">
      <alignment wrapText="1"/>
    </xf>
    <xf numFmtId="8" fontId="0" fillId="0" borderId="7" xfId="0" applyNumberFormat="1" applyBorder="1" applyAlignment="1">
      <alignment wrapText="1"/>
    </xf>
    <xf numFmtId="3" fontId="0" fillId="0" borderId="0" xfId="0" applyNumberFormat="1" applyBorder="1"/>
    <xf numFmtId="3" fontId="0" fillId="0" borderId="7" xfId="0" applyNumberFormat="1" applyBorder="1"/>
    <xf numFmtId="3" fontId="0" fillId="0" borderId="0" xfId="0" applyNumberFormat="1" applyAlignment="1">
      <alignment wrapText="1"/>
    </xf>
    <xf numFmtId="164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tabSelected="1" workbookViewId="0">
      <pane ySplit="1" topLeftCell="A2" activePane="bottomLeft" state="frozen"/>
      <selection pane="bottomLeft" activeCell="L25" sqref="L25"/>
    </sheetView>
  </sheetViews>
  <sheetFormatPr defaultRowHeight="14.5" x14ac:dyDescent="0.35"/>
  <cols>
    <col min="1" max="1" width="6.453125" customWidth="1"/>
    <col min="2" max="2" width="15.54296875" customWidth="1"/>
    <col min="3" max="3" width="11.26953125" customWidth="1"/>
    <col min="6" max="7" width="11.453125" customWidth="1"/>
    <col min="8" max="9" width="11.81640625" customWidth="1"/>
    <col min="10" max="10" width="4" customWidth="1"/>
    <col min="11" max="11" width="8.54296875" customWidth="1"/>
    <col min="13" max="13" width="10.26953125" bestFit="1" customWidth="1"/>
    <col min="15" max="15" width="10.26953125" bestFit="1" customWidth="1"/>
    <col min="17" max="17" width="10.26953125" bestFit="1" customWidth="1"/>
  </cols>
  <sheetData>
    <row r="1" spans="1:17" x14ac:dyDescent="0.35">
      <c r="B1" s="4"/>
      <c r="C1" s="4"/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17" x14ac:dyDescent="0.35">
      <c r="A2" s="10">
        <v>79</v>
      </c>
      <c r="B2" t="s">
        <v>0</v>
      </c>
      <c r="C2" s="1">
        <v>41711</v>
      </c>
      <c r="D2">
        <v>925</v>
      </c>
      <c r="E2" s="2">
        <v>10.824999999999999</v>
      </c>
      <c r="F2" s="2">
        <v>10013.129999999999</v>
      </c>
      <c r="G2" s="2">
        <v>10028.19</v>
      </c>
      <c r="K2" s="5">
        <f t="shared" ref="K2:K20" si="0">IF(B2="Compra",K1+D2,K1-D2)</f>
        <v>925</v>
      </c>
    </row>
    <row r="3" spans="1:17" x14ac:dyDescent="0.35">
      <c r="A3" s="10">
        <v>80</v>
      </c>
      <c r="B3" t="s">
        <v>1</v>
      </c>
      <c r="C3" s="1">
        <v>41717</v>
      </c>
      <c r="D3">
        <v>925</v>
      </c>
      <c r="E3" s="2">
        <v>11.05</v>
      </c>
      <c r="F3" s="2">
        <v>10221.25</v>
      </c>
      <c r="G3" s="2">
        <v>10195.93</v>
      </c>
      <c r="H3" s="2">
        <v>0</v>
      </c>
      <c r="I3" s="2"/>
      <c r="K3" s="5">
        <f t="shared" si="0"/>
        <v>0</v>
      </c>
    </row>
    <row r="4" spans="1:17" x14ac:dyDescent="0.35">
      <c r="A4" s="10">
        <v>81</v>
      </c>
      <c r="B4" t="s">
        <v>0</v>
      </c>
      <c r="C4" s="1">
        <v>41830</v>
      </c>
      <c r="D4">
        <v>929</v>
      </c>
      <c r="E4" s="2">
        <v>10.74</v>
      </c>
      <c r="F4" s="2">
        <v>9977.4599999999991</v>
      </c>
      <c r="G4" s="2">
        <v>9992.52</v>
      </c>
      <c r="K4" s="5">
        <f t="shared" si="0"/>
        <v>929</v>
      </c>
    </row>
    <row r="5" spans="1:17" x14ac:dyDescent="0.35">
      <c r="A5" s="10">
        <v>82</v>
      </c>
      <c r="B5" t="s">
        <v>1</v>
      </c>
      <c r="C5" s="1">
        <v>41877</v>
      </c>
      <c r="D5">
        <v>929</v>
      </c>
      <c r="E5" s="2">
        <v>10.98</v>
      </c>
      <c r="F5" s="2">
        <v>10200.42</v>
      </c>
      <c r="G5" s="2">
        <v>10185.33</v>
      </c>
      <c r="H5" s="2">
        <v>0</v>
      </c>
      <c r="I5" s="2"/>
      <c r="K5" s="5">
        <f t="shared" si="0"/>
        <v>0</v>
      </c>
    </row>
    <row r="6" spans="1:17" x14ac:dyDescent="0.35">
      <c r="A6" s="10">
        <v>83</v>
      </c>
      <c r="B6" t="s">
        <v>0</v>
      </c>
      <c r="C6" s="1">
        <v>41984</v>
      </c>
      <c r="D6" s="3">
        <v>5386</v>
      </c>
      <c r="E6" s="2">
        <v>9.2676999999999996</v>
      </c>
      <c r="F6" s="2">
        <v>49916.04</v>
      </c>
      <c r="G6" s="2">
        <v>49936.18</v>
      </c>
      <c r="K6" s="5">
        <f t="shared" si="0"/>
        <v>5386</v>
      </c>
    </row>
    <row r="7" spans="1:17" x14ac:dyDescent="0.35">
      <c r="A7" s="10">
        <v>84</v>
      </c>
      <c r="B7" t="s">
        <v>1</v>
      </c>
      <c r="C7" s="1">
        <v>42047</v>
      </c>
      <c r="D7" s="3">
        <v>5386</v>
      </c>
      <c r="E7" s="2">
        <v>9.0449999999999999</v>
      </c>
      <c r="F7" s="2">
        <v>48716.37</v>
      </c>
      <c r="G7" s="2">
        <v>48696.34</v>
      </c>
      <c r="H7" s="2">
        <v>0</v>
      </c>
      <c r="I7" s="2"/>
      <c r="K7" s="5">
        <f t="shared" si="0"/>
        <v>0</v>
      </c>
    </row>
    <row r="8" spans="1:17" x14ac:dyDescent="0.35">
      <c r="A8" s="10">
        <v>94</v>
      </c>
      <c r="B8" t="s">
        <v>0</v>
      </c>
      <c r="C8" s="1">
        <v>42212</v>
      </c>
      <c r="D8" s="3">
        <v>6415</v>
      </c>
      <c r="E8" s="2">
        <v>7.7939999999999996</v>
      </c>
      <c r="F8" s="2">
        <v>49998.51</v>
      </c>
      <c r="G8" s="2">
        <v>50018.66</v>
      </c>
      <c r="K8" s="5">
        <f t="shared" si="0"/>
        <v>6415</v>
      </c>
    </row>
    <row r="9" spans="1:17" x14ac:dyDescent="0.35">
      <c r="A9" s="10">
        <v>97</v>
      </c>
      <c r="B9" t="s">
        <v>1</v>
      </c>
      <c r="C9" s="1">
        <v>42214</v>
      </c>
      <c r="D9" s="3">
        <v>6415</v>
      </c>
      <c r="E9" s="2">
        <v>8.19</v>
      </c>
      <c r="F9" s="2">
        <v>52538.85</v>
      </c>
      <c r="G9" s="2">
        <v>52518.45</v>
      </c>
      <c r="H9" s="2">
        <v>0</v>
      </c>
      <c r="I9" s="2"/>
      <c r="K9" s="5">
        <f t="shared" si="0"/>
        <v>0</v>
      </c>
    </row>
    <row r="10" spans="1:17" x14ac:dyDescent="0.35">
      <c r="B10" s="6" t="s">
        <v>0</v>
      </c>
      <c r="C10" s="7" t="s">
        <v>8</v>
      </c>
      <c r="D10" s="8">
        <v>1581</v>
      </c>
      <c r="E10" s="9">
        <v>7.7939999999999996</v>
      </c>
      <c r="F10" s="9">
        <v>49998.51</v>
      </c>
      <c r="G10" s="9">
        <v>50018.66</v>
      </c>
      <c r="H10" s="6"/>
      <c r="I10" s="6"/>
      <c r="J10" s="6"/>
      <c r="K10" s="5">
        <f t="shared" si="0"/>
        <v>1581</v>
      </c>
    </row>
    <row r="11" spans="1:17" x14ac:dyDescent="0.35">
      <c r="A11" s="10">
        <v>138</v>
      </c>
      <c r="B11" t="s">
        <v>2</v>
      </c>
      <c r="C11" s="1">
        <v>42822</v>
      </c>
      <c r="D11" s="3">
        <v>1581</v>
      </c>
      <c r="E11" s="2">
        <v>7.5910000000000002</v>
      </c>
      <c r="F11" s="2">
        <v>12001.37</v>
      </c>
      <c r="G11" s="2">
        <v>12001.37</v>
      </c>
      <c r="K11" s="5">
        <f t="shared" si="0"/>
        <v>0</v>
      </c>
      <c r="O11" s="2"/>
    </row>
    <row r="12" spans="1:17" x14ac:dyDescent="0.35">
      <c r="A12" s="10">
        <v>151</v>
      </c>
      <c r="B12" t="s">
        <v>0</v>
      </c>
      <c r="C12" s="1">
        <v>42822</v>
      </c>
      <c r="D12">
        <v>527</v>
      </c>
      <c r="E12" s="2">
        <v>22.773</v>
      </c>
      <c r="F12" s="2">
        <v>12001.37</v>
      </c>
      <c r="G12" s="2">
        <v>12016.52</v>
      </c>
      <c r="K12" s="5">
        <f t="shared" si="0"/>
        <v>527</v>
      </c>
      <c r="M12" s="5">
        <f>K15</f>
        <v>952</v>
      </c>
      <c r="N12" s="2">
        <f>E14</f>
        <v>24.388000000000002</v>
      </c>
      <c r="O12" s="2">
        <f>M12*N12</f>
        <v>23217.376</v>
      </c>
      <c r="P12" s="2">
        <f>I14/D14*M12</f>
        <v>16.963450000000002</v>
      </c>
      <c r="Q12" s="2">
        <f>+O12+P12</f>
        <v>23234.339449999999</v>
      </c>
    </row>
    <row r="13" spans="1:17" x14ac:dyDescent="0.35">
      <c r="A13" s="10">
        <v>165</v>
      </c>
      <c r="B13" t="s">
        <v>1</v>
      </c>
      <c r="C13" s="1">
        <v>43236</v>
      </c>
      <c r="D13">
        <v>527</v>
      </c>
      <c r="E13" s="2">
        <v>30.416</v>
      </c>
      <c r="F13" s="2">
        <v>16029.25</v>
      </c>
      <c r="G13" s="2">
        <v>16001.8</v>
      </c>
      <c r="H13" s="2">
        <v>0</v>
      </c>
      <c r="I13" s="2"/>
      <c r="K13" s="5">
        <f t="shared" si="0"/>
        <v>0</v>
      </c>
      <c r="M13" s="5">
        <f>D17-M12</f>
        <v>300</v>
      </c>
      <c r="N13" s="2">
        <f>E16</f>
        <v>18.027999999999999</v>
      </c>
      <c r="O13" s="2">
        <f>M13*N13</f>
        <v>5408.4</v>
      </c>
      <c r="P13" s="2">
        <f>I16/D16*M13</f>
        <v>4.3114285714285714</v>
      </c>
      <c r="Q13" s="2">
        <f>+O13+P13</f>
        <v>5412.7114285714279</v>
      </c>
    </row>
    <row r="14" spans="1:17" x14ac:dyDescent="0.35">
      <c r="A14" s="10">
        <v>166</v>
      </c>
      <c r="B14" t="s">
        <v>0</v>
      </c>
      <c r="C14" s="1">
        <v>43389</v>
      </c>
      <c r="D14" s="3">
        <v>1600</v>
      </c>
      <c r="E14" s="2">
        <v>24.388000000000002</v>
      </c>
      <c r="F14" s="2">
        <v>39020.800000000003</v>
      </c>
      <c r="G14" s="2">
        <v>39049.31</v>
      </c>
      <c r="I14" s="13">
        <v>28.51</v>
      </c>
      <c r="K14" s="5">
        <f t="shared" si="0"/>
        <v>1600</v>
      </c>
      <c r="N14" s="2">
        <f>O14/D17</f>
        <v>22.864038338658144</v>
      </c>
      <c r="O14" s="2">
        <f>SUM(O12:O13)</f>
        <v>28625.775999999998</v>
      </c>
      <c r="P14" s="2">
        <f>I17</f>
        <v>10.06</v>
      </c>
      <c r="Q14" s="2">
        <f>SUM(Q12:Q13)</f>
        <v>28647.050878571426</v>
      </c>
    </row>
    <row r="15" spans="1:17" ht="15" thickBot="1" x14ac:dyDescent="0.4">
      <c r="A15" s="10">
        <v>169</v>
      </c>
      <c r="B15" t="s">
        <v>1</v>
      </c>
      <c r="C15" s="1">
        <v>43458</v>
      </c>
      <c r="D15">
        <v>648</v>
      </c>
      <c r="E15" s="2">
        <v>18.260000000000002</v>
      </c>
      <c r="F15" s="2">
        <v>11832.48</v>
      </c>
      <c r="G15" s="2">
        <v>11822.42</v>
      </c>
      <c r="H15" s="2">
        <v>-5862.37</v>
      </c>
      <c r="I15" s="13">
        <v>10.06</v>
      </c>
      <c r="K15" s="5">
        <f t="shared" si="0"/>
        <v>952</v>
      </c>
      <c r="P15" s="2">
        <f>SUM(P12:P14)</f>
        <v>31.334878571428575</v>
      </c>
      <c r="Q15" s="2"/>
    </row>
    <row r="16" spans="1:17" x14ac:dyDescent="0.35">
      <c r="A16" s="10">
        <v>174</v>
      </c>
      <c r="B16" s="14" t="s">
        <v>0</v>
      </c>
      <c r="C16" s="15">
        <v>43550</v>
      </c>
      <c r="D16" s="16">
        <v>700</v>
      </c>
      <c r="E16" s="17">
        <v>18.027999999999999</v>
      </c>
      <c r="F16" s="17">
        <v>12619.6</v>
      </c>
      <c r="G16" s="17">
        <v>12629.66</v>
      </c>
      <c r="H16" s="16"/>
      <c r="I16" s="29">
        <v>10.06</v>
      </c>
      <c r="J16" s="16"/>
      <c r="K16" s="18">
        <f t="shared" si="0"/>
        <v>1652</v>
      </c>
      <c r="M16" s="2"/>
      <c r="N16" s="3"/>
      <c r="P16" s="2"/>
    </row>
    <row r="17" spans="1:16" x14ac:dyDescent="0.35">
      <c r="A17" s="10">
        <v>177</v>
      </c>
      <c r="B17" s="19" t="s">
        <v>1</v>
      </c>
      <c r="C17" s="20">
        <v>43797</v>
      </c>
      <c r="D17" s="32">
        <v>1252</v>
      </c>
      <c r="E17" s="21">
        <v>15.624000000000001</v>
      </c>
      <c r="F17" s="21">
        <v>19561.25</v>
      </c>
      <c r="G17" s="21">
        <v>19551.189999999999</v>
      </c>
      <c r="H17" s="21">
        <v>-971.66</v>
      </c>
      <c r="I17" s="30">
        <v>10.06</v>
      </c>
      <c r="J17" s="22"/>
      <c r="K17" s="23">
        <f t="shared" si="0"/>
        <v>400</v>
      </c>
      <c r="M17" s="2"/>
      <c r="O17" s="2">
        <f>G17-Q14</f>
        <v>-9095.8608785714277</v>
      </c>
    </row>
    <row r="18" spans="1:16" ht="15" thickBot="1" x14ac:dyDescent="0.4">
      <c r="A18" s="10">
        <v>178</v>
      </c>
      <c r="B18" s="24" t="s">
        <v>0</v>
      </c>
      <c r="C18" s="25">
        <v>43802</v>
      </c>
      <c r="D18" s="33">
        <v>1252</v>
      </c>
      <c r="E18" s="26">
        <v>15.3162</v>
      </c>
      <c r="F18" s="26">
        <v>19175.86</v>
      </c>
      <c r="G18" s="26">
        <v>19201.150000000001</v>
      </c>
      <c r="H18" s="27"/>
      <c r="I18" s="31">
        <v>25.29</v>
      </c>
      <c r="J18" s="27"/>
      <c r="K18" s="28">
        <f t="shared" si="0"/>
        <v>1652</v>
      </c>
      <c r="O18">
        <v>9099.98</v>
      </c>
      <c r="P18" t="s">
        <v>10</v>
      </c>
    </row>
    <row r="19" spans="1:16" x14ac:dyDescent="0.35">
      <c r="A19" s="10">
        <v>179</v>
      </c>
      <c r="B19" s="10" t="s">
        <v>1</v>
      </c>
      <c r="C19" s="11">
        <v>43872</v>
      </c>
      <c r="D19" s="34">
        <v>1252</v>
      </c>
      <c r="E19" s="13">
        <v>16.611999999999998</v>
      </c>
      <c r="F19" s="13">
        <v>20798.22</v>
      </c>
      <c r="G19" s="13">
        <v>20781.68</v>
      </c>
      <c r="H19" s="10"/>
      <c r="I19" s="13">
        <v>16.54</v>
      </c>
      <c r="J19" s="13"/>
      <c r="K19" s="5">
        <f t="shared" si="0"/>
        <v>400</v>
      </c>
      <c r="O19" s="2">
        <f>+O18+O17</f>
        <v>4.1191214285718161</v>
      </c>
    </row>
    <row r="20" spans="1:16" x14ac:dyDescent="0.35">
      <c r="A20" s="10">
        <v>182</v>
      </c>
      <c r="B20" s="10" t="s">
        <v>0</v>
      </c>
      <c r="C20" s="11">
        <v>43893</v>
      </c>
      <c r="D20" s="34">
        <v>1500</v>
      </c>
      <c r="E20" s="13">
        <v>13.281000000000001</v>
      </c>
      <c r="F20" s="13">
        <v>19921.46</v>
      </c>
      <c r="G20" s="13">
        <v>19949.75</v>
      </c>
      <c r="H20" s="10"/>
      <c r="I20" s="13">
        <v>28.29</v>
      </c>
      <c r="J20" s="13"/>
      <c r="K20" s="5">
        <f t="shared" si="0"/>
        <v>1900</v>
      </c>
    </row>
    <row r="21" spans="1:16" x14ac:dyDescent="0.35">
      <c r="B21" s="10"/>
      <c r="C21" s="11"/>
      <c r="D21" s="12"/>
      <c r="E21" s="13"/>
      <c r="F21" s="13"/>
      <c r="G21" s="13"/>
      <c r="H21" s="10"/>
      <c r="J21" s="13"/>
    </row>
    <row r="22" spans="1:16" x14ac:dyDescent="0.35">
      <c r="B22" s="10"/>
      <c r="C22" s="11"/>
      <c r="D22" s="12"/>
      <c r="E22" s="13"/>
      <c r="F22" s="13" t="s">
        <v>11</v>
      </c>
      <c r="G22" s="13" t="s">
        <v>3</v>
      </c>
      <c r="H22" s="10" t="s">
        <v>4</v>
      </c>
      <c r="I22" s="10" t="s">
        <v>9</v>
      </c>
      <c r="J22" s="13"/>
      <c r="K22" s="13" t="s">
        <v>13</v>
      </c>
    </row>
    <row r="23" spans="1:16" x14ac:dyDescent="0.35">
      <c r="B23" s="1">
        <v>43100</v>
      </c>
      <c r="C23" s="5">
        <v>527</v>
      </c>
      <c r="F23" t="s">
        <v>12</v>
      </c>
      <c r="G23" s="34">
        <v>1452</v>
      </c>
      <c r="H23">
        <v>9</v>
      </c>
      <c r="I23" s="13">
        <v>25</v>
      </c>
      <c r="K23" s="35">
        <f>(G24*H24+G25*H25)/G23</f>
        <v>16.063252341597796</v>
      </c>
      <c r="L23" s="2">
        <f>I24+I25</f>
        <v>26.998635326335005</v>
      </c>
    </row>
    <row r="24" spans="1:16" x14ac:dyDescent="0.35">
      <c r="B24" s="1">
        <v>43465</v>
      </c>
      <c r="C24" s="5">
        <v>952</v>
      </c>
      <c r="F24">
        <f>A16</f>
        <v>174</v>
      </c>
      <c r="G24" s="34">
        <f>K17</f>
        <v>400</v>
      </c>
      <c r="H24" s="2">
        <f>E16</f>
        <v>18.027999999999999</v>
      </c>
      <c r="I24" s="2">
        <f>I16/D16*G24</f>
        <v>5.7485714285714282</v>
      </c>
      <c r="L24">
        <f>+L23/G23</f>
        <v>1.8594101464418047E-2</v>
      </c>
    </row>
    <row r="25" spans="1:16" x14ac:dyDescent="0.35">
      <c r="B25" s="1">
        <v>43830</v>
      </c>
      <c r="C25" s="5">
        <v>1652</v>
      </c>
      <c r="F25">
        <f>A18</f>
        <v>178</v>
      </c>
      <c r="G25" s="34">
        <f>+G23-G24</f>
        <v>1052</v>
      </c>
      <c r="H25" s="2">
        <f>E18</f>
        <v>15.3162</v>
      </c>
      <c r="I25" s="2">
        <f>I18/D18*G25</f>
        <v>21.250063897763578</v>
      </c>
      <c r="L25" s="35">
        <f>+K23+L24</f>
        <v>16.081846443062215</v>
      </c>
    </row>
    <row r="27" spans="1:16" x14ac:dyDescent="0.35">
      <c r="C27" s="5">
        <f>1900-C25</f>
        <v>248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2020-06-01T16:49:28Z</dcterms:created>
  <dcterms:modified xsi:type="dcterms:W3CDTF">2021-10-04T03:52:34Z</dcterms:modified>
</cp:coreProperties>
</file>