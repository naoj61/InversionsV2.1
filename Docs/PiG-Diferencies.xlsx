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Meus\InversionsV2\Docs\"/>
    </mc:Choice>
  </mc:AlternateContent>
  <xr:revisionPtr revIDLastSave="0" documentId="13_ncr:1_{000B5C40-E48F-4175-83DF-6D7987959DDB}" xr6:coauthVersionLast="47" xr6:coauthVersionMax="47" xr10:uidLastSave="{00000000-0000-0000-0000-000000000000}"/>
  <bookViews>
    <workbookView xWindow="-110" yWindow="-110" windowWidth="19420" windowHeight="10420" xr2:uid="{DB080CE3-EDFB-4E71-A571-8F8F0CA1C4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K7" i="1"/>
  <c r="O6" i="1"/>
  <c r="N7" i="1"/>
  <c r="O7" i="1"/>
  <c r="O8" i="1"/>
  <c r="O3" i="1"/>
  <c r="J6" i="1"/>
  <c r="I7" i="1"/>
  <c r="J7" i="1"/>
  <c r="J8" i="1"/>
  <c r="F8" i="1"/>
  <c r="N8" i="1" s="1"/>
  <c r="G5" i="1"/>
  <c r="O5" i="1" s="1"/>
  <c r="G4" i="1"/>
  <c r="O4" i="1" s="1"/>
  <c r="F6" i="1"/>
  <c r="N6" i="1" s="1"/>
  <c r="F5" i="1"/>
  <c r="N5" i="1" s="1"/>
  <c r="F4" i="1"/>
  <c r="N4" i="1" s="1"/>
  <c r="F3" i="1"/>
  <c r="N3" i="1" s="1"/>
  <c r="L7" i="1"/>
  <c r="C9" i="1"/>
  <c r="B9" i="1"/>
  <c r="K4" i="1"/>
  <c r="L4" i="1"/>
  <c r="K5" i="1"/>
  <c r="L5" i="1"/>
  <c r="K6" i="1"/>
  <c r="L6" i="1"/>
  <c r="K8" i="1"/>
  <c r="L8" i="1"/>
  <c r="L3" i="1"/>
  <c r="K3" i="1"/>
  <c r="J3" i="1"/>
  <c r="I5" i="1" l="1"/>
  <c r="I3" i="1"/>
  <c r="I6" i="1"/>
  <c r="J4" i="1"/>
  <c r="J5" i="1"/>
  <c r="I8" i="1"/>
  <c r="I4" i="1"/>
  <c r="O9" i="1"/>
  <c r="N9" i="1"/>
  <c r="K9" i="1"/>
  <c r="L9" i="1"/>
  <c r="J9" i="1" l="1"/>
  <c r="I9" i="1"/>
</calcChain>
</file>

<file path=xl/sharedStrings.xml><?xml version="1.0" encoding="utf-8"?>
<sst xmlns="http://schemas.openxmlformats.org/spreadsheetml/2006/main" count="32" uniqueCount="16">
  <si>
    <t>Pig</t>
  </si>
  <si>
    <t>PiG Orig</t>
  </si>
  <si>
    <t>Deutschland</t>
  </si>
  <si>
    <t>DWS Aktien Strategie Deutschland</t>
  </si>
  <si>
    <t>NB Capital Plus FI</t>
  </si>
  <si>
    <t>Global Technology A-Acc-EUR</t>
  </si>
  <si>
    <t>Aberdeen Standard Liquidity Fund Euro Fund A-2 Ac</t>
  </si>
  <si>
    <t>CS Corto Plazo B FI</t>
  </si>
  <si>
    <t>piGXXX</t>
  </si>
  <si>
    <t>App</t>
  </si>
  <si>
    <t>WEB</t>
  </si>
  <si>
    <t>Dif piGXXX / APP</t>
  </si>
  <si>
    <t>Dif piGXXX / WEB</t>
  </si>
  <si>
    <t>Dif App / WEB</t>
  </si>
  <si>
    <t>Cost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</si>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</sst>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8" fontId="0" fillId="0" borderId="0" xfId="0" applyNumberFormat="1"/>
    <xf numFmtId="0" fontId="1" fillId="0" borderId="0" xfId="0" applyFont="1"/>
    <xf numFmtId="8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8" fontId="0" fillId="0" borderId="1" xfId="0" applyNumberFormat="1" applyBorder="1"/>
    <xf numFmtId="8" fontId="0" fillId="0" borderId="2" xfId="0" applyNumberFormat="1" applyBorder="1"/>
    <xf numFmtId="8" fontId="0" fillId="0" borderId="3" xfId="0" applyNumberFormat="1" applyBorder="1"/>
    <xf numFmtId="8" fontId="0" fillId="0" borderId="4" xfId="0" applyNumberForma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8" fontId="0" fillId="0" borderId="0" xfId="0" applyNumberFormat="1" applyBorder="1"/>
    <xf numFmtId="8" fontId="0" fillId="0" borderId="7" xfId="0" applyNumberForma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8" fontId="0" fillId="2" borderId="1" xfId="0" applyNumberFormat="1" applyFill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DB48-9293-485D-A1B8-B9B13AC8868F}">
  <dimension ref="A1:O22"/>
  <sheetViews>
    <sheetView tabSelected="1" zoomScale="145" zoomScaleNormal="14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C10" sqref="C10"/>
    </sheetView>
  </sheetViews>
  <sheetFormatPr defaultRowHeight="14.5" x14ac:dyDescent="0.35"/>
  <cols>
    <col min="1" max="1" width="5.6328125" customWidth="1"/>
    <col min="2" max="2" width="10.26953125" bestFit="1" customWidth="1"/>
    <col min="3" max="3" width="11.26953125" bestFit="1" customWidth="1"/>
    <col min="4" max="7" width="10.26953125" bestFit="1" customWidth="1"/>
    <col min="8" max="8" width="1.26953125" customWidth="1"/>
    <col min="11" max="11" width="7.81640625" bestFit="1" customWidth="1"/>
    <col min="12" max="12" width="8.36328125" bestFit="1" customWidth="1"/>
    <col min="13" max="13" width="0.54296875" customWidth="1"/>
    <col min="14" max="15" width="10.36328125" bestFit="1" customWidth="1"/>
  </cols>
  <sheetData>
    <row r="1" spans="1:15" ht="15" thickBot="1" x14ac:dyDescent="0.4">
      <c r="B1" s="10" t="s">
        <v>10</v>
      </c>
      <c r="C1" s="11"/>
      <c r="D1" s="10" t="s">
        <v>8</v>
      </c>
      <c r="E1" s="11"/>
      <c r="F1" s="10" t="s">
        <v>9</v>
      </c>
      <c r="G1" s="11"/>
      <c r="H1" s="2"/>
      <c r="I1" s="10" t="s">
        <v>11</v>
      </c>
      <c r="J1" s="15"/>
      <c r="K1" s="10" t="s">
        <v>12</v>
      </c>
      <c r="L1" s="11"/>
      <c r="M1" s="16"/>
      <c r="N1" s="15" t="s">
        <v>13</v>
      </c>
      <c r="O1" s="11"/>
    </row>
    <row r="2" spans="1:15" x14ac:dyDescent="0.35">
      <c r="B2" s="4" t="s">
        <v>0</v>
      </c>
      <c r="C2" s="5" t="s">
        <v>1</v>
      </c>
      <c r="D2" s="4" t="s">
        <v>0</v>
      </c>
      <c r="E2" s="5" t="s">
        <v>1</v>
      </c>
      <c r="F2" s="4" t="s">
        <v>0</v>
      </c>
      <c r="G2" s="5" t="s">
        <v>1</v>
      </c>
      <c r="I2" s="4" t="s">
        <v>0</v>
      </c>
      <c r="J2" s="12" t="s">
        <v>1</v>
      </c>
      <c r="K2" s="4" t="s">
        <v>0</v>
      </c>
      <c r="L2" s="5" t="s">
        <v>1</v>
      </c>
      <c r="M2" s="12"/>
      <c r="N2" s="12" t="s">
        <v>0</v>
      </c>
      <c r="O2" s="5" t="s">
        <v>1</v>
      </c>
    </row>
    <row r="3" spans="1:15" x14ac:dyDescent="0.35">
      <c r="A3" t="s">
        <v>4</v>
      </c>
      <c r="B3" s="6">
        <v>-16.420000000000002</v>
      </c>
      <c r="C3" s="7">
        <v>3151.18</v>
      </c>
      <c r="D3" s="6">
        <v>-16.46</v>
      </c>
      <c r="E3" s="7">
        <v>2454.4299999999998</v>
      </c>
      <c r="F3" s="6">
        <f>D3</f>
        <v>-16.46</v>
      </c>
      <c r="G3" s="7">
        <v>2454.4299999999998</v>
      </c>
      <c r="I3" s="6">
        <f>+D3-F3</f>
        <v>0</v>
      </c>
      <c r="J3" s="13">
        <f>+E3-G3</f>
        <v>0</v>
      </c>
      <c r="K3" s="6">
        <f>D3-B3</f>
        <v>-3.9999999999999147E-2</v>
      </c>
      <c r="L3" s="7">
        <f>E3-C3</f>
        <v>-696.75</v>
      </c>
      <c r="M3" s="13"/>
      <c r="N3" s="13">
        <f>F3-B3</f>
        <v>-3.9999999999999147E-2</v>
      </c>
      <c r="O3" s="7">
        <f>G3-C3</f>
        <v>-696.75</v>
      </c>
    </row>
    <row r="4" spans="1:15" x14ac:dyDescent="0.35">
      <c r="A4" t="s">
        <v>7</v>
      </c>
      <c r="B4" s="6">
        <v>-15.38</v>
      </c>
      <c r="C4" s="7">
        <v>1031.94</v>
      </c>
      <c r="D4" s="6">
        <v>-15.39</v>
      </c>
      <c r="E4" s="7">
        <v>1734.16</v>
      </c>
      <c r="F4" s="6">
        <f t="shared" ref="F4:F6" si="0">D4</f>
        <v>-15.39</v>
      </c>
      <c r="G4" s="7">
        <f t="shared" ref="G4:G5" si="1">E4</f>
        <v>1734.16</v>
      </c>
      <c r="I4" s="6">
        <f>+D4-F4</f>
        <v>0</v>
      </c>
      <c r="J4" s="13">
        <f>+E4-G4</f>
        <v>0</v>
      </c>
      <c r="K4" s="6">
        <f>D4-B4</f>
        <v>-9.9999999999997868E-3</v>
      </c>
      <c r="L4" s="7">
        <f>E4-C4</f>
        <v>702.22</v>
      </c>
      <c r="M4" s="13"/>
      <c r="N4" s="13">
        <f>F4-B4</f>
        <v>-9.9999999999997868E-3</v>
      </c>
      <c r="O4" s="7">
        <f>G4-C4</f>
        <v>702.22</v>
      </c>
    </row>
    <row r="5" spans="1:15" x14ac:dyDescent="0.35">
      <c r="A5" t="s">
        <v>2</v>
      </c>
      <c r="B5" s="6">
        <v>574.05999999999995</v>
      </c>
      <c r="C5" s="7">
        <v>638.97</v>
      </c>
      <c r="D5" s="6">
        <v>573.87</v>
      </c>
      <c r="E5" s="7">
        <v>638.96</v>
      </c>
      <c r="F5" s="6">
        <f t="shared" si="0"/>
        <v>573.87</v>
      </c>
      <c r="G5" s="7">
        <f t="shared" si="1"/>
        <v>638.96</v>
      </c>
      <c r="I5" s="6">
        <f>+D5-F5</f>
        <v>0</v>
      </c>
      <c r="J5" s="13">
        <f>+E5-G5</f>
        <v>0</v>
      </c>
      <c r="K5" s="6">
        <f>D5-B5</f>
        <v>-0.18999999999994088</v>
      </c>
      <c r="L5" s="7">
        <f>E5-C5</f>
        <v>-9.9999999999909051E-3</v>
      </c>
      <c r="M5" s="13"/>
      <c r="N5" s="13">
        <f>F5-B5</f>
        <v>-0.18999999999994088</v>
      </c>
      <c r="O5" s="7">
        <f>G5-C5</f>
        <v>-9.9999999999909051E-3</v>
      </c>
    </row>
    <row r="6" spans="1:15" x14ac:dyDescent="0.35">
      <c r="A6" t="s">
        <v>6</v>
      </c>
      <c r="B6" s="6">
        <v>-56.5</v>
      </c>
      <c r="C6" s="7">
        <v>27384.240000000002</v>
      </c>
      <c r="D6" s="6">
        <v>-56.64</v>
      </c>
      <c r="E6" s="7">
        <v>27001.26</v>
      </c>
      <c r="F6" s="6">
        <f t="shared" si="0"/>
        <v>-56.64</v>
      </c>
      <c r="G6" s="7">
        <v>27001.26</v>
      </c>
      <c r="I6" s="6">
        <f>+D6-F6</f>
        <v>0</v>
      </c>
      <c r="J6" s="13">
        <f>+E6-G6</f>
        <v>0</v>
      </c>
      <c r="K6" s="6">
        <f>D6-B6</f>
        <v>-0.14000000000000057</v>
      </c>
      <c r="L6" s="7">
        <f>E6-C6</f>
        <v>-382.9800000000032</v>
      </c>
      <c r="M6" s="13"/>
      <c r="N6" s="13">
        <f>F6-B6</f>
        <v>-0.14000000000000057</v>
      </c>
      <c r="O6" s="7">
        <f>G6-C6</f>
        <v>-382.9800000000032</v>
      </c>
    </row>
    <row r="7" spans="1:15" x14ac:dyDescent="0.35">
      <c r="A7" t="s">
        <v>5</v>
      </c>
      <c r="B7" s="17">
        <v>23502.3</v>
      </c>
      <c r="C7" s="7">
        <v>32602.6</v>
      </c>
      <c r="D7" s="17">
        <v>23502.33</v>
      </c>
      <c r="E7" s="7">
        <v>32603.63</v>
      </c>
      <c r="F7" s="6">
        <v>23502.33</v>
      </c>
      <c r="G7" s="7">
        <v>32603.63</v>
      </c>
      <c r="I7" s="6">
        <f>+D7-F7</f>
        <v>0</v>
      </c>
      <c r="J7" s="13">
        <f>+E7-G7</f>
        <v>0</v>
      </c>
      <c r="K7" s="17">
        <f>D7-B7</f>
        <v>3.0000000002473826E-2</v>
      </c>
      <c r="L7" s="7">
        <f>E7-C7</f>
        <v>1.0300000000024738</v>
      </c>
      <c r="M7" s="13"/>
      <c r="N7" s="13">
        <f>F7-B7</f>
        <v>3.0000000002473826E-2</v>
      </c>
      <c r="O7" s="7">
        <f>G7-C7</f>
        <v>1.0300000000024738</v>
      </c>
    </row>
    <row r="8" spans="1:15" ht="15" thickBot="1" x14ac:dyDescent="0.4">
      <c r="A8" t="s">
        <v>3</v>
      </c>
      <c r="B8" s="8">
        <v>5977.75</v>
      </c>
      <c r="C8" s="9">
        <v>8465.36</v>
      </c>
      <c r="D8" s="8">
        <v>5977.75</v>
      </c>
      <c r="E8" s="9">
        <v>8463.33</v>
      </c>
      <c r="F8" s="8">
        <f>D8</f>
        <v>5977.75</v>
      </c>
      <c r="G8" s="9">
        <v>8463.33</v>
      </c>
      <c r="I8" s="8">
        <f>+D8-F8</f>
        <v>0</v>
      </c>
      <c r="J8" s="14">
        <f>+E8-G8</f>
        <v>0</v>
      </c>
      <c r="K8" s="8">
        <f>D8-B8</f>
        <v>0</v>
      </c>
      <c r="L8" s="9">
        <f>E8-C8</f>
        <v>-2.0300000000006548</v>
      </c>
      <c r="M8" s="14"/>
      <c r="N8" s="14">
        <f>F8-B8</f>
        <v>0</v>
      </c>
      <c r="O8" s="9">
        <f>G8-C8</f>
        <v>-2.0300000000006548</v>
      </c>
    </row>
    <row r="9" spans="1:15" x14ac:dyDescent="0.35">
      <c r="B9" s="3">
        <f>SUM(B3:B8)</f>
        <v>29965.809999999998</v>
      </c>
      <c r="C9" s="3">
        <f>SUM(C3:C8)</f>
        <v>73274.290000000008</v>
      </c>
      <c r="I9" s="3">
        <f>SUM(I3:I8)</f>
        <v>0</v>
      </c>
      <c r="J9" s="3">
        <f>SUM(J3:J8)</f>
        <v>0</v>
      </c>
      <c r="K9" s="3">
        <f>SUM(K3:K8)</f>
        <v>-0.34999999999746656</v>
      </c>
      <c r="L9" s="3">
        <f>SUM(L3:L8)</f>
        <v>-378.52000000000135</v>
      </c>
      <c r="M9" s="3"/>
      <c r="N9" s="3">
        <f>SUM(N3:N8)</f>
        <v>-0.34999999999746656</v>
      </c>
      <c r="O9" s="3">
        <f>SUM(O3:O8)</f>
        <v>-378.52000000000135</v>
      </c>
    </row>
    <row r="10" spans="1:15" x14ac:dyDescent="0.35">
      <c r="C10" s="3"/>
      <c r="M10" s="3"/>
    </row>
    <row r="11" spans="1:15" x14ac:dyDescent="0.35">
      <c r="C11" s="1"/>
    </row>
    <row r="12" spans="1:15" x14ac:dyDescent="0.35">
      <c r="E12" t="s">
        <v>14</v>
      </c>
      <c r="F12" s="18">
        <v>20538.97</v>
      </c>
    </row>
    <row r="13" spans="1:15" x14ac:dyDescent="0.35">
      <c r="E13" t="s">
        <v>15</v>
      </c>
      <c r="F13" s="1">
        <f>+F12+B7</f>
        <v>44041.270000000004</v>
      </c>
    </row>
    <row r="17" spans="1:3" x14ac:dyDescent="0.35">
      <c r="A17" t="s">
        <v>4</v>
      </c>
      <c r="B17">
        <v>-16.46</v>
      </c>
      <c r="C17">
        <v>2454.4299999999998</v>
      </c>
    </row>
    <row r="18" spans="1:3" x14ac:dyDescent="0.35">
      <c r="A18" t="s">
        <v>7</v>
      </c>
      <c r="B18">
        <v>-15.39</v>
      </c>
      <c r="C18">
        <v>1734.16</v>
      </c>
    </row>
    <row r="19" spans="1:3" x14ac:dyDescent="0.35">
      <c r="A19" t="s">
        <v>2</v>
      </c>
      <c r="B19">
        <v>573.87</v>
      </c>
      <c r="C19">
        <v>638.96</v>
      </c>
    </row>
    <row r="20" spans="1:3" x14ac:dyDescent="0.35">
      <c r="A20" t="s">
        <v>6</v>
      </c>
      <c r="B20">
        <v>-56.64</v>
      </c>
      <c r="C20">
        <v>27001.26</v>
      </c>
    </row>
    <row r="21" spans="1:3" x14ac:dyDescent="0.35">
      <c r="A21" t="s">
        <v>5</v>
      </c>
      <c r="B21">
        <v>23502.33</v>
      </c>
      <c r="C21">
        <v>32603.63</v>
      </c>
    </row>
    <row r="22" spans="1:3" x14ac:dyDescent="0.35">
      <c r="A22" t="s">
        <v>3</v>
      </c>
      <c r="B22">
        <v>5977.75</v>
      </c>
      <c r="C22">
        <v>8463.33</v>
      </c>
    </row>
  </sheetData>
  <mergeCells count="6">
    <mergeCell ref="D1:E1"/>
    <mergeCell ref="F1:G1"/>
    <mergeCell ref="I1:J1"/>
    <mergeCell ref="B1:C1"/>
    <mergeCell ref="K1:L1"/>
    <mergeCell ref="N1:O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2022-01-17T09:50:12Z</dcterms:created>
  <dcterms:modified xsi:type="dcterms:W3CDTF">2022-01-17T11:06:50Z</dcterms:modified>
</cp:coreProperties>
</file>