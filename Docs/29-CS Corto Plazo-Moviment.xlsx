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C6843A17-BB1A-4A67-A1DB-74FAC1260F96}" xr6:coauthVersionLast="47" xr6:coauthVersionMax="47" xr10:uidLastSave="{00000000-0000-0000-0000-000000000000}"/>
  <bookViews>
    <workbookView xWindow="22932" yWindow="0" windowWidth="23256" windowHeight="12576" activeTab="1" xr2:uid="{5BDD4264-2590-4C27-9B26-F22F9B95BA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2" l="1"/>
  <c r="K6" i="2" l="1"/>
</calcChain>
</file>

<file path=xl/sharedStrings.xml><?xml version="1.0" encoding="utf-8"?>
<sst xmlns="http://schemas.openxmlformats.org/spreadsheetml/2006/main" count="31" uniqueCount="29">
  <si>
    <t>Traspàs C</t>
  </si>
  <si>
    <t>Venda</t>
  </si>
  <si>
    <t>Parts</t>
  </si>
  <si>
    <t>PU</t>
  </si>
  <si>
    <t>Brut</t>
  </si>
  <si>
    <t>Id</t>
  </si>
  <si>
    <t>Id Orig</t>
  </si>
  <si>
    <t>Nom Fons Orig</t>
  </si>
  <si>
    <t>Data Compra Venda</t>
  </si>
  <si>
    <t>Data Orig Compra</t>
  </si>
  <si>
    <t>Parts Orig</t>
  </si>
  <si>
    <t>PU Orig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</si>
  <si>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</si>
  <si>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</si>
  <si>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</si>
  <si>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</si>
  <si>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</si>
  <si>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</si>
  <si>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</si>
  <si>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 en cartera</t>
  </si>
  <si>
    <t>Bolsa Tecnología y Telecomunicaciones FI</t>
  </si>
  <si>
    <t>Mov</t>
  </si>
  <si>
    <t>CT</t>
  </si>
  <si>
    <t>V</t>
  </si>
  <si>
    <t>bbva</t>
  </si>
  <si>
    <t>Id: 1278</t>
  </si>
  <si>
    <t>Id: 1229</t>
  </si>
  <si>
    <t>Prod</t>
  </si>
  <si>
    <t>Venudes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</si>
</sst>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8" formatCode="#,##0.000"/>
    <numFmt numFmtId="169" formatCode="#,##0.000\ &quot;€&quot;"/>
    <numFmt numFmtId="170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 wrapText="1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3FCA-50A5-4269-89F6-EFB31E176E2C}">
  <dimension ref="A1:F3"/>
  <sheetViews>
    <sheetView zoomScale="130" zoomScaleNormal="130" workbookViewId="0">
      <selection activeCell="H1" sqref="H1"/>
    </sheetView>
  </sheetViews>
  <sheetFormatPr defaultRowHeight="14.5" x14ac:dyDescent="0.35"/>
  <cols>
    <col min="2" max="2" width="13.08984375" customWidth="1"/>
    <col min="3" max="3" width="10.453125" bestFit="1" customWidth="1"/>
    <col min="6" max="6" width="9.26953125" bestFit="1" customWidth="1"/>
    <col min="7" max="7" width="2.6328125" customWidth="1"/>
  </cols>
  <sheetData>
    <row r="1" spans="1:6" x14ac:dyDescent="0.35">
      <c r="A1" s="5"/>
      <c r="B1" s="5"/>
      <c r="C1" s="5"/>
      <c r="D1" s="5" t="s">
        <v>2</v>
      </c>
      <c r="E1" s="5" t="s">
        <v>3</v>
      </c>
      <c r="F1" s="5" t="s">
        <v>4</v>
      </c>
    </row>
    <row r="2" spans="1:6" x14ac:dyDescent="0.35">
      <c r="A2" s="1">
        <v>199</v>
      </c>
      <c r="B2" s="1" t="s">
        <v>0</v>
      </c>
      <c r="C2" s="3">
        <v>44476</v>
      </c>
      <c r="D2" s="1">
        <v>765.3691</v>
      </c>
      <c r="E2" s="4">
        <v>13.0395</v>
      </c>
      <c r="F2" s="4">
        <v>9980.0300000000007</v>
      </c>
    </row>
    <row r="3" spans="1:6" x14ac:dyDescent="0.35">
      <c r="A3" s="1">
        <v>1229</v>
      </c>
      <c r="B3" s="1" t="s">
        <v>1</v>
      </c>
      <c r="C3" s="3">
        <v>44844</v>
      </c>
      <c r="D3" s="1">
        <v>765.3691</v>
      </c>
      <c r="E3" s="4">
        <v>12.534000000000001</v>
      </c>
      <c r="F3" s="4">
        <v>9593.14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2B97-1861-4ECF-BDAC-65E8A10D3233}">
  <dimension ref="A1:R8"/>
  <sheetViews>
    <sheetView tabSelected="1" zoomScale="130" zoomScaleNormal="130" workbookViewId="0">
      <pane ySplit="1" topLeftCell="A2" activePane="bottomLeft" state="frozen"/>
      <selection pane="bottomLeft" activeCell="J6" sqref="J6"/>
    </sheetView>
  </sheetViews>
  <sheetFormatPr defaultRowHeight="14.5" x14ac:dyDescent="0.35"/>
  <cols>
    <col min="1" max="1" width="4.81640625" bestFit="1" customWidth="1"/>
    <col min="2" max="2" width="5.08984375" bestFit="1" customWidth="1"/>
    <col min="3" max="3" width="6.453125" bestFit="1" customWidth="1"/>
    <col min="4" max="4" width="13.1796875" bestFit="1" customWidth="1"/>
    <col min="5" max="6" width="10.81640625" style="2" customWidth="1"/>
    <col min="7" max="7" width="5.1796875" bestFit="1" customWidth="1"/>
    <col min="8" max="8" width="9.08984375" bestFit="1" customWidth="1"/>
    <col min="9" max="9" width="3.36328125" bestFit="1" customWidth="1"/>
    <col min="10" max="10" width="7.1796875" bestFit="1" customWidth="1"/>
    <col min="11" max="11" width="8.54296875" bestFit="1" customWidth="1"/>
    <col min="12" max="12" width="11.54296875" bestFit="1" customWidth="1"/>
    <col min="13" max="13" width="14.26953125" bestFit="1" customWidth="1"/>
    <col min="14" max="14" width="18" bestFit="1" customWidth="1"/>
    <col min="15" max="15" width="19.90625" bestFit="1" customWidth="1"/>
    <col min="16" max="16" width="19.7265625" bestFit="1" customWidth="1"/>
    <col min="17" max="17" width="18.6328125" bestFit="1" customWidth="1"/>
    <col min="18" max="18" width="16.6328125" bestFit="1" customWidth="1"/>
  </cols>
  <sheetData>
    <row r="1" spans="1:18" ht="25.5" customHeight="1" x14ac:dyDescent="0.35">
      <c r="A1" s="6" t="s">
        <v>21</v>
      </c>
      <c r="B1" s="6" t="s">
        <v>5</v>
      </c>
      <c r="C1" s="7" t="s">
        <v>6</v>
      </c>
      <c r="D1" s="7" t="s">
        <v>7</v>
      </c>
      <c r="E1" s="8" t="s">
        <v>8</v>
      </c>
      <c r="F1" s="8" t="s">
        <v>9</v>
      </c>
      <c r="G1" s="9" t="s">
        <v>2</v>
      </c>
      <c r="H1" s="10" t="s">
        <v>10</v>
      </c>
      <c r="I1" s="11" t="s">
        <v>3</v>
      </c>
      <c r="J1" s="11" t="s">
        <v>11</v>
      </c>
      <c r="K1" s="12" t="s">
        <v>12</v>
      </c>
      <c r="L1" s="10" t="s">
        <v>13</v>
      </c>
      <c r="M1" s="7" t="s">
        <v>14</v>
      </c>
      <c r="N1" s="7" t="s">
        <v>15</v>
      </c>
      <c r="O1" s="13" t="s">
        <v>16</v>
      </c>
      <c r="P1" s="7" t="s">
        <v>17</v>
      </c>
      <c r="Q1" s="7" t="s">
        <v>18</v>
      </c>
      <c r="R1" s="7" t="s">
        <v>19</v>
      </c>
    </row>
    <row r="2" spans="1:18" x14ac:dyDescent="0.35">
      <c r="A2" t="s">
        <v>22</v>
      </c>
      <c r="B2" s="14">
        <v>199</v>
      </c>
      <c r="C2" s="14">
        <v>15</v>
      </c>
      <c r="D2" s="14" t="s">
        <v>20</v>
      </c>
      <c r="E2" s="15">
        <v>44476.938761574071</v>
      </c>
      <c r="F2" s="15">
        <v>36841</v>
      </c>
      <c r="G2" s="14">
        <v>765.3691</v>
      </c>
      <c r="H2" s="14">
        <v>357.97120000000001</v>
      </c>
      <c r="I2" s="14">
        <v>13.0395035545595</v>
      </c>
      <c r="J2" s="14">
        <v>22.9920399034783</v>
      </c>
      <c r="K2" s="14"/>
      <c r="L2" s="14"/>
      <c r="M2" s="14"/>
      <c r="N2" s="14"/>
      <c r="O2" s="14"/>
      <c r="P2" s="14"/>
      <c r="Q2" s="14"/>
      <c r="R2" s="14"/>
    </row>
    <row r="3" spans="1:18" x14ac:dyDescent="0.35">
      <c r="A3" t="s">
        <v>23</v>
      </c>
      <c r="B3" s="16">
        <v>1229</v>
      </c>
      <c r="C3" s="16"/>
      <c r="D3" s="16"/>
      <c r="E3" s="17">
        <v>44844.783541666664</v>
      </c>
      <c r="F3" s="17"/>
      <c r="G3" s="16"/>
      <c r="H3" s="16"/>
      <c r="I3" s="16">
        <v>12.534000000000001</v>
      </c>
      <c r="J3" s="16"/>
      <c r="K3" s="16"/>
      <c r="L3" s="16"/>
      <c r="M3" s="16"/>
      <c r="N3" s="16"/>
      <c r="O3" s="16"/>
      <c r="P3" s="16"/>
      <c r="Q3" s="16"/>
      <c r="R3" s="16"/>
    </row>
    <row r="5" spans="1:18" x14ac:dyDescent="0.35">
      <c r="H5" s="1"/>
      <c r="I5" s="19" t="s">
        <v>27</v>
      </c>
      <c r="J5" s="18" t="s">
        <v>28</v>
      </c>
    </row>
    <row r="6" spans="1:18" x14ac:dyDescent="0.35">
      <c r="I6">
        <v>29</v>
      </c>
      <c r="J6" t="s">
        <v>26</v>
      </c>
      <c r="K6">
        <f>H2</f>
        <v>357.97120000000001</v>
      </c>
    </row>
    <row r="7" spans="1:18" x14ac:dyDescent="0.35">
      <c r="I7">
        <v>28</v>
      </c>
      <c r="J7" t="s">
        <v>25</v>
      </c>
      <c r="K7">
        <v>321.66890000000001</v>
      </c>
    </row>
    <row r="8" spans="1:18" x14ac:dyDescent="0.35">
      <c r="J8" s="18" t="s">
        <v>24</v>
      </c>
      <c r="K8" s="18">
        <f>SUM(K6:K7)</f>
        <v>679.64010000000007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2024-09-12T11:15:00Z</dcterms:created>
  <dcterms:modified xsi:type="dcterms:W3CDTF">2024-09-12T11:31:32Z</dcterms:modified>
</cp:coreProperties>
</file>