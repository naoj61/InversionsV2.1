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positoris\C#\_Actiu\InversionsV2\Docs\"/>
    </mc:Choice>
  </mc:AlternateContent>
  <xr:revisionPtr revIDLastSave="0" documentId="13_ncr:1_{4E7D5306-7817-4FDC-B315-D1135DC8D4AE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Movs" sheetId="3" r:id="rId1"/>
    <sheet name="Sheet1" sheetId="1" r:id="rId2"/>
    <sheet name="Sheet2" sheetId="2" r:id="rId3"/>
    <sheet name="Orig Vendes Reals" sheetId="4" r:id="rId4"/>
  </sheets>
  <calcPr calcId="191029"/>
</workbook>
</file>

<file path=xl/calcChain.xml><?xml version="1.0" encoding="utf-8"?>
<calcChain xmlns="http://schemas.openxmlformats.org/spreadsheetml/2006/main">
  <c r="R5" i="4" l="1"/>
  <c r="R3" i="4"/>
  <c r="R12" i="4"/>
  <c r="R18" i="4" s="1"/>
  <c r="R11" i="4"/>
  <c r="R6" i="4"/>
  <c r="R9" i="4"/>
  <c r="R17" i="4" s="1"/>
  <c r="R8" i="4"/>
  <c r="N10" i="4"/>
  <c r="K10" i="4"/>
  <c r="K11" i="4"/>
  <c r="P12" i="4"/>
  <c r="P11" i="4"/>
  <c r="L10" i="4"/>
  <c r="L12" i="4"/>
  <c r="L3" i="4"/>
  <c r="K5" i="4" s="1"/>
  <c r="L5" i="4" s="1"/>
  <c r="P5" i="4" s="1"/>
  <c r="I5" i="3"/>
  <c r="J5" i="3" s="1"/>
  <c r="H10" i="3"/>
  <c r="H9" i="3"/>
  <c r="H7" i="3"/>
  <c r="H6" i="3"/>
  <c r="H5" i="3"/>
  <c r="H4" i="3"/>
  <c r="H3" i="3"/>
  <c r="H2" i="3"/>
  <c r="I13" i="1"/>
  <c r="I12" i="1"/>
  <c r="I6" i="1"/>
  <c r="I7" i="1" s="1"/>
  <c r="I8" i="1" s="1"/>
  <c r="I9" i="1" s="1"/>
  <c r="I10" i="1" s="1"/>
  <c r="F3" i="1"/>
  <c r="F4" i="1" s="1"/>
  <c r="F5" i="1" s="1"/>
  <c r="F6" i="1" s="1"/>
  <c r="F8" i="1" s="1"/>
  <c r="F10" i="1" s="1"/>
  <c r="D11" i="2"/>
  <c r="R16" i="4" l="1"/>
  <c r="R15" i="4"/>
  <c r="L6" i="4"/>
  <c r="L4" i="4"/>
  <c r="N4" i="4" s="1"/>
  <c r="O10" i="4"/>
  <c r="Q10" i="4" s="1"/>
  <c r="S10" i="4" s="1"/>
  <c r="M10" i="4"/>
  <c r="P10" i="4" s="1"/>
  <c r="R10" i="4" s="1"/>
  <c r="P3" i="4"/>
  <c r="L2" i="4"/>
  <c r="N2" i="4" s="1"/>
  <c r="H8" i="3"/>
  <c r="F11" i="1"/>
  <c r="F12" i="1" s="1"/>
  <c r="F13" i="1" s="1"/>
  <c r="P6" i="4" l="1"/>
  <c r="K8" i="4"/>
  <c r="L8" i="4" s="1"/>
  <c r="T10" i="4"/>
  <c r="M2" i="4"/>
  <c r="P2" i="4" s="1"/>
  <c r="R2" i="4" s="1"/>
  <c r="O2" i="4"/>
  <c r="Q2" i="4" s="1"/>
  <c r="S2" i="4" s="1"/>
  <c r="P8" i="4" l="1"/>
  <c r="L9" i="4"/>
  <c r="M4" i="4"/>
  <c r="P4" i="4" s="1"/>
  <c r="R4" i="4" s="1"/>
  <c r="O4" i="4"/>
  <c r="Q4" i="4" s="1"/>
  <c r="S4" i="4" s="1"/>
  <c r="T2" i="4"/>
  <c r="L7" i="4" l="1"/>
  <c r="P9" i="4"/>
  <c r="T4" i="4"/>
  <c r="N7" i="4" l="1"/>
  <c r="O7" i="4" s="1"/>
  <c r="Q7" i="4" s="1"/>
  <c r="S7" i="4" s="1"/>
  <c r="M7" i="4"/>
  <c r="P7" i="4" s="1"/>
  <c r="R7" i="4" s="1"/>
  <c r="T7" i="4" s="1"/>
  <c r="Q13" i="4"/>
  <c r="N13" i="4"/>
  <c r="R13" i="4" l="1"/>
  <c r="T13" i="4"/>
  <c r="S13" i="4"/>
</calcChain>
</file>

<file path=xl/sharedStrings.xml><?xml version="1.0" encoding="utf-8"?>
<sst xmlns="http://schemas.openxmlformats.org/spreadsheetml/2006/main" count="88" uniqueCount="49">
  <si>
    <t>1-Optimal Income A-H Grs Acc Hdg EUR</t>
  </si>
  <si>
    <t>Compra</t>
  </si>
  <si>
    <t>Traspàs C</t>
  </si>
  <si>
    <t>Traspàs V</t>
  </si>
  <si>
    <t>Id</t>
  </si>
  <si>
    <t>Mov</t>
  </si>
  <si>
    <t>Data</t>
  </si>
  <si>
    <t>Parts</t>
  </si>
  <si>
    <t>Id Compra</t>
  </si>
  <si>
    <t>Parts C</t>
  </si>
  <si>
    <t>Saldo Parts</t>
  </si>
  <si>
    <t>Prod</t>
  </si>
  <si>
    <t>Import</t>
  </si>
  <si>
    <t>*** Fi Ok ***</t>
  </si>
  <si>
    <t>2-European Growth N Acc ?</t>
  </si>
  <si>
    <t>3-Asian Smaller Companies Fund</t>
  </si>
  <si>
    <t>6-Biotechnology C USD Acc</t>
  </si>
  <si>
    <t>10-Bolsa Tecnología y Telecomunicaciones FI</t>
  </si>
  <si>
    <t>11-Total Return N Acc €-H1</t>
  </si>
  <si>
    <t>19-NB Capital Plus FI</t>
  </si>
  <si>
    <t>Venda</t>
  </si>
  <si>
    <t>Brut</t>
  </si>
  <si>
    <t>PU</t>
  </si>
  <si>
    <t>Saldo parts</t>
  </si>
  <si>
    <t>Import compra venda</t>
  </si>
  <si>
    <t>PiG Venda</t>
  </si>
  <si>
    <t>Id Orig</t>
  </si>
  <si>
    <t>Nom Fons Orig</t>
  </si>
  <si>
    <t>Data Compra Venda</t>
  </si>
  <si>
    <t>Data Orig Compra</t>
  </si>
  <si>
    <t>PU Orig</t>
  </si>
  <si>
    <t>Parts Orig</t>
  </si>
  <si>
    <t>Parts Ocup.</t>
  </si>
  <si>
    <t>Parts Util</t>
  </si>
  <si>
    <t>Parts Orig Ut</t>
  </si>
  <si>
    <t>Parts en cartera</t>
  </si>
  <si>
    <t>Parts orig en cartera</t>
  </si>
  <si>
    <t>Import Orig venda real</t>
  </si>
  <si>
    <t>Import Orig en cartera</t>
  </si>
  <si>
    <t>Pig Origen venda real</t>
  </si>
  <si>
    <t>PiG Origen en cartera</t>
  </si>
  <si>
    <t>PiG Total</t>
  </si>
  <si>
    <t>CT</t>
  </si>
  <si>
    <t>VT</t>
  </si>
  <si>
    <t>V</t>
  </si>
  <si>
    <t>En cartera</t>
  </si>
  <si>
    <t>C</t>
  </si>
  <si>
    <t>Asian Smaller Companies Fund</t>
  </si>
  <si>
    <t>Biotechnology C USD 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</si>
</sst>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#,##0.00\ &quot;€&quot;;[Red]\-#,##0.00\ &quot;€&quot;"/>
    <numFmt numFmtId="164" formatCode="0.000"/>
    <numFmt numFmtId="165" formatCode="#,##0.000"/>
    <numFmt numFmtId="166" formatCode="#,##0.000\ &quot;€&quot;;[Red]\-#,##0.000\ &quot;€&quot;"/>
    <numFmt numFmtId="167" formatCode="#,##0.000\ &quot;€&quot;"/>
    <numFmt numFmtId="168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" fontId="0" fillId="0" borderId="0" xfId="0" applyNumberFormat="1"/>
    <xf numFmtId="4" fontId="0" fillId="0" borderId="0" xfId="0" applyNumberFormat="1" applyAlignment="1">
      <alignment wrapText="1"/>
    </xf>
    <xf numFmtId="164" fontId="0" fillId="0" borderId="0" xfId="0" applyNumberForma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2" xfId="0" applyNumberFormat="1" applyBorder="1" applyAlignment="1">
      <alignment wrapText="1"/>
    </xf>
    <xf numFmtId="0" fontId="0" fillId="0" borderId="2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4" fontId="0" fillId="0" borderId="5" xfId="0" applyNumberFormat="1" applyBorder="1" applyAlignment="1">
      <alignment wrapText="1"/>
    </xf>
    <xf numFmtId="0" fontId="0" fillId="0" borderId="5" xfId="0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14" fontId="0" fillId="0" borderId="8" xfId="0" applyNumberFormat="1" applyBorder="1" applyAlignment="1">
      <alignment wrapText="1"/>
    </xf>
    <xf numFmtId="0" fontId="0" fillId="0" borderId="8" xfId="0" applyBorder="1"/>
    <xf numFmtId="8" fontId="0" fillId="0" borderId="0" xfId="0" applyNumberFormat="1"/>
    <xf numFmtId="8" fontId="1" fillId="0" borderId="0" xfId="0" applyNumberFormat="1" applyFont="1"/>
    <xf numFmtId="4" fontId="0" fillId="0" borderId="2" xfId="0" applyNumberFormat="1" applyBorder="1" applyAlignment="1">
      <alignment wrapText="1"/>
    </xf>
    <xf numFmtId="4" fontId="0" fillId="0" borderId="2" xfId="0" applyNumberFormat="1" applyBorder="1"/>
    <xf numFmtId="0" fontId="0" fillId="0" borderId="3" xfId="0" applyBorder="1"/>
    <xf numFmtId="4" fontId="0" fillId="0" borderId="5" xfId="0" applyNumberFormat="1" applyBorder="1" applyAlignment="1">
      <alignment wrapText="1"/>
    </xf>
    <xf numFmtId="4" fontId="0" fillId="0" borderId="5" xfId="0" applyNumberFormat="1" applyBorder="1"/>
    <xf numFmtId="4" fontId="0" fillId="0" borderId="6" xfId="0" applyNumberFormat="1" applyBorder="1"/>
    <xf numFmtId="4" fontId="0" fillId="0" borderId="3" xfId="0" applyNumberFormat="1" applyBorder="1"/>
    <xf numFmtId="4" fontId="0" fillId="0" borderId="8" xfId="0" applyNumberFormat="1" applyBorder="1"/>
    <xf numFmtId="4" fontId="0" fillId="0" borderId="9" xfId="0" applyNumberFormat="1" applyBorder="1"/>
    <xf numFmtId="0" fontId="0" fillId="0" borderId="9" xfId="0" applyBorder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165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2" borderId="0" xfId="0" applyFill="1"/>
    <xf numFmtId="14" fontId="0" fillId="2" borderId="0" xfId="0" applyNumberFormat="1" applyFill="1"/>
    <xf numFmtId="166" fontId="0" fillId="2" borderId="0" xfId="0" applyNumberFormat="1" applyFill="1" applyAlignment="1">
      <alignment vertical="center" wrapText="1"/>
    </xf>
    <xf numFmtId="167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168" fontId="0" fillId="2" borderId="0" xfId="0" applyNumberFormat="1" applyFill="1"/>
    <xf numFmtId="0" fontId="0" fillId="3" borderId="0" xfId="0" applyFill="1"/>
    <xf numFmtId="0" fontId="0" fillId="3" borderId="0" xfId="0" applyFill="1" applyAlignment="1">
      <alignment vertical="center" wrapText="1"/>
    </xf>
    <xf numFmtId="14" fontId="0" fillId="3" borderId="0" xfId="0" applyNumberFormat="1" applyFill="1" applyAlignment="1">
      <alignment vertical="center" wrapText="1"/>
    </xf>
    <xf numFmtId="165" fontId="0" fillId="3" borderId="0" xfId="0" applyNumberFormat="1" applyFill="1" applyAlignment="1">
      <alignment vertical="center" wrapText="1"/>
    </xf>
    <xf numFmtId="164" fontId="0" fillId="2" borderId="10" xfId="0" applyNumberFormat="1" applyFill="1" applyBorder="1"/>
    <xf numFmtId="14" fontId="0" fillId="3" borderId="0" xfId="0" applyNumberFormat="1" applyFill="1"/>
    <xf numFmtId="167" fontId="0" fillId="3" borderId="0" xfId="0" applyNumberFormat="1" applyFill="1" applyAlignment="1">
      <alignment vertical="center" wrapText="1"/>
    </xf>
    <xf numFmtId="165" fontId="0" fillId="4" borderId="0" xfId="0" applyNumberFormat="1" applyFill="1"/>
    <xf numFmtId="165" fontId="1" fillId="4" borderId="0" xfId="0" applyNumberFormat="1" applyFont="1" applyFill="1" applyAlignment="1">
      <alignment horizontal="right"/>
    </xf>
    <xf numFmtId="167" fontId="1" fillId="4" borderId="0" xfId="0" applyNumberFormat="1" applyFont="1" applyFill="1"/>
    <xf numFmtId="164" fontId="1" fillId="4" borderId="0" xfId="0" applyNumberFormat="1" applyFont="1" applyFill="1"/>
    <xf numFmtId="164" fontId="0" fillId="3" borderId="0" xfId="0" applyNumberFormat="1" applyFill="1" applyAlignment="1">
      <alignment vertical="center" wrapText="1"/>
    </xf>
    <xf numFmtId="164" fontId="0" fillId="3" borderId="10" xfId="0" applyNumberFormat="1" applyFill="1" applyBorder="1" applyAlignment="1">
      <alignment vertical="center" wrapText="1"/>
    </xf>
    <xf numFmtId="0" fontId="0" fillId="0" borderId="11" xfId="0" applyBorder="1"/>
    <xf numFmtId="0" fontId="0" fillId="0" borderId="12" xfId="0" applyBorder="1"/>
    <xf numFmtId="166" fontId="0" fillId="0" borderId="12" xfId="0" applyNumberFormat="1" applyBorder="1"/>
    <xf numFmtId="167" fontId="1" fillId="0" borderId="13" xfId="0" applyNumberFormat="1" applyFont="1" applyBorder="1"/>
    <xf numFmtId="0" fontId="0" fillId="0" borderId="14" xfId="0" applyBorder="1"/>
    <xf numFmtId="166" fontId="0" fillId="0" borderId="0" xfId="0" applyNumberFormat="1"/>
    <xf numFmtId="167" fontId="1" fillId="0" borderId="15" xfId="0" applyNumberFormat="1" applyFont="1" applyBorder="1"/>
    <xf numFmtId="0" fontId="0" fillId="0" borderId="16" xfId="0" applyBorder="1"/>
    <xf numFmtId="0" fontId="0" fillId="0" borderId="17" xfId="0" applyBorder="1"/>
    <xf numFmtId="167" fontId="1" fillId="0" borderId="18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FDABC-72FD-4B7B-9322-0520F4E0EAB0}">
  <dimension ref="A1:J10"/>
  <sheetViews>
    <sheetView zoomScale="130" zoomScaleNormal="130" workbookViewId="0">
      <selection activeCell="I8" sqref="I8"/>
    </sheetView>
  </sheetViews>
  <sheetFormatPr defaultRowHeight="14.5" x14ac:dyDescent="0.35"/>
  <cols>
    <col min="1" max="1" width="3.90625" bestFit="1" customWidth="1"/>
    <col min="2" max="2" width="8.81640625" bestFit="1" customWidth="1"/>
    <col min="3" max="3" width="10.7265625" bestFit="1" customWidth="1"/>
    <col min="6" max="6" width="11.1796875" customWidth="1"/>
    <col min="7" max="7" width="3.36328125" customWidth="1"/>
    <col min="9" max="9" width="10.6328125" bestFit="1" customWidth="1"/>
    <col min="10" max="10" width="9.54296875" customWidth="1"/>
  </cols>
  <sheetData>
    <row r="1" spans="1:10" ht="43.5" x14ac:dyDescent="0.35">
      <c r="A1" s="7" t="s">
        <v>4</v>
      </c>
      <c r="C1" s="7" t="s">
        <v>6</v>
      </c>
      <c r="D1" s="7" t="s">
        <v>7</v>
      </c>
      <c r="E1" s="7" t="s">
        <v>22</v>
      </c>
      <c r="F1" s="7" t="s">
        <v>21</v>
      </c>
      <c r="H1" s="37" t="s">
        <v>23</v>
      </c>
      <c r="I1" s="37" t="s">
        <v>24</v>
      </c>
      <c r="J1" s="37" t="s">
        <v>25</v>
      </c>
    </row>
    <row r="2" spans="1:10" x14ac:dyDescent="0.35">
      <c r="A2" s="33">
        <v>1</v>
      </c>
      <c r="B2" s="33" t="s">
        <v>1</v>
      </c>
      <c r="C2" s="34">
        <v>41172</v>
      </c>
      <c r="D2" s="33">
        <v>325.52199999999999</v>
      </c>
      <c r="E2" s="35">
        <v>30.719899999999999</v>
      </c>
      <c r="F2" s="35">
        <v>9999.99</v>
      </c>
      <c r="H2">
        <f>D2</f>
        <v>325.52199999999999</v>
      </c>
    </row>
    <row r="3" spans="1:10" x14ac:dyDescent="0.35">
      <c r="A3" s="33">
        <v>2</v>
      </c>
      <c r="B3" s="33" t="s">
        <v>1</v>
      </c>
      <c r="C3" s="34">
        <v>41187</v>
      </c>
      <c r="D3" s="36">
        <v>1267.6880000000001</v>
      </c>
      <c r="E3" s="35">
        <v>31.5535</v>
      </c>
      <c r="F3" s="35">
        <v>39999.980000000003</v>
      </c>
      <c r="H3" s="4">
        <f>D3+H2</f>
        <v>1593.21</v>
      </c>
    </row>
    <row r="4" spans="1:10" x14ac:dyDescent="0.35">
      <c r="A4" s="33">
        <v>3</v>
      </c>
      <c r="B4" s="33" t="s">
        <v>1</v>
      </c>
      <c r="C4" s="34">
        <v>41410</v>
      </c>
      <c r="D4" s="33">
        <v>522.37400000000002</v>
      </c>
      <c r="E4" s="35">
        <v>38.286799999999999</v>
      </c>
      <c r="F4" s="35">
        <v>20000.02</v>
      </c>
      <c r="H4" s="4">
        <f t="shared" ref="H4:H8" si="0">D4+H3</f>
        <v>2115.5839999999998</v>
      </c>
    </row>
    <row r="5" spans="1:10" x14ac:dyDescent="0.35">
      <c r="A5" s="33">
        <v>4</v>
      </c>
      <c r="B5" s="33" t="s">
        <v>20</v>
      </c>
      <c r="C5" s="34">
        <v>41438</v>
      </c>
      <c r="D5" s="36">
        <v>1415.5820000000001</v>
      </c>
      <c r="E5" s="35">
        <v>33.983400000000003</v>
      </c>
      <c r="F5" s="35">
        <v>48106.28</v>
      </c>
      <c r="H5" s="4">
        <f>H4-D5</f>
        <v>700.00199999999973</v>
      </c>
      <c r="I5" s="21">
        <f>F2+(D5-D2)*E3</f>
        <v>44395.198210000002</v>
      </c>
      <c r="J5" s="21">
        <f>F5-I5</f>
        <v>3711.0817899999965</v>
      </c>
    </row>
    <row r="6" spans="1:10" x14ac:dyDescent="0.35">
      <c r="A6" s="33">
        <v>5</v>
      </c>
      <c r="B6" s="33" t="s">
        <v>20</v>
      </c>
      <c r="C6" s="34">
        <v>41492</v>
      </c>
      <c r="D6" s="33">
        <v>178</v>
      </c>
      <c r="E6" s="35">
        <v>33.8964</v>
      </c>
      <c r="F6" s="35">
        <v>6033.56</v>
      </c>
      <c r="H6" s="4">
        <f>H5-D6</f>
        <v>522.00199999999973</v>
      </c>
      <c r="J6" s="39"/>
    </row>
    <row r="7" spans="1:10" x14ac:dyDescent="0.35">
      <c r="A7" s="33">
        <v>6</v>
      </c>
      <c r="B7" s="33" t="s">
        <v>20</v>
      </c>
      <c r="C7" s="34">
        <v>41506</v>
      </c>
      <c r="D7" s="33">
        <v>522.00199999999995</v>
      </c>
      <c r="E7" s="35">
        <v>32.470300000000002</v>
      </c>
      <c r="F7" s="35">
        <v>16949.560000000001</v>
      </c>
      <c r="H7" s="4">
        <f>H6-D7</f>
        <v>0</v>
      </c>
    </row>
    <row r="8" spans="1:10" x14ac:dyDescent="0.35">
      <c r="A8" s="33">
        <v>41</v>
      </c>
      <c r="B8" s="38" t="s">
        <v>2</v>
      </c>
      <c r="C8" s="34">
        <v>42047</v>
      </c>
      <c r="D8" s="33">
        <v>174.22900000000001</v>
      </c>
      <c r="E8" s="35">
        <v>39.429099999999998</v>
      </c>
      <c r="F8" s="35">
        <v>6869.7</v>
      </c>
      <c r="H8" s="4">
        <f t="shared" si="0"/>
        <v>174.22900000000001</v>
      </c>
    </row>
    <row r="9" spans="1:10" x14ac:dyDescent="0.35">
      <c r="A9" s="33">
        <v>95</v>
      </c>
      <c r="B9" s="38" t="s">
        <v>3</v>
      </c>
      <c r="C9" s="34">
        <v>42207</v>
      </c>
      <c r="D9" s="33">
        <v>150</v>
      </c>
      <c r="E9" s="35">
        <v>39.5777</v>
      </c>
      <c r="F9" s="35">
        <v>5936.65</v>
      </c>
      <c r="H9" s="4">
        <f>H8-D9</f>
        <v>24.229000000000013</v>
      </c>
    </row>
    <row r="10" spans="1:10" x14ac:dyDescent="0.35">
      <c r="A10" s="33">
        <v>187</v>
      </c>
      <c r="B10" s="33" t="s">
        <v>20</v>
      </c>
      <c r="C10" s="34">
        <v>44176</v>
      </c>
      <c r="D10" s="33">
        <v>24.228999999999999</v>
      </c>
      <c r="E10" s="35">
        <v>42.515799999999999</v>
      </c>
      <c r="F10" s="35">
        <v>1030.1199999999999</v>
      </c>
      <c r="H10" s="4">
        <f>H9-D10</f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zoomScale="115" zoomScaleNormal="115" workbookViewId="0">
      <selection activeCell="I5" sqref="I5"/>
    </sheetView>
  </sheetViews>
  <sheetFormatPr defaultRowHeight="14.5" x14ac:dyDescent="0.35"/>
  <cols>
    <col min="2" max="2" width="9.81640625" customWidth="1"/>
    <col min="3" max="3" width="10.54296875" hidden="1" customWidth="1"/>
    <col min="4" max="4" width="8.7265625" style="6"/>
    <col min="5" max="5" width="1.36328125" customWidth="1"/>
    <col min="6" max="6" width="8.7265625" customWidth="1"/>
    <col min="7" max="7" width="1.6328125" customWidth="1"/>
    <col min="10" max="10" width="2.54296875" customWidth="1"/>
  </cols>
  <sheetData>
    <row r="1" spans="1:13" x14ac:dyDescent="0.35">
      <c r="A1" s="7" t="s">
        <v>4</v>
      </c>
      <c r="B1" s="7" t="s">
        <v>5</v>
      </c>
      <c r="C1" s="7" t="s">
        <v>6</v>
      </c>
      <c r="D1" s="8" t="s">
        <v>7</v>
      </c>
      <c r="F1" s="7" t="s">
        <v>10</v>
      </c>
      <c r="H1" s="1" t="s">
        <v>8</v>
      </c>
      <c r="I1" s="7" t="s">
        <v>9</v>
      </c>
    </row>
    <row r="2" spans="1:13" x14ac:dyDescent="0.35">
      <c r="A2" s="1" t="s">
        <v>15</v>
      </c>
    </row>
    <row r="3" spans="1:13" x14ac:dyDescent="0.35">
      <c r="A3" s="2">
        <v>1</v>
      </c>
      <c r="B3" s="2" t="s">
        <v>1</v>
      </c>
      <c r="C3" s="3">
        <v>41172</v>
      </c>
      <c r="D3" s="2">
        <v>325.52199999999999</v>
      </c>
      <c r="F3">
        <f>D3</f>
        <v>325.52199999999999</v>
      </c>
    </row>
    <row r="4" spans="1:13" x14ac:dyDescent="0.35">
      <c r="A4" s="2">
        <v>2</v>
      </c>
      <c r="B4" s="2" t="s">
        <v>1</v>
      </c>
      <c r="C4" s="3">
        <v>41187</v>
      </c>
      <c r="D4" s="5">
        <v>1267.6880000000001</v>
      </c>
      <c r="F4" s="4">
        <f>F3+D4</f>
        <v>1593.21</v>
      </c>
    </row>
    <row r="5" spans="1:13" x14ac:dyDescent="0.35">
      <c r="A5" s="2">
        <v>3</v>
      </c>
      <c r="B5" s="2" t="s">
        <v>1</v>
      </c>
      <c r="C5" s="3">
        <v>41410</v>
      </c>
      <c r="D5" s="2">
        <v>522.37400000000002</v>
      </c>
      <c r="F5" s="4">
        <f t="shared" ref="F5:F11" si="0">F4+D5</f>
        <v>2115.5839999999998</v>
      </c>
    </row>
    <row r="6" spans="1:13" x14ac:dyDescent="0.35">
      <c r="A6" s="9">
        <v>4</v>
      </c>
      <c r="B6" s="10" t="s">
        <v>20</v>
      </c>
      <c r="C6" s="11">
        <v>41438</v>
      </c>
      <c r="D6" s="23">
        <v>1415.5820000000001</v>
      </c>
      <c r="E6" s="12"/>
      <c r="F6" s="24">
        <f>F5-D6</f>
        <v>700.00199999999973</v>
      </c>
      <c r="G6" s="12"/>
      <c r="H6" s="12">
        <v>1</v>
      </c>
      <c r="I6" s="25">
        <f>D3</f>
        <v>325.52199999999999</v>
      </c>
    </row>
    <row r="7" spans="1:13" x14ac:dyDescent="0.35">
      <c r="A7" s="13"/>
      <c r="B7" s="14"/>
      <c r="C7" s="15"/>
      <c r="D7" s="26"/>
      <c r="E7" s="16"/>
      <c r="F7" s="27"/>
      <c r="G7" s="16"/>
      <c r="H7" s="16">
        <v>2</v>
      </c>
      <c r="I7" s="28">
        <f>D6-I6</f>
        <v>1090.0600000000002</v>
      </c>
    </row>
    <row r="8" spans="1:13" x14ac:dyDescent="0.35">
      <c r="A8" s="9">
        <v>5</v>
      </c>
      <c r="B8" s="10" t="s">
        <v>20</v>
      </c>
      <c r="C8" s="11">
        <v>41492</v>
      </c>
      <c r="D8" s="10">
        <v>178</v>
      </c>
      <c r="E8" s="12"/>
      <c r="F8" s="24">
        <f>F6-D8</f>
        <v>522.00199999999973</v>
      </c>
      <c r="G8" s="12"/>
      <c r="H8" s="12">
        <v>2</v>
      </c>
      <c r="I8" s="29">
        <f>D4-I7</f>
        <v>177.62799999999993</v>
      </c>
      <c r="K8" s="4"/>
    </row>
    <row r="9" spans="1:13" x14ac:dyDescent="0.35">
      <c r="A9" s="13"/>
      <c r="B9" s="14"/>
      <c r="C9" s="15"/>
      <c r="D9" s="14"/>
      <c r="E9" s="16"/>
      <c r="F9" s="27"/>
      <c r="G9" s="16"/>
      <c r="H9" s="16">
        <v>3</v>
      </c>
      <c r="I9" s="28">
        <f>D8-I8</f>
        <v>0.37200000000007094</v>
      </c>
    </row>
    <row r="10" spans="1:13" x14ac:dyDescent="0.35">
      <c r="A10" s="17">
        <v>6</v>
      </c>
      <c r="B10" s="18" t="s">
        <v>20</v>
      </c>
      <c r="C10" s="19">
        <v>41506</v>
      </c>
      <c r="D10" s="18">
        <v>522.00199999999995</v>
      </c>
      <c r="E10" s="20"/>
      <c r="F10" s="30">
        <f>F8-D10</f>
        <v>0</v>
      </c>
      <c r="G10" s="20"/>
      <c r="H10" s="20">
        <v>3</v>
      </c>
      <c r="I10" s="31">
        <f>D5-I9</f>
        <v>522.00199999999995</v>
      </c>
    </row>
    <row r="11" spans="1:13" x14ac:dyDescent="0.35">
      <c r="A11" s="2">
        <v>41</v>
      </c>
      <c r="B11" s="2" t="s">
        <v>2</v>
      </c>
      <c r="C11" s="3">
        <v>42047</v>
      </c>
      <c r="D11" s="2">
        <v>174.22900000000001</v>
      </c>
      <c r="F11" s="4">
        <f t="shared" si="0"/>
        <v>174.22900000000001</v>
      </c>
      <c r="K11">
        <v>7</v>
      </c>
      <c r="L11">
        <v>174.22900000000001</v>
      </c>
      <c r="M11">
        <v>15</v>
      </c>
    </row>
    <row r="12" spans="1:13" x14ac:dyDescent="0.35">
      <c r="A12" s="17">
        <v>95</v>
      </c>
      <c r="B12" s="18" t="s">
        <v>3</v>
      </c>
      <c r="C12" s="19">
        <v>42207</v>
      </c>
      <c r="D12" s="18">
        <v>150</v>
      </c>
      <c r="E12" s="20"/>
      <c r="F12" s="30">
        <f>F11-D12</f>
        <v>24.229000000000013</v>
      </c>
      <c r="G12" s="20"/>
      <c r="H12" s="20">
        <v>41</v>
      </c>
      <c r="I12" s="32">
        <f>D12</f>
        <v>150</v>
      </c>
    </row>
    <row r="13" spans="1:13" x14ac:dyDescent="0.35">
      <c r="A13" s="17">
        <v>187</v>
      </c>
      <c r="B13" s="18" t="s">
        <v>20</v>
      </c>
      <c r="C13" s="19">
        <v>44176</v>
      </c>
      <c r="D13" s="18">
        <v>24.228999999999999</v>
      </c>
      <c r="E13" s="20"/>
      <c r="F13" s="30">
        <f>F12-D13</f>
        <v>0</v>
      </c>
      <c r="G13" s="20"/>
      <c r="H13" s="20">
        <v>41</v>
      </c>
      <c r="I13" s="32">
        <f>D13</f>
        <v>24.228999999999999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zoomScale="175" zoomScaleNormal="175" workbookViewId="0">
      <selection activeCell="C4" sqref="C4"/>
    </sheetView>
  </sheetViews>
  <sheetFormatPr defaultRowHeight="14.5" x14ac:dyDescent="0.35"/>
  <cols>
    <col min="1" max="1" width="23.453125" customWidth="1"/>
    <col min="3" max="3" width="11.36328125" customWidth="1"/>
    <col min="4" max="4" width="12.08984375" customWidth="1"/>
  </cols>
  <sheetData>
    <row r="1" spans="1:4" x14ac:dyDescent="0.35">
      <c r="A1" t="s">
        <v>11</v>
      </c>
      <c r="B1" t="s">
        <v>4</v>
      </c>
      <c r="C1" t="s">
        <v>7</v>
      </c>
      <c r="D1" t="s">
        <v>12</v>
      </c>
    </row>
    <row r="2" spans="1:4" x14ac:dyDescent="0.35">
      <c r="A2" t="s">
        <v>0</v>
      </c>
      <c r="B2">
        <v>27</v>
      </c>
      <c r="C2" s="6">
        <v>58.502000000000002</v>
      </c>
      <c r="D2" s="21">
        <v>999.99</v>
      </c>
    </row>
    <row r="3" spans="1:4" x14ac:dyDescent="0.35">
      <c r="A3" t="s">
        <v>14</v>
      </c>
      <c r="B3">
        <v>37</v>
      </c>
      <c r="C3" s="6">
        <v>76.745999999999995</v>
      </c>
      <c r="D3" s="21">
        <v>1000</v>
      </c>
    </row>
    <row r="4" spans="1:4" x14ac:dyDescent="0.35">
      <c r="A4" t="s">
        <v>15</v>
      </c>
      <c r="B4">
        <v>2</v>
      </c>
      <c r="C4" s="6">
        <v>-325.52199999999999</v>
      </c>
      <c r="D4" s="21">
        <v>-10271.3550097185</v>
      </c>
    </row>
    <row r="5" spans="1:4" x14ac:dyDescent="0.35">
      <c r="A5" t="s">
        <v>15</v>
      </c>
      <c r="B5">
        <v>3</v>
      </c>
      <c r="C5" s="6">
        <v>-24.228999999999999</v>
      </c>
      <c r="D5" s="21">
        <v>-927.65046610283002</v>
      </c>
    </row>
    <row r="6" spans="1:4" x14ac:dyDescent="0.35">
      <c r="A6" t="s">
        <v>16</v>
      </c>
      <c r="B6">
        <v>7</v>
      </c>
      <c r="C6" s="6">
        <v>22.006038420699198</v>
      </c>
      <c r="D6" s="21">
        <v>5511.21922614491</v>
      </c>
    </row>
    <row r="7" spans="1:4" x14ac:dyDescent="0.35">
      <c r="A7" t="s">
        <v>17</v>
      </c>
      <c r="B7">
        <v>15</v>
      </c>
      <c r="C7" s="6">
        <v>679.64</v>
      </c>
      <c r="D7" s="21">
        <v>15626.31</v>
      </c>
    </row>
    <row r="8" spans="1:4" x14ac:dyDescent="0.35">
      <c r="A8" t="s">
        <v>18</v>
      </c>
      <c r="B8">
        <v>16</v>
      </c>
      <c r="C8" s="6">
        <v>547.645126</v>
      </c>
      <c r="D8" s="21">
        <v>10000</v>
      </c>
    </row>
    <row r="9" spans="1:4" x14ac:dyDescent="0.35">
      <c r="A9" t="s">
        <v>18</v>
      </c>
      <c r="B9">
        <v>17</v>
      </c>
      <c r="C9" s="6">
        <v>1010.611</v>
      </c>
      <c r="D9" s="21">
        <v>19999.990000000002</v>
      </c>
    </row>
    <row r="10" spans="1:4" x14ac:dyDescent="0.35">
      <c r="A10" t="s">
        <v>19</v>
      </c>
      <c r="B10">
        <v>108</v>
      </c>
      <c r="C10" s="6">
        <v>0.53749999999999998</v>
      </c>
      <c r="D10" s="21">
        <v>1000</v>
      </c>
    </row>
    <row r="11" spans="1:4" x14ac:dyDescent="0.35">
      <c r="D11" s="22">
        <f>SUM(D2:D10)</f>
        <v>42938.50375032358</v>
      </c>
    </row>
    <row r="13" spans="1:4" x14ac:dyDescent="0.35">
      <c r="B13">
        <v>27</v>
      </c>
    </row>
    <row r="14" spans="1:4" x14ac:dyDescent="0.35">
      <c r="A14" t="s">
        <v>13</v>
      </c>
      <c r="C14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EA1D-6BC1-4561-91C8-DA45EBB01657}">
  <dimension ref="A1:T18"/>
  <sheetViews>
    <sheetView tabSelected="1" zoomScale="115" zoomScaleNormal="115" workbookViewId="0">
      <pane xSplit="3" ySplit="1" topLeftCell="I5" activePane="bottomRight" state="frozen"/>
      <selection pane="topRight" activeCell="D1" sqref="D1"/>
      <selection pane="bottomLeft" activeCell="A2" sqref="A2"/>
      <selection pane="bottomRight" activeCell="R5" sqref="R5"/>
    </sheetView>
  </sheetViews>
  <sheetFormatPr defaultRowHeight="14.5" x14ac:dyDescent="0.35"/>
  <cols>
    <col min="1" max="1" width="4.7265625" customWidth="1"/>
    <col min="2" max="2" width="5.1796875" bestFit="1" customWidth="1"/>
    <col min="3" max="3" width="4.90625" customWidth="1"/>
    <col min="4" max="4" width="11.36328125" customWidth="1"/>
    <col min="5" max="5" width="11.81640625" customWidth="1"/>
    <col min="6" max="6" width="11" bestFit="1" customWidth="1"/>
    <col min="7" max="7" width="8.81640625" customWidth="1"/>
    <col min="8" max="8" width="9.1796875" bestFit="1" customWidth="1"/>
    <col min="9" max="9" width="9.26953125" bestFit="1" customWidth="1"/>
    <col min="10" max="10" width="9.54296875" bestFit="1" customWidth="1"/>
    <col min="11" max="11" width="8.81640625" bestFit="1" customWidth="1"/>
    <col min="12" max="12" width="9.54296875" bestFit="1" customWidth="1"/>
    <col min="13" max="13" width="8.81640625" customWidth="1"/>
    <col min="14" max="14" width="9.453125" bestFit="1" customWidth="1"/>
    <col min="15" max="15" width="10.453125" customWidth="1"/>
    <col min="16" max="17" width="12.08984375" bestFit="1" customWidth="1"/>
    <col min="18" max="18" width="12" bestFit="1" customWidth="1"/>
    <col min="19" max="19" width="12.08984375" bestFit="1" customWidth="1"/>
    <col min="20" max="20" width="11.90625" bestFit="1" customWidth="1"/>
  </cols>
  <sheetData>
    <row r="1" spans="1:20" ht="31.5" customHeight="1" x14ac:dyDescent="0.35">
      <c r="A1" s="40" t="s">
        <v>5</v>
      </c>
      <c r="B1" s="41" t="s">
        <v>4</v>
      </c>
      <c r="C1" s="40" t="s">
        <v>26</v>
      </c>
      <c r="D1" s="40" t="s">
        <v>27</v>
      </c>
      <c r="E1" s="42" t="s">
        <v>28</v>
      </c>
      <c r="F1" s="40" t="s">
        <v>29</v>
      </c>
      <c r="G1" s="7" t="s">
        <v>22</v>
      </c>
      <c r="H1" s="7" t="s">
        <v>30</v>
      </c>
      <c r="I1" s="41" t="s">
        <v>7</v>
      </c>
      <c r="J1" s="43" t="s">
        <v>31</v>
      </c>
      <c r="K1" s="40" t="s">
        <v>32</v>
      </c>
      <c r="L1" s="40" t="s">
        <v>33</v>
      </c>
      <c r="M1" s="40" t="s">
        <v>34</v>
      </c>
      <c r="N1" s="40" t="s">
        <v>35</v>
      </c>
      <c r="O1" s="40" t="s">
        <v>36</v>
      </c>
      <c r="P1" s="37" t="s">
        <v>37</v>
      </c>
      <c r="Q1" s="40" t="s">
        <v>38</v>
      </c>
      <c r="R1" s="40" t="s">
        <v>39</v>
      </c>
      <c r="S1" s="40" t="s">
        <v>40</v>
      </c>
      <c r="T1" s="40" t="s">
        <v>41</v>
      </c>
    </row>
    <row r="2" spans="1:20" x14ac:dyDescent="0.35">
      <c r="A2" s="44" t="s">
        <v>46</v>
      </c>
      <c r="B2" s="44">
        <v>1</v>
      </c>
      <c r="C2" s="44">
        <v>1</v>
      </c>
      <c r="D2" s="44" t="s">
        <v>47</v>
      </c>
      <c r="E2" s="45">
        <v>41172</v>
      </c>
      <c r="F2" s="45">
        <v>41172</v>
      </c>
      <c r="G2" s="46">
        <v>30.719859180024699</v>
      </c>
      <c r="H2" s="47">
        <v>30.719859180024699</v>
      </c>
      <c r="I2" s="48">
        <v>325.52199999999999</v>
      </c>
      <c r="J2" s="55">
        <v>325.52199999999999</v>
      </c>
      <c r="K2" s="48"/>
      <c r="L2" s="48">
        <f>L3</f>
        <v>325.52199999999999</v>
      </c>
      <c r="M2" s="48">
        <f>J2/I2*L2</f>
        <v>325.52199999999999</v>
      </c>
      <c r="N2" s="49">
        <f>I2-(L2+K2)</f>
        <v>0</v>
      </c>
      <c r="O2" s="49">
        <f>J2/I2*N2</f>
        <v>0</v>
      </c>
      <c r="P2" s="50">
        <f>H2*M2</f>
        <v>9999.99</v>
      </c>
      <c r="Q2" s="47">
        <f>O2*H2</f>
        <v>0</v>
      </c>
      <c r="R2" s="47">
        <f>SUM(P3)-P2</f>
        <v>1062.3521872841011</v>
      </c>
      <c r="S2" s="47">
        <f>N2*G$13-Q2</f>
        <v>0</v>
      </c>
      <c r="T2" s="47">
        <f>R2+S2</f>
        <v>1062.3521872841011</v>
      </c>
    </row>
    <row r="3" spans="1:20" x14ac:dyDescent="0.35">
      <c r="A3" s="51" t="s">
        <v>44</v>
      </c>
      <c r="B3" s="52">
        <v>4</v>
      </c>
      <c r="C3" s="51"/>
      <c r="D3" s="51"/>
      <c r="E3" s="53">
        <v>41438</v>
      </c>
      <c r="F3" s="56"/>
      <c r="G3" s="57">
        <v>33.983393402854801</v>
      </c>
      <c r="H3" s="54"/>
      <c r="I3" s="62">
        <v>1415.5820000000001</v>
      </c>
      <c r="J3" s="63"/>
      <c r="K3" s="54"/>
      <c r="L3" s="54">
        <f>I2</f>
        <v>325.52199999999999</v>
      </c>
      <c r="M3" s="54"/>
      <c r="N3" s="54"/>
      <c r="O3" s="54"/>
      <c r="P3" s="54">
        <f>L3*G3</f>
        <v>11062.342187284101</v>
      </c>
      <c r="Q3" s="54"/>
      <c r="R3" s="57">
        <f>P3-P2/L2*L3</f>
        <v>1062.3521872841011</v>
      </c>
      <c r="S3" s="54"/>
      <c r="T3" s="54"/>
    </row>
    <row r="4" spans="1:20" x14ac:dyDescent="0.35">
      <c r="A4" s="44" t="s">
        <v>46</v>
      </c>
      <c r="B4" s="44">
        <v>2</v>
      </c>
      <c r="C4" s="44">
        <v>2</v>
      </c>
      <c r="D4" s="44" t="s">
        <v>47</v>
      </c>
      <c r="E4" s="45">
        <v>41187</v>
      </c>
      <c r="F4" s="45">
        <v>41187</v>
      </c>
      <c r="G4" s="46">
        <v>31.5534895021488</v>
      </c>
      <c r="H4" s="47">
        <v>31.5534895021488</v>
      </c>
      <c r="I4" s="48">
        <v>1267.6880000000001</v>
      </c>
      <c r="J4" s="55">
        <v>1267.6880000000001</v>
      </c>
      <c r="K4" s="48"/>
      <c r="L4" s="48">
        <f>SUM(L5:L6)</f>
        <v>1267.6880000000001</v>
      </c>
      <c r="M4" s="48">
        <f>J4/I4*L4</f>
        <v>1267.6880000000001</v>
      </c>
      <c r="N4" s="49">
        <f>I4-L4</f>
        <v>0</v>
      </c>
      <c r="O4" s="49">
        <f>J4/I4*N4</f>
        <v>0</v>
      </c>
      <c r="P4" s="50">
        <f>H4*M4</f>
        <v>39999.98000000001</v>
      </c>
      <c r="Q4" s="47">
        <f>O4*H4</f>
        <v>0</v>
      </c>
      <c r="R4" s="47">
        <f>SUM(P5:P6)-P4</f>
        <v>3064.9073523338811</v>
      </c>
      <c r="S4" s="47">
        <f>N4*G$13-Q4</f>
        <v>0</v>
      </c>
      <c r="T4" s="47">
        <f>R4+S4</f>
        <v>3064.9073523338811</v>
      </c>
    </row>
    <row r="5" spans="1:20" x14ac:dyDescent="0.35">
      <c r="A5" s="51" t="s">
        <v>44</v>
      </c>
      <c r="B5" s="52">
        <v>4</v>
      </c>
      <c r="C5" s="51"/>
      <c r="D5" s="51"/>
      <c r="E5" s="53">
        <v>41438</v>
      </c>
      <c r="F5" s="56"/>
      <c r="G5" s="57">
        <v>33.983393402854801</v>
      </c>
      <c r="H5" s="54"/>
      <c r="I5" s="62">
        <v>1415.5820000000001</v>
      </c>
      <c r="J5" s="63"/>
      <c r="K5" s="54">
        <f>L3</f>
        <v>325.52199999999999</v>
      </c>
      <c r="L5" s="54">
        <f>I5-K5</f>
        <v>1090.0600000000002</v>
      </c>
      <c r="M5" s="54"/>
      <c r="N5" s="54"/>
      <c r="O5" s="54"/>
      <c r="P5" s="54">
        <f>L5*G5</f>
        <v>37043.937812715914</v>
      </c>
      <c r="Q5" s="54"/>
      <c r="R5" s="57">
        <f>P5-P4/L4*L5</f>
        <v>2648.7410460035899</v>
      </c>
      <c r="S5" s="54"/>
      <c r="T5" s="54"/>
    </row>
    <row r="6" spans="1:20" x14ac:dyDescent="0.35">
      <c r="A6" s="51" t="s">
        <v>44</v>
      </c>
      <c r="B6" s="52">
        <v>5</v>
      </c>
      <c r="C6" s="51"/>
      <c r="D6" s="51"/>
      <c r="E6" s="53">
        <v>41492.000694444447</v>
      </c>
      <c r="F6" s="56"/>
      <c r="G6" s="57">
        <v>33.896398876404497</v>
      </c>
      <c r="H6" s="54"/>
      <c r="I6" s="62">
        <v>178</v>
      </c>
      <c r="J6" s="63"/>
      <c r="K6" s="54"/>
      <c r="L6" s="54">
        <f>I4-L5</f>
        <v>177.62799999999993</v>
      </c>
      <c r="M6" s="54"/>
      <c r="N6" s="54"/>
      <c r="O6" s="54"/>
      <c r="P6" s="54">
        <f>L6*G6</f>
        <v>6020.9495396179755</v>
      </c>
      <c r="Q6" s="54"/>
      <c r="R6" s="57">
        <f>P6-P4/L4*L6</f>
        <v>416.16630633029035</v>
      </c>
      <c r="S6" s="54"/>
      <c r="T6" s="54"/>
    </row>
    <row r="7" spans="1:20" x14ac:dyDescent="0.35">
      <c r="A7" s="44" t="s">
        <v>46</v>
      </c>
      <c r="B7" s="44">
        <v>3</v>
      </c>
      <c r="C7" s="44">
        <v>3</v>
      </c>
      <c r="D7" s="44" t="s">
        <v>47</v>
      </c>
      <c r="E7" s="45">
        <v>41410</v>
      </c>
      <c r="F7" s="45">
        <v>41410</v>
      </c>
      <c r="G7" s="46">
        <v>38.286783032846202</v>
      </c>
      <c r="H7" s="47">
        <v>38.286783032846202</v>
      </c>
      <c r="I7" s="48">
        <v>522.37400000000002</v>
      </c>
      <c r="J7" s="55">
        <v>522.37400000000002</v>
      </c>
      <c r="K7" s="48"/>
      <c r="L7" s="48">
        <f>SUM(L8:L9)</f>
        <v>522.37400000000002</v>
      </c>
      <c r="M7" s="48">
        <f>J7/I7*L7</f>
        <v>522.37400000000002</v>
      </c>
      <c r="N7" s="49">
        <f>I7-L7</f>
        <v>0</v>
      </c>
      <c r="O7" s="49">
        <f>J7/I7*N7</f>
        <v>0</v>
      </c>
      <c r="P7" s="50">
        <f>H7*M7</f>
        <v>20000.020000000004</v>
      </c>
      <c r="Q7" s="47">
        <f>O7*H7</f>
        <v>0</v>
      </c>
      <c r="R7" s="47">
        <f>SUM(P8:P9)-P7</f>
        <v>-3037.8505396179899</v>
      </c>
      <c r="S7" s="47">
        <f>N7*G$13-Q7</f>
        <v>0</v>
      </c>
      <c r="T7" s="47">
        <f>R7+S7</f>
        <v>-3037.8505396179899</v>
      </c>
    </row>
    <row r="8" spans="1:20" x14ac:dyDescent="0.35">
      <c r="A8" s="51" t="s">
        <v>44</v>
      </c>
      <c r="B8" s="52">
        <v>5</v>
      </c>
      <c r="C8" s="51"/>
      <c r="D8" s="51"/>
      <c r="E8" s="53">
        <v>41492.000694444447</v>
      </c>
      <c r="F8" s="56"/>
      <c r="G8" s="57">
        <v>33.896398876404497</v>
      </c>
      <c r="H8" s="54"/>
      <c r="I8" s="62">
        <v>178</v>
      </c>
      <c r="J8" s="63"/>
      <c r="K8" s="54">
        <f>L6</f>
        <v>177.62799999999993</v>
      </c>
      <c r="L8" s="54">
        <f>I8-K8</f>
        <v>0.37200000000007094</v>
      </c>
      <c r="M8" s="54"/>
      <c r="N8" s="54"/>
      <c r="O8" s="54"/>
      <c r="P8" s="54">
        <f>L8*G8</f>
        <v>12.609460382024878</v>
      </c>
      <c r="Q8" s="54"/>
      <c r="R8" s="57">
        <f>P8-P7/L7*L8</f>
        <v>-1.6332229061966252</v>
      </c>
      <c r="S8" s="54"/>
      <c r="T8" s="54"/>
    </row>
    <row r="9" spans="1:20" x14ac:dyDescent="0.35">
      <c r="A9" s="51" t="s">
        <v>44</v>
      </c>
      <c r="B9" s="52">
        <v>6</v>
      </c>
      <c r="C9" s="51"/>
      <c r="D9" s="51"/>
      <c r="E9" s="53">
        <v>41506</v>
      </c>
      <c r="F9" s="56"/>
      <c r="G9" s="57">
        <v>32.470297048670297</v>
      </c>
      <c r="H9" s="54"/>
      <c r="I9" s="62">
        <v>522.00199999999995</v>
      </c>
      <c r="J9" s="63"/>
      <c r="K9" s="54"/>
      <c r="L9" s="54">
        <f>I7-L8</f>
        <v>522.00199999999995</v>
      </c>
      <c r="M9" s="54"/>
      <c r="N9" s="54"/>
      <c r="O9" s="54"/>
      <c r="P9" s="54">
        <f>L9*G9</f>
        <v>16949.55999999999</v>
      </c>
      <c r="Q9" s="54"/>
      <c r="R9" s="57">
        <f>P9-P7/L7*L9</f>
        <v>-3036.2173167117908</v>
      </c>
      <c r="S9" s="54"/>
      <c r="T9" s="54"/>
    </row>
    <row r="10" spans="1:20" x14ac:dyDescent="0.35">
      <c r="A10" s="44" t="s">
        <v>42</v>
      </c>
      <c r="B10" s="44">
        <v>41</v>
      </c>
      <c r="C10" s="44">
        <v>7</v>
      </c>
      <c r="D10" s="44" t="s">
        <v>48</v>
      </c>
      <c r="E10" s="45">
        <v>42047.000011574077</v>
      </c>
      <c r="F10" s="45">
        <v>41492.001388888886</v>
      </c>
      <c r="G10" s="46">
        <v>39.4291363665061</v>
      </c>
      <c r="H10" s="47">
        <v>250.44122530300501</v>
      </c>
      <c r="I10" s="48">
        <v>174.22900000000001</v>
      </c>
      <c r="J10" s="55">
        <v>15</v>
      </c>
      <c r="K10" s="48">
        <f>SUM(K11:K12)</f>
        <v>150</v>
      </c>
      <c r="L10" s="48">
        <f>SUM(L11:L12)</f>
        <v>24.228999999999999</v>
      </c>
      <c r="M10" s="48">
        <f>J10/I10*L10</f>
        <v>2.0859615793008053</v>
      </c>
      <c r="N10" s="49">
        <f>I10-L10-K10</f>
        <v>0</v>
      </c>
      <c r="O10" s="49">
        <f>J10/I10*N10</f>
        <v>0</v>
      </c>
      <c r="P10" s="50">
        <f>H10*M10</f>
        <v>522.41077385508515</v>
      </c>
      <c r="Q10" s="47">
        <f>O10*H10</f>
        <v>0</v>
      </c>
      <c r="R10" s="47">
        <f>SUM(P11:P12)-P10</f>
        <v>507.7042535969149</v>
      </c>
      <c r="S10" s="47">
        <f>N10*G$13-Q10</f>
        <v>0</v>
      </c>
      <c r="T10" s="47">
        <f>R10+S10</f>
        <v>507.7042535969149</v>
      </c>
    </row>
    <row r="11" spans="1:20" x14ac:dyDescent="0.35">
      <c r="A11" s="51" t="s">
        <v>43</v>
      </c>
      <c r="B11" s="52">
        <v>95</v>
      </c>
      <c r="C11" s="51"/>
      <c r="D11" s="51"/>
      <c r="E11" s="53">
        <v>42207.759375000001</v>
      </c>
      <c r="F11" s="51"/>
      <c r="G11" s="57">
        <v>39.577666666666701</v>
      </c>
      <c r="H11" s="54"/>
      <c r="I11" s="62">
        <v>150</v>
      </c>
      <c r="J11" s="63"/>
      <c r="K11" s="54">
        <f>I11</f>
        <v>150</v>
      </c>
      <c r="L11" s="54">
        <v>0</v>
      </c>
      <c r="M11" s="54"/>
      <c r="N11" s="54"/>
      <c r="O11" s="54"/>
      <c r="P11" s="54">
        <f>L11*G11</f>
        <v>0</v>
      </c>
      <c r="Q11" s="54"/>
      <c r="R11" s="57">
        <f>P11-P10/L10*L11</f>
        <v>0</v>
      </c>
      <c r="S11" s="54"/>
      <c r="T11" s="54"/>
    </row>
    <row r="12" spans="1:20" x14ac:dyDescent="0.35">
      <c r="A12" s="51" t="s">
        <v>44</v>
      </c>
      <c r="B12" s="52">
        <v>187</v>
      </c>
      <c r="C12" s="51"/>
      <c r="D12" s="51"/>
      <c r="E12" s="53">
        <v>44176.609131944446</v>
      </c>
      <c r="F12" s="51"/>
      <c r="G12" s="57">
        <v>42.515788000000001</v>
      </c>
      <c r="H12" s="54"/>
      <c r="I12" s="62">
        <v>24.228999999999999</v>
      </c>
      <c r="J12" s="63"/>
      <c r="K12" s="54"/>
      <c r="L12" s="54">
        <f>I12</f>
        <v>24.228999999999999</v>
      </c>
      <c r="M12" s="54"/>
      <c r="N12" s="54"/>
      <c r="O12" s="54"/>
      <c r="P12" s="54">
        <f>L12*G12</f>
        <v>1030.115027452</v>
      </c>
      <c r="Q12" s="54"/>
      <c r="R12" s="57">
        <f>P12-P10/L10*L12</f>
        <v>507.7042535969149</v>
      </c>
      <c r="S12" s="54"/>
      <c r="T12" s="54"/>
    </row>
    <row r="13" spans="1:20" s="39" customFormat="1" x14ac:dyDescent="0.35">
      <c r="A13" s="58"/>
      <c r="B13" s="58"/>
      <c r="C13" s="58"/>
      <c r="D13" s="59" t="s">
        <v>45</v>
      </c>
      <c r="E13" s="58"/>
      <c r="F13" s="58"/>
      <c r="G13" s="60">
        <v>0</v>
      </c>
      <c r="H13" s="58"/>
      <c r="I13" s="58"/>
      <c r="J13" s="58"/>
      <c r="K13" s="58"/>
      <c r="L13" s="58"/>
      <c r="M13" s="58"/>
      <c r="N13" s="61">
        <f>SUM(N2:N12)</f>
        <v>0</v>
      </c>
      <c r="O13" s="61"/>
      <c r="P13" s="58"/>
      <c r="Q13" s="60">
        <f>SUM(Q2:Q12)</f>
        <v>0</v>
      </c>
      <c r="R13" s="60">
        <f>SUM(R2:R12)</f>
        <v>3194.2265071938173</v>
      </c>
      <c r="S13" s="60">
        <f>SUM(S2:S12)</f>
        <v>0</v>
      </c>
      <c r="T13" s="60">
        <f>SUM(T2:T12)</f>
        <v>1597.1132535969073</v>
      </c>
    </row>
    <row r="14" spans="1:20" ht="15" thickBot="1" x14ac:dyDescent="0.4">
      <c r="J14" s="39"/>
      <c r="K14" s="39"/>
      <c r="R14" s="39"/>
    </row>
    <row r="15" spans="1:20" x14ac:dyDescent="0.35">
      <c r="A15" s="64" t="s">
        <v>44</v>
      </c>
      <c r="B15" s="65">
        <v>4</v>
      </c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6"/>
      <c r="Q15" s="65"/>
      <c r="R15" s="67">
        <f>+R3+R5</f>
        <v>3711.093233287691</v>
      </c>
    </row>
    <row r="16" spans="1:20" x14ac:dyDescent="0.35">
      <c r="A16" s="68" t="s">
        <v>44</v>
      </c>
      <c r="B16">
        <v>5</v>
      </c>
      <c r="P16" s="69"/>
      <c r="R16" s="70">
        <f>R6+R8</f>
        <v>414.53308342409372</v>
      </c>
    </row>
    <row r="17" spans="1:18" x14ac:dyDescent="0.35">
      <c r="A17" s="68" t="s">
        <v>44</v>
      </c>
      <c r="B17">
        <v>6</v>
      </c>
      <c r="R17" s="70">
        <f>R9</f>
        <v>-3036.2173167117908</v>
      </c>
    </row>
    <row r="18" spans="1:18" ht="15" thickBot="1" x14ac:dyDescent="0.4">
      <c r="A18" s="71" t="s">
        <v>44</v>
      </c>
      <c r="B18" s="72">
        <v>187</v>
      </c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3">
        <f>R12</f>
        <v>507.7042535969149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Movs</vt:lpstr>
      <vt:lpstr>Sheet1</vt:lpstr>
      <vt:lpstr>Sheet2</vt:lpstr>
      <vt:lpstr>Orig Vendes Reals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2021-05-06T11:19:57Z</dcterms:created>
  <dcterms:modified xsi:type="dcterms:W3CDTF">2024-09-21T06:28:54Z</dcterms:modified>
</cp:coreProperties>
</file>