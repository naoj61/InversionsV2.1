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positoris\C#\_Actiu\InversionsV2\Docs\"/>
    </mc:Choice>
  </mc:AlternateContent>
  <xr:revisionPtr revIDLastSave="0" documentId="13_ncr:1_{E473414D-EF7D-451B-8114-CB519B7886FE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Movs" sheetId="3" r:id="rId1"/>
    <sheet name="Orig Vendes Reals" sheetId="4" r:id="rId2"/>
  </sheets>
  <calcPr calcId="191029"/>
</workbook>
</file>

<file path=xl/calcChain.xml><?xml version="1.0" encoding="utf-8"?>
<calcChain xmlns="http://schemas.openxmlformats.org/spreadsheetml/2006/main">
  <c r="R3" i="4" l="1"/>
  <c r="J2" i="3"/>
  <c r="L3" i="4" l="1"/>
  <c r="K2" i="4"/>
  <c r="P3" i="4" l="1"/>
  <c r="L2" i="4" l="1"/>
  <c r="H2" i="3"/>
  <c r="H3" i="3" l="1"/>
  <c r="N2" i="4"/>
  <c r="M2" i="4" l="1"/>
  <c r="P2" i="4" s="1"/>
  <c r="R2" i="4" s="1"/>
  <c r="O2" i="4"/>
  <c r="Q2" i="4" s="1"/>
  <c r="S2" i="4" s="1"/>
  <c r="T2" i="4" l="1"/>
</calcChain>
</file>

<file path=xl/sharedStrings.xml><?xml version="1.0" encoding="utf-8"?>
<sst xmlns="http://schemas.openxmlformats.org/spreadsheetml/2006/main" count="35" uniqueCount="31">
  <si>
    <t>Traspàs C</t>
  </si>
  <si>
    <t>Id</t>
  </si>
  <si>
    <t>Mov</t>
  </si>
  <si>
    <t>Data</t>
  </si>
  <si>
    <t>Parts</t>
  </si>
  <si>
    <t>Brut</t>
  </si>
  <si>
    <t>PU</t>
  </si>
  <si>
    <t>Saldo parts</t>
  </si>
  <si>
    <t>Id Orig</t>
  </si>
  <si>
    <t>Nom Fons Orig</t>
  </si>
  <si>
    <t>Data Compra Venda</t>
  </si>
  <si>
    <t>Data Orig Compra</t>
  </si>
  <si>
    <t>PU Orig</t>
  </si>
  <si>
    <t>Parts Orig</t>
  </si>
  <si>
    <t>Parts Util</t>
  </si>
  <si>
    <t>Parts Orig Ut</t>
  </si>
  <si>
    <t>Parts en cartera</t>
  </si>
  <si>
    <t>Parts orig en cartera</t>
  </si>
  <si>
    <t>Import Orig venda real</t>
  </si>
  <si>
    <t>Import Orig en cartera</t>
  </si>
  <si>
    <t>Pig Origen venda real</t>
  </si>
  <si>
    <t>PiG Origen en cartera</t>
  </si>
  <si>
    <t>PiG Total</t>
  </si>
  <si>
    <t>CT</t>
  </si>
  <si>
    <t>PiG</t>
  </si>
  <si>
    <t>V</t>
  </si>
  <si>
    <t>Venda</t>
  </si>
  <si>
    <t>Cartera</t>
  </si>
  <si>
    <t>Parts VT o Ocup</t>
  </si>
  <si>
    <t>Imp. Vendes</t>
  </si>
  <si>
    <t>American Extended Alpha R USD 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</si>
</sst>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€&quot;;[Red]\-#,##0.00\ &quot;€&quot;"/>
    <numFmt numFmtId="164" formatCode="0.000"/>
    <numFmt numFmtId="165" formatCode="#,##0.000"/>
    <numFmt numFmtId="166" formatCode="#,##0.000\ &quot;€&quot;;[Red]\-#,##0.000\ &quot;€&quot;"/>
    <numFmt numFmtId="167" formatCode="#,##0.000\ &quot;€&quot;"/>
    <numFmt numFmtId="168" formatCode="#,##0.00\ &quot;€&quot;"/>
    <numFmt numFmtId="169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/>
    </xf>
    <xf numFmtId="8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8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0" xfId="0" applyFill="1"/>
    <xf numFmtId="14" fontId="0" fillId="2" borderId="0" xfId="0" applyNumberFormat="1" applyFill="1"/>
    <xf numFmtId="166" fontId="0" fillId="2" borderId="0" xfId="0" applyNumberFormat="1" applyFill="1" applyAlignment="1">
      <alignment vertical="center" wrapText="1"/>
    </xf>
    <xf numFmtId="167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168" fontId="0" fillId="2" borderId="0" xfId="0" applyNumberFormat="1" applyFill="1"/>
    <xf numFmtId="0" fontId="0" fillId="3" borderId="0" xfId="0" applyFill="1"/>
    <xf numFmtId="14" fontId="0" fillId="3" borderId="0" xfId="0" applyNumberFormat="1" applyFill="1"/>
    <xf numFmtId="165" fontId="0" fillId="2" borderId="1" xfId="0" applyNumberFormat="1" applyFill="1" applyBorder="1"/>
    <xf numFmtId="166" fontId="0" fillId="3" borderId="0" xfId="0" applyNumberFormat="1" applyFill="1" applyAlignment="1">
      <alignment vertical="center" wrapText="1"/>
    </xf>
    <xf numFmtId="167" fontId="0" fillId="3" borderId="0" xfId="0" applyNumberFormat="1" applyFill="1"/>
    <xf numFmtId="164" fontId="0" fillId="3" borderId="0" xfId="0" applyNumberFormat="1" applyFill="1"/>
    <xf numFmtId="165" fontId="0" fillId="3" borderId="1" xfId="0" applyNumberFormat="1" applyFill="1" applyBorder="1"/>
    <xf numFmtId="165" fontId="0" fillId="3" borderId="0" xfId="0" applyNumberFormat="1" applyFill="1"/>
    <xf numFmtId="168" fontId="0" fillId="3" borderId="0" xfId="0" applyNumberFormat="1" applyFill="1"/>
    <xf numFmtId="169" fontId="0" fillId="0" borderId="0" xfId="0" applyNumberFormat="1"/>
    <xf numFmtId="0" fontId="1" fillId="0" borderId="2" xfId="0" applyFont="1" applyBorder="1" applyAlignment="1">
      <alignment horizontal="center" vertical="center"/>
    </xf>
    <xf numFmtId="164" fontId="0" fillId="2" borderId="3" xfId="0" applyNumberFormat="1" applyFill="1" applyBorder="1"/>
    <xf numFmtId="164" fontId="0" fillId="3" borderId="3" xfId="0" applyNumberFormat="1" applyFill="1" applyBorder="1"/>
    <xf numFmtId="8" fontId="1" fillId="0" borderId="0" xfId="0" applyNumberFormat="1" applyFont="1" applyAlignment="1">
      <alignment vertical="center" wrapText="1"/>
    </xf>
    <xf numFmtId="0" fontId="1" fillId="0" borderId="0" xfId="0" applyFont="1"/>
    <xf numFmtId="164" fontId="1" fillId="0" borderId="0" xfId="0" applyNumberFormat="1" applyFont="1"/>
    <xf numFmtId="167" fontId="0" fillId="3" borderId="0" xfId="0" applyNumberForma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DABC-72FD-4B7B-9322-0520F4E0EAB0}">
  <dimension ref="A1:J5"/>
  <sheetViews>
    <sheetView zoomScale="130" zoomScaleNormal="130" workbookViewId="0">
      <selection activeCell="J3" sqref="J3"/>
    </sheetView>
  </sheetViews>
  <sheetFormatPr defaultRowHeight="14.5" x14ac:dyDescent="0.35"/>
  <cols>
    <col min="1" max="1" width="4.81640625" bestFit="1" customWidth="1"/>
    <col min="2" max="2" width="8.81640625" bestFit="1" customWidth="1"/>
    <col min="3" max="3" width="10.7265625" bestFit="1" customWidth="1"/>
    <col min="6" max="6" width="11.1796875" customWidth="1"/>
    <col min="7" max="7" width="3.36328125" customWidth="1"/>
    <col min="9" max="9" width="10.6328125" bestFit="1" customWidth="1"/>
    <col min="10" max="10" width="11.26953125" bestFit="1" customWidth="1"/>
  </cols>
  <sheetData>
    <row r="1" spans="1:10" ht="29" x14ac:dyDescent="0.35">
      <c r="A1" s="3" t="s">
        <v>1</v>
      </c>
      <c r="C1" s="3" t="s">
        <v>3</v>
      </c>
      <c r="D1" s="3" t="s">
        <v>4</v>
      </c>
      <c r="E1" s="3" t="s">
        <v>6</v>
      </c>
      <c r="F1" s="3" t="s">
        <v>5</v>
      </c>
      <c r="H1" s="8" t="s">
        <v>7</v>
      </c>
      <c r="I1" s="8" t="s">
        <v>29</v>
      </c>
      <c r="J1" s="8" t="s">
        <v>24</v>
      </c>
    </row>
    <row r="2" spans="1:10" x14ac:dyDescent="0.35">
      <c r="A2" s="5">
        <v>34</v>
      </c>
      <c r="B2" s="5" t="s">
        <v>0</v>
      </c>
      <c r="C2" s="6">
        <v>41385</v>
      </c>
      <c r="D2" s="5">
        <v>394.85</v>
      </c>
      <c r="E2" s="7">
        <v>26.2791</v>
      </c>
      <c r="F2" s="7">
        <v>10376.299999999999</v>
      </c>
      <c r="H2">
        <f>D2</f>
        <v>394.85</v>
      </c>
      <c r="I2" s="4"/>
      <c r="J2" s="4">
        <f>F3-F2</f>
        <v>-659.43999999999869</v>
      </c>
    </row>
    <row r="3" spans="1:10" x14ac:dyDescent="0.35">
      <c r="A3" s="5">
        <v>42</v>
      </c>
      <c r="B3" s="5" t="s">
        <v>26</v>
      </c>
      <c r="C3" s="6">
        <v>41436</v>
      </c>
      <c r="D3" s="5">
        <v>394.85</v>
      </c>
      <c r="E3" s="7">
        <v>24.609000000000002</v>
      </c>
      <c r="F3" s="7">
        <v>9716.86</v>
      </c>
      <c r="H3" s="1">
        <f>H2-D3</f>
        <v>0</v>
      </c>
    </row>
    <row r="4" spans="1:10" x14ac:dyDescent="0.35">
      <c r="B4" s="5" t="s">
        <v>27</v>
      </c>
      <c r="D4" s="5">
        <v>0</v>
      </c>
    </row>
    <row r="5" spans="1:10" x14ac:dyDescent="0.35">
      <c r="D5" s="29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EA1D-6BC1-4561-91C8-DA45EBB01657}">
  <dimension ref="A1:T5"/>
  <sheetViews>
    <sheetView tabSelected="1" zoomScale="115" zoomScaleNormal="115" workbookViewId="0">
      <pane xSplit="3" ySplit="1" topLeftCell="K2" activePane="bottomRight" state="frozen"/>
      <selection pane="topRight" activeCell="D1" sqref="D1"/>
      <selection pane="bottomLeft" activeCell="A2" sqref="A2"/>
      <selection pane="bottomRight" activeCell="R3" sqref="R3"/>
    </sheetView>
  </sheetViews>
  <sheetFormatPr defaultRowHeight="14.5" x14ac:dyDescent="0.35"/>
  <cols>
    <col min="1" max="1" width="4.7265625" customWidth="1"/>
    <col min="2" max="2" width="5.1796875" bestFit="1" customWidth="1"/>
    <col min="3" max="3" width="4.90625" customWidth="1"/>
    <col min="4" max="4" width="11.36328125" customWidth="1"/>
    <col min="5" max="5" width="11.81640625" customWidth="1"/>
    <col min="6" max="6" width="11" bestFit="1" customWidth="1"/>
    <col min="7" max="7" width="12.453125" bestFit="1" customWidth="1"/>
    <col min="8" max="8" width="9.1796875" bestFit="1" customWidth="1"/>
    <col min="9" max="9" width="9.26953125" bestFit="1" customWidth="1"/>
    <col min="10" max="10" width="9.54296875" bestFit="1" customWidth="1"/>
    <col min="11" max="11" width="8.81640625" customWidth="1"/>
    <col min="12" max="12" width="9.54296875" bestFit="1" customWidth="1"/>
    <col min="13" max="13" width="8.81640625" customWidth="1"/>
    <col min="14" max="14" width="9.453125" bestFit="1" customWidth="1"/>
    <col min="15" max="15" width="10.453125" customWidth="1"/>
    <col min="16" max="17" width="12.08984375" bestFit="1" customWidth="1"/>
    <col min="18" max="18" width="12.54296875" bestFit="1" customWidth="1"/>
    <col min="19" max="19" width="12.08984375" bestFit="1" customWidth="1"/>
    <col min="20" max="20" width="11.90625" bestFit="1" customWidth="1"/>
  </cols>
  <sheetData>
    <row r="1" spans="1:20" ht="31.5" customHeight="1" x14ac:dyDescent="0.35">
      <c r="A1" s="9" t="s">
        <v>2</v>
      </c>
      <c r="B1" s="10" t="s">
        <v>1</v>
      </c>
      <c r="C1" s="9" t="s">
        <v>8</v>
      </c>
      <c r="D1" s="9" t="s">
        <v>9</v>
      </c>
      <c r="E1" s="11" t="s">
        <v>10</v>
      </c>
      <c r="F1" s="9" t="s">
        <v>11</v>
      </c>
      <c r="G1" s="3" t="s">
        <v>6</v>
      </c>
      <c r="H1" s="3" t="s">
        <v>12</v>
      </c>
      <c r="I1" s="30" t="s">
        <v>4</v>
      </c>
      <c r="J1" s="12" t="s">
        <v>13</v>
      </c>
      <c r="K1" s="9" t="s">
        <v>28</v>
      </c>
      <c r="L1" s="9" t="s">
        <v>14</v>
      </c>
      <c r="M1" s="9" t="s">
        <v>15</v>
      </c>
      <c r="N1" s="9" t="s">
        <v>16</v>
      </c>
      <c r="O1" s="9" t="s">
        <v>17</v>
      </c>
      <c r="P1" s="8" t="s">
        <v>18</v>
      </c>
      <c r="Q1" s="9" t="s">
        <v>19</v>
      </c>
      <c r="R1" s="9" t="s">
        <v>20</v>
      </c>
      <c r="S1" s="9" t="s">
        <v>21</v>
      </c>
      <c r="T1" s="9" t="s">
        <v>22</v>
      </c>
    </row>
    <row r="2" spans="1:20" x14ac:dyDescent="0.35">
      <c r="A2" s="13" t="s">
        <v>23</v>
      </c>
      <c r="B2" s="13">
        <v>34</v>
      </c>
      <c r="C2" s="13">
        <v>32</v>
      </c>
      <c r="D2" s="13" t="s">
        <v>30</v>
      </c>
      <c r="E2" s="14">
        <v>41385.001388888886</v>
      </c>
      <c r="F2" s="14">
        <v>41166.001388888886</v>
      </c>
      <c r="G2" s="15">
        <v>26.279093326579702</v>
      </c>
      <c r="H2" s="16">
        <v>1.9974000000000001</v>
      </c>
      <c r="I2" s="31">
        <v>394.85</v>
      </c>
      <c r="J2" s="22">
        <v>5006.5078999999996</v>
      </c>
      <c r="K2" s="17">
        <f>K3</f>
        <v>0</v>
      </c>
      <c r="L2" s="17">
        <f>SUM(L3)</f>
        <v>394.85</v>
      </c>
      <c r="M2" s="17">
        <f>J2/I2*L2</f>
        <v>5006.5078999999996</v>
      </c>
      <c r="N2" s="18">
        <f>I2-(L2+K2)</f>
        <v>0</v>
      </c>
      <c r="O2" s="18">
        <f>J2/I2*N2</f>
        <v>0</v>
      </c>
      <c r="P2" s="19">
        <f>H2*M2</f>
        <v>9999.9988794599994</v>
      </c>
      <c r="Q2" s="16">
        <f>O2*H2</f>
        <v>0</v>
      </c>
      <c r="R2" s="16">
        <f>SUM(P3)-P2</f>
        <v>-283.13487945998349</v>
      </c>
      <c r="S2" s="16">
        <f>N2*G$4-Q2</f>
        <v>0</v>
      </c>
      <c r="T2" s="16">
        <f>R2+S2</f>
        <v>-283.13487945998349</v>
      </c>
    </row>
    <row r="3" spans="1:20" x14ac:dyDescent="0.35">
      <c r="A3" s="20" t="s">
        <v>25</v>
      </c>
      <c r="B3" s="20">
        <v>42</v>
      </c>
      <c r="C3" s="20"/>
      <c r="D3" s="20"/>
      <c r="E3" s="21">
        <v>41436.001388888886</v>
      </c>
      <c r="F3" s="21"/>
      <c r="G3" s="23">
        <v>24.609000886412598</v>
      </c>
      <c r="H3" s="24"/>
      <c r="I3" s="32">
        <v>394.85</v>
      </c>
      <c r="J3" s="26"/>
      <c r="K3" s="25"/>
      <c r="L3" s="25">
        <f>I2</f>
        <v>394.85</v>
      </c>
      <c r="M3" s="25"/>
      <c r="N3" s="27"/>
      <c r="O3" s="27"/>
      <c r="P3" s="28">
        <f>L3*G3</f>
        <v>9716.8640000000159</v>
      </c>
      <c r="Q3" s="24"/>
      <c r="R3" s="36">
        <f>P3-P2/L2*L3</f>
        <v>-283.13487945998349</v>
      </c>
      <c r="S3" s="24"/>
      <c r="T3" s="24"/>
    </row>
    <row r="4" spans="1:20" x14ac:dyDescent="0.35">
      <c r="A4" s="34" t="s">
        <v>27</v>
      </c>
      <c r="G4" s="33">
        <v>0</v>
      </c>
      <c r="K4" s="2"/>
      <c r="N4" s="35">
        <v>0</v>
      </c>
    </row>
    <row r="5" spans="1:20" x14ac:dyDescent="0.35">
      <c r="I5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Movs</vt:lpstr>
      <vt:lpstr>Orig Vendes Reals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joanp</dc:creator>
  <cp:lastModifiedBy>joanp</cp:lastModifiedBy>
  <dcterms:created xsi:type="dcterms:W3CDTF">2021-05-06T11:19:57Z</dcterms:created>
  <dcterms:modified xsi:type="dcterms:W3CDTF">2024-09-21T07:37:10Z</dcterms:modified>
</cp:coreProperties>
</file>