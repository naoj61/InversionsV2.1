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059A7A15-7354-491D-93EB-DF4567525010}" xr6:coauthVersionLast="47" xr6:coauthVersionMax="47" xr10:uidLastSave="{00000000-0000-0000-0000-000000000000}"/>
  <bookViews>
    <workbookView xWindow="22932" yWindow="0" windowWidth="23256" windowHeight="12576" xr2:uid="{67C9267C-8DE9-4BF2-8230-BF48900302D9}"/>
  </bookViews>
  <sheets>
    <sheet name="Sheet1" sheetId="1" r:id="rId1"/>
    <sheet name="Sheet2" sheetId="2" r:id="rId2"/>
    <sheet name="Orig Vendes Reals" sheetId="3" r:id="rId3"/>
    <sheet name="Orig Vendes Reals Nou Ordr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4" l="1"/>
  <c r="R2" i="4"/>
  <c r="Q4" i="4"/>
  <c r="Q2" i="4"/>
  <c r="P2" i="4"/>
  <c r="O2" i="4"/>
  <c r="L2" i="4"/>
  <c r="K2" i="4"/>
  <c r="J2" i="4"/>
  <c r="I5" i="4"/>
  <c r="I7" i="4" s="1"/>
  <c r="K7" i="4" s="1"/>
  <c r="L38" i="4"/>
  <c r="K38" i="4"/>
  <c r="L37" i="4"/>
  <c r="K37" i="4"/>
  <c r="O36" i="4"/>
  <c r="Q36" i="4" s="1"/>
  <c r="L36" i="4"/>
  <c r="P36" i="4" s="1"/>
  <c r="K36" i="4"/>
  <c r="S35" i="4"/>
  <c r="I35" i="4"/>
  <c r="J35" i="4" s="1"/>
  <c r="H24" i="4"/>
  <c r="H27" i="4" s="1"/>
  <c r="G24" i="4"/>
  <c r="Q15" i="4"/>
  <c r="O15" i="4"/>
  <c r="L15" i="4"/>
  <c r="P15" i="4" s="1"/>
  <c r="R15" i="4" s="1"/>
  <c r="K15" i="4"/>
  <c r="L14" i="4"/>
  <c r="K14" i="4"/>
  <c r="O13" i="4"/>
  <c r="Q13" i="4" s="1"/>
  <c r="L13" i="4"/>
  <c r="P13" i="4" s="1"/>
  <c r="R13" i="4" s="1"/>
  <c r="K13" i="4"/>
  <c r="L12" i="4"/>
  <c r="K12" i="4"/>
  <c r="L11" i="4"/>
  <c r="K11" i="4"/>
  <c r="O10" i="4"/>
  <c r="Q10" i="4" s="1"/>
  <c r="L10" i="4"/>
  <c r="P10" i="4" s="1"/>
  <c r="K10" i="4"/>
  <c r="R10" i="4" s="1"/>
  <c r="L9" i="4"/>
  <c r="K9" i="4"/>
  <c r="O8" i="4"/>
  <c r="L8" i="4"/>
  <c r="P8" i="4" s="1"/>
  <c r="K8" i="4"/>
  <c r="S7" i="4"/>
  <c r="L6" i="4"/>
  <c r="K6" i="4"/>
  <c r="I3" i="4"/>
  <c r="I2" i="4" s="1"/>
  <c r="S2" i="4"/>
  <c r="I4" i="4" l="1"/>
  <c r="R36" i="4"/>
  <c r="K35" i="4"/>
  <c r="R8" i="4"/>
  <c r="R16" i="4" s="1"/>
  <c r="O35" i="4"/>
  <c r="Q35" i="4" s="1"/>
  <c r="L35" i="4"/>
  <c r="P35" i="4" s="1"/>
  <c r="J7" i="4"/>
  <c r="T4" i="4" l="1"/>
  <c r="U5" i="4" s="1"/>
  <c r="K4" i="4"/>
  <c r="L4" i="4" s="1"/>
  <c r="P4" i="4" s="1"/>
  <c r="S4" i="4"/>
  <c r="J4" i="4"/>
  <c r="O4" i="4" s="1"/>
  <c r="Q8" i="4"/>
  <c r="L7" i="4"/>
  <c r="P7" i="4" s="1"/>
  <c r="O7" i="4"/>
  <c r="Q7" i="4" s="1"/>
  <c r="O15" i="3"/>
  <c r="Q15" i="3" s="1"/>
  <c r="O13" i="3"/>
  <c r="Q13" i="3" s="1"/>
  <c r="O10" i="3"/>
  <c r="Q10" i="3" s="1"/>
  <c r="O6" i="3"/>
  <c r="Q6" i="3" s="1"/>
  <c r="K7" i="3"/>
  <c r="L7" i="3"/>
  <c r="K8" i="3"/>
  <c r="L8" i="3"/>
  <c r="K9" i="3"/>
  <c r="L9" i="3"/>
  <c r="K10" i="3"/>
  <c r="L10" i="3"/>
  <c r="P10" i="3" s="1"/>
  <c r="K11" i="3"/>
  <c r="L11" i="3"/>
  <c r="K12" i="3"/>
  <c r="L12" i="3"/>
  <c r="K13" i="3"/>
  <c r="L13" i="3"/>
  <c r="P13" i="3" s="1"/>
  <c r="K14" i="3"/>
  <c r="L14" i="3"/>
  <c r="K15" i="3"/>
  <c r="L15" i="3"/>
  <c r="P15" i="3" s="1"/>
  <c r="L6" i="3"/>
  <c r="P6" i="3" s="1"/>
  <c r="K6" i="3"/>
  <c r="S2" i="3"/>
  <c r="S4" i="3"/>
  <c r="I3" i="3"/>
  <c r="I2" i="3" s="1"/>
  <c r="K2" i="3" s="1"/>
  <c r="I5" i="3"/>
  <c r="I4" i="3" s="1"/>
  <c r="K4" i="3" s="1"/>
  <c r="H24" i="3"/>
  <c r="G24" i="3"/>
  <c r="H2" i="1"/>
  <c r="J11" i="1"/>
  <c r="K4" i="1"/>
  <c r="K5" i="1"/>
  <c r="K6" i="1"/>
  <c r="K7" i="1"/>
  <c r="K3" i="1"/>
  <c r="K2" i="1"/>
  <c r="I4" i="1"/>
  <c r="I5" i="1"/>
  <c r="I6" i="1"/>
  <c r="I7" i="1"/>
  <c r="I8" i="1"/>
  <c r="K8" i="1" s="1"/>
  <c r="I3" i="1"/>
  <c r="I2" i="1"/>
  <c r="J2" i="1"/>
  <c r="H9" i="1"/>
  <c r="H3" i="1"/>
  <c r="H4" i="1"/>
  <c r="H5" i="1"/>
  <c r="H6" i="1"/>
  <c r="H7" i="1"/>
  <c r="H8" i="1"/>
  <c r="G2" i="1"/>
  <c r="G3" i="1" s="1"/>
  <c r="G4" i="1" s="1"/>
  <c r="G5" i="1" s="1"/>
  <c r="G6" i="1" s="1"/>
  <c r="G7" i="1" s="1"/>
  <c r="G8" i="1" s="1"/>
  <c r="G9" i="1" s="1"/>
  <c r="D10" i="1" s="1"/>
  <c r="R10" i="3" l="1"/>
  <c r="R13" i="3"/>
  <c r="R15" i="3"/>
  <c r="R6" i="3"/>
  <c r="K11" i="1"/>
  <c r="K12" i="1" s="1"/>
  <c r="J4" i="3"/>
  <c r="H27" i="3"/>
  <c r="J2" i="3"/>
  <c r="H10" i="1"/>
  <c r="R16" i="3" l="1"/>
  <c r="L4" i="3"/>
  <c r="P4" i="3" s="1"/>
  <c r="O4" i="3"/>
  <c r="Q4" i="3" s="1"/>
  <c r="O2" i="3"/>
  <c r="Q2" i="3" s="1"/>
  <c r="L2" i="3"/>
  <c r="P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joanp</author>
  </authors>
  <commentList>
    <comment ref="Q2" authorId="0" shapeId="0" xr:uid="{9A1E5F51-DF95-436D-9D00-96B469684644}">
      <text>
        <r>
          <rPr>
            <b/>
            <sz val="9"/>
            <color indexed="81"/>
            <rFont val="Tahoma"/>
            <family val="2"/>
          </rPr>
          <t>Ha de ser: 1,836,64€
Segons SelfBank</t>
        </r>
      </text>
    </comment>
    <comment ref="Q4" authorId="0" shapeId="0" xr:uid="{58BF279D-6CE1-4B45-A693-17D2141C3F05}">
      <text>
        <r>
          <rPr>
            <b/>
            <sz val="9"/>
            <color indexed="81"/>
            <rFont val="Tahoma"/>
            <family val="2"/>
          </rPr>
          <t>Ha de ser: 1,836,64€
Segons SelfBank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joanp</author>
  </authors>
  <commentList>
    <comment ref="Q2" authorId="0" shapeId="0" xr:uid="{F6A50562-AD83-4E47-9B1F-F9A50D0391B3}">
      <text>
        <r>
          <rPr>
            <b/>
            <sz val="9"/>
            <color indexed="81"/>
            <rFont val="Tahoma"/>
            <family val="2"/>
          </rPr>
          <t>Ha de ser: 1,836,64€
Segons SelfBank</t>
        </r>
      </text>
    </comment>
    <comment ref="Q4" authorId="0" shapeId="0" xr:uid="{77BC1215-5948-44D1-BB30-5599AA2F7A61}">
      <text>
        <r>
          <rPr>
            <b/>
            <sz val="9"/>
            <color indexed="81"/>
            <rFont val="Tahoma"/>
            <family val="2"/>
          </rPr>
          <t>Ha de ser: 1,836,64€
Segons SelfBank</t>
        </r>
      </text>
    </comment>
    <comment ref="Q7" authorId="0" shapeId="0" xr:uid="{750614EB-B30D-4D9F-9B7B-CF256E9A34A1}">
      <text>
        <r>
          <rPr>
            <b/>
            <sz val="9"/>
            <color indexed="81"/>
            <rFont val="Tahoma"/>
            <family val="2"/>
          </rPr>
          <t>Ha de ser: 1,836,64€
Segons SelfBank</t>
        </r>
      </text>
    </comment>
    <comment ref="Q35" authorId="0" shapeId="0" xr:uid="{954B9F36-6C47-4D1B-B6C8-91690C83AA3D}">
      <text>
        <r>
          <rPr>
            <b/>
            <sz val="9"/>
            <color indexed="81"/>
            <rFont val="Tahoma"/>
            <family val="2"/>
          </rPr>
          <t>Ha de ser: 1,836,64€
Segons SelfBank</t>
        </r>
      </text>
    </comment>
  </commentList>
</comments>
</file>

<file path=xl/sharedStrings.xml><?xml version="1.0" encoding="utf-8"?>
<sst xmlns="http://schemas.openxmlformats.org/spreadsheetml/2006/main" count="154" uniqueCount="50">
  <si>
    <t>Traspàs C</t>
  </si>
  <si>
    <t>Venda</t>
  </si>
  <si>
    <t>Parts</t>
  </si>
  <si>
    <t>PU</t>
  </si>
  <si>
    <t>Bolsa Tecnología y Telecom</t>
  </si>
  <si>
    <t>Total Return N Acc €-H1</t>
  </si>
  <si>
    <t xml:space="preserve">    14/9/2012</t>
  </si>
  <si>
    <t xml:space="preserve">    Total Return N Acc €-H1</t>
  </si>
  <si>
    <t xml:space="preserve">    13/4/2013</t>
  </si>
  <si>
    <t xml:space="preserve">    Total Return N Acc €-H1     </t>
  </si>
  <si>
    <t xml:space="preserve">Total Return N Acc €-H1     </t>
  </si>
  <si>
    <t>Amb venda</t>
  </si>
  <si>
    <t>Id Orig</t>
  </si>
  <si>
    <t>Id</t>
  </si>
  <si>
    <t>Fons Orig</t>
  </si>
  <si>
    <t>Data Orig Compra</t>
  </si>
  <si>
    <t>Data Compra</t>
  </si>
  <si>
    <t>Parts Util</t>
  </si>
  <si>
    <t>Pig Origen</t>
  </si>
  <si>
    <t>PiG</t>
  </si>
  <si>
    <t>Valor Act.</t>
  </si>
  <si>
    <t>Cartera</t>
  </si>
  <si>
    <t>PiG Cartera</t>
  </si>
  <si>
    <t>Part cartera</t>
  </si>
  <si>
    <t>PiG en cartera</t>
  </si>
  <si>
    <t>Parts Orig</t>
  </si>
  <si>
    <t>Parts Orig Ut</t>
  </si>
  <si>
    <t>Parts en cartera</t>
  </si>
  <si>
    <t>Parts orig en cartera</t>
  </si>
  <si>
    <t>PiG Orig en cartera</t>
  </si>
  <si>
    <t>PU Orig</t>
  </si>
  <si>
    <t>Import Orig venda real</t>
  </si>
  <si>
    <t>Pig Origen venda real</t>
  </si>
  <si>
    <t>Nom Fons Orig</t>
  </si>
  <si>
    <t>Bolsa Tecnología y Telecomunicaciones FI</t>
  </si>
  <si>
    <t>Optimal Income A-H Grs Acc Hdg EUR</t>
  </si>
  <si>
    <t>Biotechnology C USD Acc</t>
  </si>
  <si>
    <t>European Growth N Acc ?</t>
  </si>
  <si>
    <t>Trea Renta Fija Ahorro S FI</t>
  </si>
  <si>
    <t>Data Compra Venda</t>
  </si>
  <si>
    <t>Import Orig en cartera</t>
  </si>
  <si>
    <t>Data compra</t>
  </si>
  <si>
    <t>Import</t>
  </si>
  <si>
    <t>Data venda</t>
  </si>
  <si>
    <t>Venda 1278 segons SelfBank</t>
  </si>
  <si>
    <t>Total</t>
  </si>
  <si>
    <t>Mov</t>
  </si>
  <si>
    <t>CT</t>
  </si>
  <si>
    <t>V</t>
  </si>
  <si>
    <t>Pig SelfBank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</si>
</sst>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€&quot;;[Red]\-#,##0.00\ &quot;€&quot;"/>
    <numFmt numFmtId="164" formatCode="#,##0.000\ &quot;€&quot;;[Red]\-#,##0.000\ &quot;€&quot;"/>
    <numFmt numFmtId="165" formatCode="#,##0.000"/>
    <numFmt numFmtId="166" formatCode="#,##0.000\ &quot;€&quot;"/>
    <numFmt numFmtId="167" formatCode="#,##0.00\ &quot;€&quot;"/>
    <numFmt numFmtId="168" formatCode="#,##0.0000"/>
    <numFmt numFmtId="169" formatCode="#,##0.0000\ &quot;€&quot;"/>
    <numFmt numFmtId="170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8" fontId="0" fillId="0" borderId="0" xfId="0" applyNumberFormat="1"/>
    <xf numFmtId="8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8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 wrapText="1"/>
    </xf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/>
    </xf>
    <xf numFmtId="0" fontId="0" fillId="3" borderId="0" xfId="0" applyFill="1"/>
    <xf numFmtId="1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0" fillId="2" borderId="0" xfId="0" applyFill="1"/>
    <xf numFmtId="1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6" fontId="1" fillId="0" borderId="0" xfId="0" applyNumberFormat="1" applyFont="1"/>
    <xf numFmtId="167" fontId="0" fillId="0" borderId="0" xfId="0" applyNumberFormat="1"/>
    <xf numFmtId="14" fontId="1" fillId="0" borderId="1" xfId="0" applyNumberFormat="1" applyFont="1" applyBorder="1"/>
    <xf numFmtId="165" fontId="0" fillId="0" borderId="2" xfId="0" applyNumberFormat="1" applyBorder="1"/>
    <xf numFmtId="165" fontId="0" fillId="0" borderId="3" xfId="0" applyNumberFormat="1" applyBorder="1"/>
    <xf numFmtId="14" fontId="1" fillId="0" borderId="4" xfId="0" applyNumberFormat="1" applyFont="1" applyBorder="1"/>
    <xf numFmtId="165" fontId="1" fillId="0" borderId="0" xfId="0" applyNumberFormat="1" applyFont="1"/>
    <xf numFmtId="14" fontId="0" fillId="0" borderId="4" xfId="0" applyNumberFormat="1" applyBorder="1"/>
    <xf numFmtId="167" fontId="0" fillId="0" borderId="5" xfId="0" applyNumberFormat="1" applyBorder="1"/>
    <xf numFmtId="167" fontId="1" fillId="0" borderId="5" xfId="0" applyNumberFormat="1" applyFont="1" applyBorder="1"/>
    <xf numFmtId="14" fontId="0" fillId="0" borderId="6" xfId="0" applyNumberFormat="1" applyBorder="1"/>
    <xf numFmtId="165" fontId="1" fillId="0" borderId="7" xfId="0" applyNumberFormat="1" applyFont="1" applyBorder="1" applyAlignment="1">
      <alignment horizontal="right"/>
    </xf>
    <xf numFmtId="167" fontId="1" fillId="0" borderId="8" xfId="0" applyNumberFormat="1" applyFont="1" applyBorder="1"/>
    <xf numFmtId="165" fontId="1" fillId="0" borderId="0" xfId="0" applyNumberFormat="1" applyFont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68" fontId="0" fillId="3" borderId="0" xfId="0" applyNumberFormat="1" applyFill="1"/>
    <xf numFmtId="168" fontId="0" fillId="2" borderId="0" xfId="0" applyNumberFormat="1" applyFill="1"/>
    <xf numFmtId="168" fontId="1" fillId="0" borderId="0" xfId="0" applyNumberFormat="1" applyFont="1" applyAlignment="1">
      <alignment horizontal="center" vertical="center"/>
    </xf>
    <xf numFmtId="168" fontId="0" fillId="0" borderId="0" xfId="0" applyNumberFormat="1"/>
    <xf numFmtId="169" fontId="0" fillId="0" borderId="0" xfId="0" applyNumberFormat="1"/>
    <xf numFmtId="0" fontId="0" fillId="4" borderId="0" xfId="0" applyFill="1"/>
    <xf numFmtId="14" fontId="0" fillId="4" borderId="0" xfId="0" applyNumberFormat="1" applyFill="1"/>
    <xf numFmtId="168" fontId="0" fillId="4" borderId="0" xfId="0" applyNumberFormat="1" applyFill="1"/>
    <xf numFmtId="165" fontId="0" fillId="4" borderId="0" xfId="0" applyNumberFormat="1" applyFill="1"/>
    <xf numFmtId="166" fontId="0" fillId="4" borderId="0" xfId="0" applyNumberFormat="1" applyFill="1"/>
    <xf numFmtId="169" fontId="0" fillId="4" borderId="0" xfId="0" applyNumberFormat="1" applyFill="1"/>
    <xf numFmtId="17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2929-4B06-4139-B4E9-4C5E94C8598C}">
  <dimension ref="A1:K12"/>
  <sheetViews>
    <sheetView tabSelected="1" zoomScale="160" zoomScaleNormal="160" workbookViewId="0">
      <pane ySplit="1" topLeftCell="A2" activePane="bottomLeft" state="frozen"/>
      <selection pane="bottomLeft" activeCell="K2" sqref="K2:K8"/>
    </sheetView>
  </sheetViews>
  <sheetFormatPr defaultRowHeight="14.5" x14ac:dyDescent="0.35"/>
  <cols>
    <col min="1" max="1" width="4.90625" bestFit="1" customWidth="1"/>
    <col min="3" max="3" width="10.81640625" bestFit="1" customWidth="1"/>
    <col min="4" max="4" width="8" customWidth="1"/>
    <col min="6" max="6" width="1.7265625" customWidth="1"/>
    <col min="8" max="8" width="11.1796875" bestFit="1" customWidth="1"/>
    <col min="9" max="9" width="10.1796875" customWidth="1"/>
    <col min="10" max="10" width="10.08984375" bestFit="1" customWidth="1"/>
    <col min="11" max="11" width="10.36328125" bestFit="1" customWidth="1"/>
  </cols>
  <sheetData>
    <row r="1" spans="1:11" x14ac:dyDescent="0.35">
      <c r="D1" s="55" t="s">
        <v>2</v>
      </c>
      <c r="E1" s="55" t="s">
        <v>3</v>
      </c>
      <c r="F1" s="55"/>
      <c r="G1" s="55"/>
      <c r="H1" s="55"/>
      <c r="I1" s="55" t="s">
        <v>23</v>
      </c>
      <c r="J1" s="55" t="s">
        <v>19</v>
      </c>
      <c r="K1" s="55" t="s">
        <v>22</v>
      </c>
    </row>
    <row r="2" spans="1:11" x14ac:dyDescent="0.35">
      <c r="A2" s="1">
        <v>197</v>
      </c>
      <c r="B2" s="6" t="s">
        <v>0</v>
      </c>
      <c r="C2" s="3">
        <v>44473</v>
      </c>
      <c r="D2" s="1">
        <v>24.54</v>
      </c>
      <c r="E2" s="5">
        <v>435.1019</v>
      </c>
      <c r="G2">
        <f>D2</f>
        <v>24.54</v>
      </c>
      <c r="H2" s="4">
        <f>-D2*E2</f>
        <v>-10677.400625999999</v>
      </c>
      <c r="I2" s="10">
        <f>D2-D9</f>
        <v>5.9039999999999999</v>
      </c>
      <c r="J2" s="4">
        <f>(E9-E2)*D9</f>
        <v>421.92276719999984</v>
      </c>
      <c r="K2" s="10">
        <f>(E$10-E2)*I2</f>
        <v>147.88398239999987</v>
      </c>
    </row>
    <row r="3" spans="1:11" x14ac:dyDescent="0.35">
      <c r="A3" s="1">
        <v>203</v>
      </c>
      <c r="B3" s="6" t="s">
        <v>0</v>
      </c>
      <c r="C3" s="3">
        <v>44496</v>
      </c>
      <c r="D3" s="1">
        <v>34.723999999999997</v>
      </c>
      <c r="E3" s="5">
        <v>434.9468</v>
      </c>
      <c r="G3">
        <f>G2+D3</f>
        <v>59.263999999999996</v>
      </c>
      <c r="H3" s="4">
        <f t="shared" ref="H3:H8" si="0">-D3*E3</f>
        <v>-15103.092683199999</v>
      </c>
      <c r="I3" s="10">
        <f>D3</f>
        <v>34.723999999999997</v>
      </c>
      <c r="K3" s="10">
        <f>(E$10-E3)*I3</f>
        <v>875.15591679999932</v>
      </c>
    </row>
    <row r="4" spans="1:11" x14ac:dyDescent="0.35">
      <c r="A4" s="1">
        <v>205</v>
      </c>
      <c r="B4" s="6" t="s">
        <v>0</v>
      </c>
      <c r="C4" s="3">
        <v>44524</v>
      </c>
      <c r="D4" s="1">
        <v>46.265999999999998</v>
      </c>
      <c r="E4" s="5">
        <v>434.7577</v>
      </c>
      <c r="G4">
        <f t="shared" ref="G4:G8" si="1">G3+D4</f>
        <v>105.53</v>
      </c>
      <c r="H4" s="4">
        <f t="shared" si="0"/>
        <v>-20114.4997482</v>
      </c>
      <c r="I4" s="10">
        <f t="shared" ref="I4:I8" si="2">D4</f>
        <v>46.265999999999998</v>
      </c>
      <c r="K4" s="10">
        <f t="shared" ref="K4:K8" si="3">(E$10-E4)*I4</f>
        <v>1174.800151799999</v>
      </c>
    </row>
    <row r="5" spans="1:11" x14ac:dyDescent="0.35">
      <c r="A5" s="1">
        <v>217</v>
      </c>
      <c r="B5" s="6" t="s">
        <v>0</v>
      </c>
      <c r="C5" s="3">
        <v>44725</v>
      </c>
      <c r="D5" s="1">
        <v>23.23</v>
      </c>
      <c r="E5" s="5">
        <v>433.28309999999999</v>
      </c>
      <c r="G5">
        <f t="shared" si="1"/>
        <v>128.76</v>
      </c>
      <c r="H5" s="4">
        <f t="shared" si="0"/>
        <v>-10065.166413000001</v>
      </c>
      <c r="I5" s="10">
        <f t="shared" si="2"/>
        <v>23.23</v>
      </c>
      <c r="K5" s="10">
        <f t="shared" si="3"/>
        <v>624.11808699999972</v>
      </c>
    </row>
    <row r="6" spans="1:11" x14ac:dyDescent="0.35">
      <c r="A6" s="1">
        <v>1235</v>
      </c>
      <c r="B6" s="6" t="s">
        <v>0</v>
      </c>
      <c r="C6" s="3">
        <v>44893</v>
      </c>
      <c r="D6" s="1">
        <v>21.81</v>
      </c>
      <c r="E6" s="5">
        <v>433.51990000000001</v>
      </c>
      <c r="G6">
        <f t="shared" si="1"/>
        <v>150.57</v>
      </c>
      <c r="H6" s="4">
        <f t="shared" si="0"/>
        <v>-9455.0690190000005</v>
      </c>
      <c r="I6" s="10">
        <f t="shared" si="2"/>
        <v>21.81</v>
      </c>
      <c r="K6" s="10">
        <f t="shared" si="3"/>
        <v>580.80248099999937</v>
      </c>
    </row>
    <row r="7" spans="1:11" x14ac:dyDescent="0.35">
      <c r="A7" s="1">
        <v>1239</v>
      </c>
      <c r="B7" s="6" t="s">
        <v>0</v>
      </c>
      <c r="C7" s="3">
        <v>44893</v>
      </c>
      <c r="D7" s="1">
        <v>18.635999999999999</v>
      </c>
      <c r="E7" s="5">
        <v>433.5419</v>
      </c>
      <c r="G7">
        <f t="shared" si="1"/>
        <v>169.20599999999999</v>
      </c>
      <c r="H7" s="4">
        <f t="shared" si="0"/>
        <v>-8079.4868483999999</v>
      </c>
      <c r="I7" s="10">
        <f t="shared" si="2"/>
        <v>18.635999999999999</v>
      </c>
      <c r="K7" s="10">
        <f t="shared" si="3"/>
        <v>495.86855159999959</v>
      </c>
    </row>
    <row r="8" spans="1:11" x14ac:dyDescent="0.35">
      <c r="A8" s="1">
        <v>1241</v>
      </c>
      <c r="B8" s="6" t="s">
        <v>0</v>
      </c>
      <c r="C8" s="3">
        <v>44939</v>
      </c>
      <c r="D8" s="1">
        <v>5.8719999999999999</v>
      </c>
      <c r="E8" s="5">
        <v>434.45089999999999</v>
      </c>
      <c r="G8">
        <f t="shared" si="1"/>
        <v>175.07799999999997</v>
      </c>
      <c r="H8" s="4">
        <f t="shared" si="0"/>
        <v>-2551.0956848000001</v>
      </c>
      <c r="I8" s="10">
        <f t="shared" si="2"/>
        <v>5.8719999999999999</v>
      </c>
      <c r="K8" s="10">
        <f t="shared" si="3"/>
        <v>150.90511519999993</v>
      </c>
    </row>
    <row r="9" spans="1:11" x14ac:dyDescent="0.35">
      <c r="A9" s="1">
        <v>1278</v>
      </c>
      <c r="B9" s="6" t="s">
        <v>1</v>
      </c>
      <c r="C9" s="3">
        <v>45495</v>
      </c>
      <c r="D9" s="1">
        <v>18.635999999999999</v>
      </c>
      <c r="E9" s="5">
        <v>457.74209999999999</v>
      </c>
      <c r="G9">
        <f>G8-D9</f>
        <v>156.44199999999998</v>
      </c>
      <c r="H9" s="4">
        <f>D9*E9</f>
        <v>8530.4817755999993</v>
      </c>
      <c r="I9" s="4"/>
    </row>
    <row r="10" spans="1:11" x14ac:dyDescent="0.35">
      <c r="B10" s="6" t="s">
        <v>21</v>
      </c>
      <c r="D10">
        <f>G9</f>
        <v>156.44199999999998</v>
      </c>
      <c r="E10" s="4">
        <v>460.15</v>
      </c>
      <c r="H10" s="4">
        <f>D10*E10</f>
        <v>71986.786299999992</v>
      </c>
      <c r="I10" s="4"/>
    </row>
    <row r="11" spans="1:11" x14ac:dyDescent="0.35">
      <c r="J11" s="4">
        <f>SUM(J2:J9)</f>
        <v>421.92276719999984</v>
      </c>
      <c r="K11" s="4">
        <f>SUM(K2:K9)</f>
        <v>4049.5342857999967</v>
      </c>
    </row>
    <row r="12" spans="1:11" x14ac:dyDescent="0.35">
      <c r="J12" s="8" t="s">
        <v>24</v>
      </c>
      <c r="K12" s="9">
        <f>+J11+K11</f>
        <v>4471.4570529999964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80BC-6F4B-4913-8EC0-1F92D2F558C6}">
  <dimension ref="A1:J24"/>
  <sheetViews>
    <sheetView zoomScale="130" zoomScaleNormal="130" workbookViewId="0">
      <pane ySplit="1" topLeftCell="A2" activePane="bottomLeft" state="frozen"/>
      <selection pane="bottomLeft" activeCell="H2" sqref="H2"/>
    </sheetView>
  </sheetViews>
  <sheetFormatPr defaultRowHeight="14.5" x14ac:dyDescent="0.35"/>
  <cols>
    <col min="1" max="1" width="4.26953125" customWidth="1"/>
    <col min="2" max="2" width="4.81640625" bestFit="1" customWidth="1"/>
    <col min="3" max="3" width="24.81640625" bestFit="1" customWidth="1"/>
    <col min="4" max="4" width="11.26953125" bestFit="1" customWidth="1"/>
    <col min="5" max="5" width="11.90625" bestFit="1" customWidth="1"/>
    <col min="6" max="6" width="10" customWidth="1"/>
    <col min="7" max="7" width="9.26953125" bestFit="1" customWidth="1"/>
    <col min="8" max="8" width="9.6328125" bestFit="1" customWidth="1"/>
    <col min="9" max="9" width="10.26953125" bestFit="1" customWidth="1"/>
    <col min="10" max="10" width="10.6328125" bestFit="1" customWidth="1"/>
  </cols>
  <sheetData>
    <row r="1" spans="1:10" ht="27.5" customHeight="1" x14ac:dyDescent="0.3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2</v>
      </c>
      <c r="G1" s="7" t="s">
        <v>17</v>
      </c>
      <c r="H1" s="7" t="s">
        <v>18</v>
      </c>
      <c r="I1" s="7" t="s">
        <v>19</v>
      </c>
      <c r="J1" s="7" t="s">
        <v>20</v>
      </c>
    </row>
    <row r="2" spans="1:10" x14ac:dyDescent="0.35">
      <c r="A2">
        <v>15</v>
      </c>
      <c r="B2">
        <v>1239</v>
      </c>
      <c r="C2" t="s">
        <v>4</v>
      </c>
      <c r="D2" s="2">
        <v>36841</v>
      </c>
      <c r="E2" s="2">
        <v>44893</v>
      </c>
      <c r="F2">
        <v>18.635999999999999</v>
      </c>
      <c r="G2">
        <v>18.6356</v>
      </c>
      <c r="H2" s="4">
        <v>1171.45</v>
      </c>
      <c r="I2" s="4">
        <v>487.96</v>
      </c>
      <c r="J2" s="4">
        <v>8567.27</v>
      </c>
    </row>
    <row r="3" spans="1:10" x14ac:dyDescent="0.35">
      <c r="A3">
        <v>16</v>
      </c>
      <c r="B3">
        <v>217</v>
      </c>
      <c r="C3" t="s">
        <v>9</v>
      </c>
      <c r="D3" s="2">
        <v>41166</v>
      </c>
      <c r="E3" s="2">
        <v>44725</v>
      </c>
      <c r="F3">
        <v>23.23</v>
      </c>
      <c r="G3">
        <v>23.23</v>
      </c>
      <c r="H3" s="4">
        <v>7893.94</v>
      </c>
      <c r="I3" s="4">
        <v>614.27</v>
      </c>
      <c r="J3" s="4">
        <v>10679.43</v>
      </c>
    </row>
    <row r="4" spans="1:10" x14ac:dyDescent="0.35">
      <c r="A4">
        <v>16</v>
      </c>
      <c r="B4">
        <v>1235</v>
      </c>
      <c r="C4" t="s">
        <v>10</v>
      </c>
      <c r="D4" s="2">
        <v>41166</v>
      </c>
      <c r="E4" s="2">
        <v>44893</v>
      </c>
      <c r="F4">
        <v>21.81</v>
      </c>
      <c r="G4">
        <v>21.81</v>
      </c>
      <c r="H4" s="4">
        <v>7129.27</v>
      </c>
      <c r="I4" s="4">
        <v>571.54999999999995</v>
      </c>
      <c r="J4" s="4">
        <v>10026.620000000001</v>
      </c>
    </row>
    <row r="5" spans="1:10" x14ac:dyDescent="0.35">
      <c r="A5">
        <v>16</v>
      </c>
      <c r="B5">
        <v>1239</v>
      </c>
      <c r="C5" t="s">
        <v>5</v>
      </c>
      <c r="D5" t="s">
        <v>6</v>
      </c>
      <c r="E5" s="2">
        <v>44893</v>
      </c>
      <c r="F5">
        <v>0</v>
      </c>
      <c r="G5">
        <v>4.0000000000000002E-4</v>
      </c>
      <c r="H5" s="4">
        <v>0.13</v>
      </c>
      <c r="I5" s="4">
        <v>0.01</v>
      </c>
      <c r="J5" s="4">
        <v>0.18</v>
      </c>
    </row>
    <row r="6" spans="1:10" x14ac:dyDescent="0.35">
      <c r="A6">
        <v>16</v>
      </c>
      <c r="B6">
        <v>1241</v>
      </c>
      <c r="C6" t="s">
        <v>5</v>
      </c>
      <c r="D6" t="s">
        <v>6</v>
      </c>
      <c r="E6" s="2">
        <v>44939</v>
      </c>
      <c r="F6">
        <v>2.0110000000000001</v>
      </c>
      <c r="G6">
        <v>2.0112999999999999</v>
      </c>
      <c r="H6" s="4">
        <v>651.62</v>
      </c>
      <c r="I6" s="4">
        <v>50.92</v>
      </c>
      <c r="J6" s="4">
        <v>924.73</v>
      </c>
    </row>
    <row r="7" spans="1:10" x14ac:dyDescent="0.35">
      <c r="A7">
        <v>17</v>
      </c>
      <c r="B7">
        <v>197</v>
      </c>
      <c r="C7" t="s">
        <v>7</v>
      </c>
      <c r="D7" t="s">
        <v>8</v>
      </c>
      <c r="E7" s="2">
        <v>44473</v>
      </c>
      <c r="F7">
        <v>24.54</v>
      </c>
      <c r="G7">
        <v>24.54</v>
      </c>
      <c r="H7" s="4">
        <v>6800.54</v>
      </c>
      <c r="I7" s="4">
        <v>605.28</v>
      </c>
      <c r="J7" s="4">
        <v>11282.68</v>
      </c>
    </row>
    <row r="8" spans="1:10" x14ac:dyDescent="0.35">
      <c r="E8" s="2"/>
      <c r="H8" s="4"/>
      <c r="I8" s="4"/>
      <c r="J8" s="4"/>
    </row>
    <row r="9" spans="1:10" x14ac:dyDescent="0.35">
      <c r="A9" t="s">
        <v>11</v>
      </c>
      <c r="E9" s="3">
        <v>45495</v>
      </c>
      <c r="F9" s="1">
        <v>18.635999999999999</v>
      </c>
    </row>
    <row r="10" spans="1:10" x14ac:dyDescent="0.35">
      <c r="A10" s="1">
        <v>16</v>
      </c>
      <c r="B10" s="1">
        <v>217</v>
      </c>
      <c r="C10" s="1" t="s">
        <v>5</v>
      </c>
      <c r="D10" s="3">
        <v>41166</v>
      </c>
      <c r="E10" s="3">
        <v>44725</v>
      </c>
      <c r="F10" s="1">
        <v>23.23</v>
      </c>
      <c r="G10" s="1">
        <v>23.229600000000001</v>
      </c>
      <c r="H10" s="5">
        <v>7896.06</v>
      </c>
      <c r="I10" s="5">
        <v>616.51</v>
      </c>
      <c r="J10" s="5">
        <v>10681.5</v>
      </c>
    </row>
    <row r="11" spans="1:10" x14ac:dyDescent="0.35">
      <c r="A11" s="1">
        <v>16</v>
      </c>
      <c r="B11" s="1">
        <v>1235</v>
      </c>
      <c r="C11" s="1" t="s">
        <v>5</v>
      </c>
      <c r="D11" s="3">
        <v>41166</v>
      </c>
      <c r="E11" s="3">
        <v>44893</v>
      </c>
      <c r="F11" s="1">
        <v>21.81</v>
      </c>
      <c r="G11" s="1">
        <v>21.81</v>
      </c>
      <c r="H11" s="5">
        <v>7131.38</v>
      </c>
      <c r="I11" s="5">
        <v>573.66999999999996</v>
      </c>
      <c r="J11" s="5">
        <v>10028.74</v>
      </c>
    </row>
    <row r="12" spans="1:10" x14ac:dyDescent="0.35">
      <c r="A12" s="1">
        <v>16</v>
      </c>
      <c r="B12" s="1">
        <v>1239</v>
      </c>
      <c r="C12" s="1" t="s">
        <v>5</v>
      </c>
      <c r="D12" s="3">
        <v>41166</v>
      </c>
      <c r="E12" s="3">
        <v>44893</v>
      </c>
      <c r="F12" s="1">
        <v>0</v>
      </c>
      <c r="G12" s="1">
        <v>4.0000000000000002E-4</v>
      </c>
      <c r="H12" s="5">
        <v>0.13</v>
      </c>
      <c r="I12" s="5">
        <v>0.01</v>
      </c>
      <c r="J12" s="5">
        <v>0.18</v>
      </c>
    </row>
    <row r="14" spans="1:10" x14ac:dyDescent="0.35">
      <c r="A14" s="1"/>
      <c r="B14" s="1"/>
      <c r="C14" s="1"/>
      <c r="D14" s="3"/>
      <c r="E14" s="3"/>
      <c r="F14" s="1"/>
      <c r="G14" s="1"/>
      <c r="H14" s="5"/>
      <c r="I14" s="5"/>
      <c r="J14" s="5"/>
    </row>
    <row r="15" spans="1:10" x14ac:dyDescent="0.35">
      <c r="A15" s="1"/>
      <c r="B15" s="1"/>
      <c r="C15" s="1"/>
      <c r="D15" s="3"/>
      <c r="E15" s="3"/>
      <c r="F15" s="1"/>
      <c r="G15" s="1"/>
      <c r="H15" s="5"/>
      <c r="I15" s="5"/>
      <c r="J15" s="5"/>
    </row>
    <row r="16" spans="1:10" x14ac:dyDescent="0.35">
      <c r="A16" s="1"/>
      <c r="B16" s="1"/>
      <c r="C16" s="1"/>
      <c r="D16" s="3"/>
      <c r="E16" s="3"/>
      <c r="F16" s="1"/>
      <c r="G16" s="1"/>
      <c r="H16" s="5"/>
      <c r="I16" s="5"/>
      <c r="J16" s="5"/>
    </row>
    <row r="17" spans="1:10" x14ac:dyDescent="0.35">
      <c r="A17" s="1"/>
      <c r="B17" s="1"/>
      <c r="C17" s="1"/>
      <c r="D17" s="3"/>
      <c r="E17" s="3"/>
      <c r="F17" s="1"/>
      <c r="G17" s="1"/>
      <c r="H17" s="5"/>
      <c r="I17" s="5"/>
      <c r="J17" s="5"/>
    </row>
    <row r="18" spans="1:10" x14ac:dyDescent="0.35">
      <c r="A18" s="1"/>
      <c r="B18" s="1"/>
      <c r="C18" s="1"/>
      <c r="D18" s="3"/>
      <c r="E18" s="3"/>
      <c r="F18" s="1"/>
      <c r="G18" s="1"/>
      <c r="H18" s="5"/>
      <c r="I18" s="5"/>
      <c r="J18" s="5"/>
    </row>
    <row r="19" spans="1:10" x14ac:dyDescent="0.35">
      <c r="A19" s="1"/>
      <c r="B19" s="1"/>
      <c r="C19" s="1"/>
      <c r="D19" s="3"/>
      <c r="E19" s="3"/>
      <c r="F19" s="1"/>
      <c r="G19" s="1"/>
      <c r="H19" s="5"/>
      <c r="I19" s="5"/>
      <c r="J19" s="5"/>
    </row>
    <row r="20" spans="1:10" x14ac:dyDescent="0.35">
      <c r="A20" s="1"/>
      <c r="B20" s="1"/>
      <c r="C20" s="1"/>
      <c r="D20" s="3"/>
      <c r="E20" s="3"/>
      <c r="F20" s="1"/>
      <c r="G20" s="1"/>
      <c r="H20" s="5"/>
      <c r="I20" s="5"/>
      <c r="J20" s="5"/>
    </row>
    <row r="21" spans="1:10" x14ac:dyDescent="0.35">
      <c r="A21" s="1"/>
      <c r="B21" s="1"/>
      <c r="C21" s="1"/>
      <c r="D21" s="3"/>
      <c r="E21" s="3"/>
      <c r="F21" s="1"/>
      <c r="G21" s="1"/>
      <c r="H21" s="5"/>
      <c r="I21" s="5"/>
      <c r="J21" s="5"/>
    </row>
    <row r="22" spans="1:10" x14ac:dyDescent="0.35">
      <c r="A22" s="1"/>
      <c r="B22" s="1"/>
      <c r="C22" s="1"/>
      <c r="D22" s="3"/>
      <c r="E22" s="3"/>
      <c r="F22" s="1"/>
      <c r="G22" s="1"/>
      <c r="H22" s="5"/>
      <c r="I22" s="5"/>
      <c r="J22" s="5"/>
    </row>
    <row r="23" spans="1:10" x14ac:dyDescent="0.35">
      <c r="A23" s="1"/>
      <c r="B23" s="1"/>
      <c r="C23" s="1"/>
      <c r="D23" s="3"/>
      <c r="E23" s="3"/>
      <c r="F23" s="1"/>
      <c r="G23" s="1"/>
      <c r="H23" s="5"/>
      <c r="I23" s="5"/>
      <c r="J23" s="5"/>
    </row>
    <row r="24" spans="1:10" x14ac:dyDescent="0.35">
      <c r="A24" s="1"/>
      <c r="B24" s="1"/>
      <c r="C24" s="1"/>
      <c r="D24" s="3"/>
      <c r="E24" s="3"/>
      <c r="F24" s="1"/>
      <c r="G24" s="1"/>
      <c r="H24" s="5"/>
      <c r="I24" s="5"/>
      <c r="J24" s="5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67BC-D477-473D-98A4-83F12DFA1D93}">
  <dimension ref="A1:T28"/>
  <sheetViews>
    <sheetView topLeftCell="G1" zoomScale="145" zoomScaleNormal="145" workbookViewId="0">
      <pane ySplit="1" topLeftCell="A2" activePane="bottomLeft" state="frozen"/>
      <selection pane="bottomLeft" activeCell="Q17" sqref="Q17"/>
    </sheetView>
  </sheetViews>
  <sheetFormatPr defaultRowHeight="14.5" x14ac:dyDescent="0.35"/>
  <cols>
    <col min="1" max="1" width="4.81640625" bestFit="1" customWidth="1"/>
    <col min="2" max="2" width="5" bestFit="1" customWidth="1"/>
    <col min="3" max="3" width="4.54296875" customWidth="1"/>
    <col min="4" max="4" width="6.81640625" customWidth="1"/>
    <col min="5" max="5" width="11.90625" style="2" bestFit="1" customWidth="1"/>
    <col min="6" max="6" width="11.1796875" style="2" customWidth="1"/>
    <col min="7" max="7" width="9.08984375" style="12" bestFit="1" customWidth="1"/>
    <col min="8" max="8" width="9.6328125" style="12" bestFit="1" customWidth="1"/>
    <col min="9" max="9" width="8.6328125" style="46" bestFit="1" customWidth="1"/>
    <col min="10" max="10" width="7.54296875" style="12" bestFit="1" customWidth="1"/>
    <col min="11" max="11" width="10.7265625" bestFit="1" customWidth="1"/>
    <col min="12" max="12" width="11.36328125" bestFit="1" customWidth="1"/>
    <col min="13" max="13" width="9.08984375" style="13" bestFit="1" customWidth="1"/>
    <col min="14" max="14" width="10.6328125" style="13" bestFit="1" customWidth="1"/>
    <col min="15" max="15" width="11.7265625" bestFit="1" customWidth="1"/>
    <col min="16" max="16" width="10.6328125" customWidth="1"/>
    <col min="17" max="17" width="11.26953125" bestFit="1" customWidth="1"/>
    <col min="18" max="18" width="13.90625" customWidth="1"/>
    <col min="19" max="20" width="10.54296875" bestFit="1" customWidth="1"/>
  </cols>
  <sheetData>
    <row r="1" spans="1:20" ht="29" customHeight="1" x14ac:dyDescent="0.35">
      <c r="A1" s="14" t="s">
        <v>46</v>
      </c>
      <c r="B1" s="14" t="s">
        <v>13</v>
      </c>
      <c r="C1" s="7" t="s">
        <v>12</v>
      </c>
      <c r="D1" s="7" t="s">
        <v>33</v>
      </c>
      <c r="E1" s="15" t="s">
        <v>39</v>
      </c>
      <c r="F1" s="15" t="s">
        <v>15</v>
      </c>
      <c r="G1" s="16" t="s">
        <v>2</v>
      </c>
      <c r="H1" s="17" t="s">
        <v>25</v>
      </c>
      <c r="I1" s="45" t="s">
        <v>17</v>
      </c>
      <c r="J1" s="17" t="s">
        <v>26</v>
      </c>
      <c r="K1" s="7" t="s">
        <v>27</v>
      </c>
      <c r="L1" s="7" t="s">
        <v>28</v>
      </c>
      <c r="M1" s="18" t="s">
        <v>3</v>
      </c>
      <c r="N1" s="18" t="s">
        <v>30</v>
      </c>
      <c r="O1" s="11" t="s">
        <v>31</v>
      </c>
      <c r="P1" s="7" t="s">
        <v>40</v>
      </c>
      <c r="Q1" s="7" t="s">
        <v>32</v>
      </c>
      <c r="R1" s="7" t="s">
        <v>29</v>
      </c>
      <c r="S1" s="7" t="s">
        <v>49</v>
      </c>
    </row>
    <row r="2" spans="1:20" x14ac:dyDescent="0.35">
      <c r="A2" t="s">
        <v>47</v>
      </c>
      <c r="B2" s="19">
        <v>1239</v>
      </c>
      <c r="C2" s="19">
        <v>15</v>
      </c>
      <c r="D2" s="19" t="s">
        <v>34</v>
      </c>
      <c r="E2" s="20">
        <v>44893.572569444441</v>
      </c>
      <c r="F2" s="20">
        <v>36841</v>
      </c>
      <c r="G2" s="43">
        <v>18.6356</v>
      </c>
      <c r="H2" s="21">
        <v>321.66890000000001</v>
      </c>
      <c r="I2" s="43">
        <f>I3</f>
        <v>18.6356</v>
      </c>
      <c r="J2" s="21">
        <f>H2/G2*I2</f>
        <v>321.66890000000001</v>
      </c>
      <c r="K2" s="21">
        <f>G2-I2</f>
        <v>0</v>
      </c>
      <c r="L2" s="21">
        <f>H2-J2</f>
        <v>0</v>
      </c>
      <c r="M2" s="22">
        <v>433.54192724694099</v>
      </c>
      <c r="N2" s="22">
        <v>22.9920399034783</v>
      </c>
      <c r="O2" s="22">
        <f>$N2*J2</f>
        <v>7395.824184507971</v>
      </c>
      <c r="P2" s="22">
        <f>$N2*L2</f>
        <v>0</v>
      </c>
      <c r="Q2" s="22">
        <f>I3*M3-O2</f>
        <v>1134.4744942520292</v>
      </c>
      <c r="R2" s="22"/>
      <c r="S2" s="22">
        <f>S$3/G3*G2</f>
        <v>1836.6005786649498</v>
      </c>
    </row>
    <row r="3" spans="1:20" x14ac:dyDescent="0.35">
      <c r="A3" t="s">
        <v>48</v>
      </c>
      <c r="B3" s="23">
        <v>1278</v>
      </c>
      <c r="C3" s="23"/>
      <c r="D3" s="23"/>
      <c r="E3" s="24">
        <v>45495.441631944443</v>
      </c>
      <c r="F3" s="24"/>
      <c r="G3" s="44">
        <v>18.635999999999999</v>
      </c>
      <c r="H3" s="25"/>
      <c r="I3" s="44">
        <f>G2</f>
        <v>18.6356</v>
      </c>
      <c r="J3" s="25"/>
      <c r="K3" s="23"/>
      <c r="L3" s="23"/>
      <c r="M3" s="26">
        <v>457.74209999999999</v>
      </c>
      <c r="N3" s="26"/>
      <c r="O3" s="26"/>
      <c r="P3" s="23"/>
      <c r="Q3" s="26"/>
      <c r="R3" s="23"/>
      <c r="S3" s="26">
        <v>1836.64</v>
      </c>
      <c r="T3" s="13"/>
    </row>
    <row r="4" spans="1:20" x14ac:dyDescent="0.35">
      <c r="A4" t="s">
        <v>47</v>
      </c>
      <c r="B4" s="19">
        <v>1239</v>
      </c>
      <c r="C4" s="19">
        <v>16</v>
      </c>
      <c r="D4" s="19" t="s">
        <v>5</v>
      </c>
      <c r="E4" s="20">
        <v>44893.572569444441</v>
      </c>
      <c r="F4" s="20">
        <v>41166</v>
      </c>
      <c r="G4" s="43">
        <v>4.0000000000000002E-4</v>
      </c>
      <c r="H4" s="21">
        <v>2.8999999999999998E-3</v>
      </c>
      <c r="I4" s="43">
        <f>I5</f>
        <v>4.0000000000000002E-4</v>
      </c>
      <c r="J4" s="21">
        <f>H4/G4*I4</f>
        <v>2.8999999999999998E-3</v>
      </c>
      <c r="K4" s="21">
        <f>G4-I4</f>
        <v>0</v>
      </c>
      <c r="L4" s="21">
        <f>H4-J4</f>
        <v>0</v>
      </c>
      <c r="M4" s="22">
        <v>433.54192724694099</v>
      </c>
      <c r="N4" s="22">
        <v>18.259999998612201</v>
      </c>
      <c r="O4" s="22">
        <f>$N4*J4</f>
        <v>5.295399999597538E-2</v>
      </c>
      <c r="P4" s="22">
        <f>$N4*L4</f>
        <v>0</v>
      </c>
      <c r="Q4" s="22">
        <f>I5*M5-O4</f>
        <v>0.13014284000402462</v>
      </c>
      <c r="R4" s="19"/>
      <c r="S4" s="22">
        <f>S$3/G5*G4</f>
        <v>3.9421335050440015E-2</v>
      </c>
    </row>
    <row r="5" spans="1:20" x14ac:dyDescent="0.35">
      <c r="A5" t="s">
        <v>48</v>
      </c>
      <c r="B5" s="23">
        <v>1278</v>
      </c>
      <c r="C5" s="23"/>
      <c r="D5" s="23"/>
      <c r="E5" s="24">
        <v>45495.441631944443</v>
      </c>
      <c r="F5" s="24"/>
      <c r="G5" s="44">
        <v>18.635999999999999</v>
      </c>
      <c r="H5" s="25"/>
      <c r="I5" s="44">
        <f>G4</f>
        <v>4.0000000000000002E-4</v>
      </c>
      <c r="J5" s="25"/>
      <c r="K5" s="23"/>
      <c r="L5" s="23"/>
      <c r="M5" s="26">
        <v>457.74209999999999</v>
      </c>
      <c r="N5" s="26"/>
      <c r="O5" s="26"/>
      <c r="P5" s="23"/>
      <c r="Q5" s="26"/>
      <c r="R5" s="23"/>
      <c r="S5" s="26">
        <v>1836.64</v>
      </c>
    </row>
    <row r="6" spans="1:20" x14ac:dyDescent="0.35">
      <c r="A6" t="s">
        <v>47</v>
      </c>
      <c r="B6" s="48">
        <v>1241</v>
      </c>
      <c r="C6" s="48">
        <v>16</v>
      </c>
      <c r="D6" s="48" t="s">
        <v>5</v>
      </c>
      <c r="E6" s="49">
        <v>44939.567002314812</v>
      </c>
      <c r="F6" s="49">
        <v>41166</v>
      </c>
      <c r="G6" s="50">
        <v>2.0112999999999999</v>
      </c>
      <c r="H6" s="51">
        <v>14.956799999999999</v>
      </c>
      <c r="I6" s="50"/>
      <c r="J6" s="51"/>
      <c r="K6" s="50">
        <f t="shared" ref="K6:L8" si="0">G6</f>
        <v>2.0112999999999999</v>
      </c>
      <c r="L6" s="50">
        <f t="shared" si="0"/>
        <v>14.956799999999999</v>
      </c>
      <c r="M6" s="52">
        <v>434.45088886239699</v>
      </c>
      <c r="N6" s="52">
        <v>18.259999998612201</v>
      </c>
      <c r="O6" s="52">
        <f>$N6*J6</f>
        <v>0</v>
      </c>
      <c r="P6" s="52">
        <f>$N6*L6</f>
        <v>273.11116797924296</v>
      </c>
      <c r="Q6" s="52">
        <f>I7*M7-O6</f>
        <v>0</v>
      </c>
      <c r="R6" s="53">
        <f>K6*M$16-P6</f>
        <v>652.38772250075704</v>
      </c>
      <c r="S6" s="52"/>
    </row>
    <row r="7" spans="1:20" x14ac:dyDescent="0.35">
      <c r="A7" t="s">
        <v>47</v>
      </c>
      <c r="B7" s="19">
        <v>217</v>
      </c>
      <c r="C7" s="19">
        <v>16</v>
      </c>
      <c r="D7" s="19" t="s">
        <v>5</v>
      </c>
      <c r="E7" s="20">
        <v>44725.295381944445</v>
      </c>
      <c r="F7" s="20">
        <v>41166</v>
      </c>
      <c r="G7" s="43">
        <v>23.23</v>
      </c>
      <c r="H7" s="21">
        <v>152.5463</v>
      </c>
      <c r="I7" s="43"/>
      <c r="J7" s="21"/>
      <c r="K7" s="43">
        <f t="shared" si="0"/>
        <v>23.23</v>
      </c>
      <c r="L7" s="43">
        <f t="shared" si="0"/>
        <v>152.5463</v>
      </c>
      <c r="M7" s="22">
        <v>433.283090830822</v>
      </c>
      <c r="N7" s="22">
        <v>18.259999998612201</v>
      </c>
      <c r="O7" s="19"/>
      <c r="P7" s="19"/>
      <c r="Q7" s="19"/>
      <c r="R7" s="19"/>
      <c r="S7" s="22"/>
    </row>
    <row r="8" spans="1:20" x14ac:dyDescent="0.35">
      <c r="A8" t="s">
        <v>47</v>
      </c>
      <c r="B8" s="19">
        <v>1235</v>
      </c>
      <c r="C8" s="19">
        <v>16</v>
      </c>
      <c r="D8" s="19" t="s">
        <v>5</v>
      </c>
      <c r="E8" s="20">
        <v>44893.559050925927</v>
      </c>
      <c r="F8" s="20">
        <v>41166</v>
      </c>
      <c r="G8" s="43">
        <v>21.81</v>
      </c>
      <c r="H8" s="21">
        <v>158.67240000000001</v>
      </c>
      <c r="I8" s="43"/>
      <c r="J8" s="21"/>
      <c r="K8" s="43">
        <f t="shared" si="0"/>
        <v>21.81</v>
      </c>
      <c r="L8" s="43">
        <f t="shared" si="0"/>
        <v>158.67240000000001</v>
      </c>
      <c r="M8" s="22">
        <v>433.51991556808798</v>
      </c>
      <c r="N8" s="22">
        <v>18.259999998612201</v>
      </c>
      <c r="O8" s="19"/>
      <c r="P8" s="19"/>
      <c r="Q8" s="19"/>
      <c r="R8" s="19"/>
      <c r="S8" s="22"/>
    </row>
    <row r="9" spans="1:20" x14ac:dyDescent="0.35">
      <c r="A9" t="s">
        <v>47</v>
      </c>
      <c r="B9" s="19">
        <v>197</v>
      </c>
      <c r="C9" s="19">
        <v>17</v>
      </c>
      <c r="D9" s="19" t="s">
        <v>5</v>
      </c>
      <c r="E9" s="20">
        <v>44473.584976851853</v>
      </c>
      <c r="F9" s="20">
        <v>41377</v>
      </c>
      <c r="G9" s="43">
        <v>24.54</v>
      </c>
      <c r="H9" s="21">
        <v>226.48509999999999</v>
      </c>
      <c r="I9" s="43"/>
      <c r="J9" s="21"/>
      <c r="K9" s="43">
        <f t="shared" ref="K9:K15" si="1">G9</f>
        <v>24.54</v>
      </c>
      <c r="L9" s="43">
        <f t="shared" ref="L9:L15" si="2">H9</f>
        <v>226.48509999999999</v>
      </c>
      <c r="M9" s="22">
        <v>435.10187449062698</v>
      </c>
      <c r="N9" s="22">
        <v>19.7899983277443</v>
      </c>
      <c r="O9" s="19"/>
      <c r="P9" s="19"/>
      <c r="Q9" s="19"/>
      <c r="R9" s="19"/>
      <c r="S9" s="22"/>
    </row>
    <row r="10" spans="1:20" x14ac:dyDescent="0.35">
      <c r="A10" t="s">
        <v>47</v>
      </c>
      <c r="B10" s="48">
        <v>1241</v>
      </c>
      <c r="C10" s="48">
        <v>17</v>
      </c>
      <c r="D10" s="48" t="s">
        <v>5</v>
      </c>
      <c r="E10" s="49">
        <v>44939.567002314812</v>
      </c>
      <c r="F10" s="49">
        <v>41377</v>
      </c>
      <c r="G10" s="50">
        <v>1.1525000000000001</v>
      </c>
      <c r="H10" s="51">
        <v>18.2224</v>
      </c>
      <c r="I10" s="50"/>
      <c r="J10" s="51"/>
      <c r="K10" s="50">
        <f t="shared" si="1"/>
        <v>1.1525000000000001</v>
      </c>
      <c r="L10" s="50">
        <f t="shared" si="2"/>
        <v>18.2224</v>
      </c>
      <c r="M10" s="52">
        <v>434.45088886239699</v>
      </c>
      <c r="N10" s="52">
        <v>19.7899983277443</v>
      </c>
      <c r="O10" s="52">
        <f>$N10*J10</f>
        <v>0</v>
      </c>
      <c r="P10" s="52">
        <f>$N10*L10</f>
        <v>360.62126552748776</v>
      </c>
      <c r="Q10" s="52">
        <f>I11*M11-O10</f>
        <v>0</v>
      </c>
      <c r="R10" s="53">
        <f>K10*M$16-P10</f>
        <v>169.70114847251233</v>
      </c>
      <c r="S10" s="52"/>
    </row>
    <row r="11" spans="1:20" x14ac:dyDescent="0.35">
      <c r="A11" t="s">
        <v>47</v>
      </c>
      <c r="B11" s="19">
        <v>205</v>
      </c>
      <c r="C11" s="19">
        <v>17</v>
      </c>
      <c r="D11" s="19" t="s">
        <v>5</v>
      </c>
      <c r="E11" s="20">
        <v>44524.517384259256</v>
      </c>
      <c r="F11" s="20">
        <v>41377</v>
      </c>
      <c r="G11" s="43">
        <v>46.265999999999998</v>
      </c>
      <c r="H11" s="21">
        <v>396.34890000000001</v>
      </c>
      <c r="I11" s="43"/>
      <c r="J11" s="21"/>
      <c r="K11" s="43">
        <f t="shared" si="1"/>
        <v>46.265999999999998</v>
      </c>
      <c r="L11" s="43">
        <f t="shared" si="2"/>
        <v>396.34890000000001</v>
      </c>
      <c r="M11" s="22">
        <v>434.75770544244102</v>
      </c>
      <c r="N11" s="22">
        <v>19.7899983277443</v>
      </c>
      <c r="O11" s="19"/>
      <c r="P11" s="19"/>
      <c r="Q11" s="19"/>
      <c r="R11" s="19"/>
      <c r="S11" s="22"/>
    </row>
    <row r="12" spans="1:20" x14ac:dyDescent="0.35">
      <c r="A12" t="s">
        <v>47</v>
      </c>
      <c r="B12" s="19">
        <v>203</v>
      </c>
      <c r="C12" s="19">
        <v>7</v>
      </c>
      <c r="D12" s="19" t="s">
        <v>36</v>
      </c>
      <c r="E12" s="20">
        <v>44496.480810185189</v>
      </c>
      <c r="F12" s="20">
        <v>41492.000011574077</v>
      </c>
      <c r="G12" s="43">
        <v>29.760999999999999</v>
      </c>
      <c r="H12" s="21">
        <v>22.006</v>
      </c>
      <c r="I12" s="43"/>
      <c r="J12" s="21"/>
      <c r="K12" s="43">
        <f t="shared" si="1"/>
        <v>29.760999999999999</v>
      </c>
      <c r="L12" s="43">
        <f t="shared" si="2"/>
        <v>22.006</v>
      </c>
      <c r="M12" s="22">
        <v>434.94679414813902</v>
      </c>
      <c r="N12" s="22">
        <v>250.44122530300501</v>
      </c>
      <c r="O12" s="19"/>
      <c r="P12" s="19"/>
      <c r="Q12" s="19"/>
      <c r="R12" s="19"/>
      <c r="S12" s="22"/>
    </row>
    <row r="13" spans="1:20" x14ac:dyDescent="0.35">
      <c r="A13" t="s">
        <v>47</v>
      </c>
      <c r="B13" s="48">
        <v>1241</v>
      </c>
      <c r="C13" s="48">
        <v>27</v>
      </c>
      <c r="D13" s="48" t="s">
        <v>35</v>
      </c>
      <c r="E13" s="49">
        <v>44939.567002314812</v>
      </c>
      <c r="F13" s="49">
        <v>41521</v>
      </c>
      <c r="G13" s="50">
        <v>0.64380000000000004</v>
      </c>
      <c r="H13" s="51">
        <v>13.0237</v>
      </c>
      <c r="I13" s="50"/>
      <c r="J13" s="51"/>
      <c r="K13" s="50">
        <f t="shared" si="1"/>
        <v>0.64380000000000004</v>
      </c>
      <c r="L13" s="50">
        <f t="shared" si="2"/>
        <v>13.0237</v>
      </c>
      <c r="M13" s="52">
        <v>434.45088886239699</v>
      </c>
      <c r="N13" s="52">
        <v>17.093261768828398</v>
      </c>
      <c r="O13" s="52">
        <f>$N13*J13</f>
        <v>0</v>
      </c>
      <c r="P13" s="52">
        <f>$N13*L13</f>
        <v>222.6175132986904</v>
      </c>
      <c r="Q13" s="52">
        <f>I14*M14-O13</f>
        <v>0</v>
      </c>
      <c r="R13" s="53">
        <f>K13*M$16-P13</f>
        <v>73.626799181309622</v>
      </c>
      <c r="S13" s="52"/>
    </row>
    <row r="14" spans="1:20" x14ac:dyDescent="0.35">
      <c r="A14" t="s">
        <v>47</v>
      </c>
      <c r="B14" s="19">
        <v>203</v>
      </c>
      <c r="C14" s="19">
        <v>37</v>
      </c>
      <c r="D14" s="19" t="s">
        <v>37</v>
      </c>
      <c r="E14" s="20">
        <v>44496.480810185189</v>
      </c>
      <c r="F14" s="20">
        <v>41534</v>
      </c>
      <c r="G14" s="43">
        <v>4.9630000000000001</v>
      </c>
      <c r="H14" s="21">
        <v>76.745999999999995</v>
      </c>
      <c r="I14" s="43"/>
      <c r="J14" s="21"/>
      <c r="K14" s="43">
        <f t="shared" si="1"/>
        <v>4.9630000000000001</v>
      </c>
      <c r="L14" s="43">
        <f t="shared" si="2"/>
        <v>76.745999999999995</v>
      </c>
      <c r="M14" s="22">
        <v>434.94679414813902</v>
      </c>
      <c r="N14" s="22">
        <v>13.029995048601901</v>
      </c>
      <c r="O14" s="19"/>
      <c r="P14" s="19"/>
      <c r="Q14" s="19"/>
      <c r="R14" s="19"/>
      <c r="S14" s="22"/>
    </row>
    <row r="15" spans="1:20" x14ac:dyDescent="0.35">
      <c r="A15" t="s">
        <v>47</v>
      </c>
      <c r="B15" s="48">
        <v>1241</v>
      </c>
      <c r="C15" s="48">
        <v>108</v>
      </c>
      <c r="D15" s="48" t="s">
        <v>38</v>
      </c>
      <c r="E15" s="49">
        <v>44939.567002314812</v>
      </c>
      <c r="F15" s="49">
        <v>42387.492534722223</v>
      </c>
      <c r="G15" s="50">
        <v>2.0644</v>
      </c>
      <c r="H15" s="51">
        <v>0.53749999999999998</v>
      </c>
      <c r="I15" s="50"/>
      <c r="J15" s="51"/>
      <c r="K15" s="50">
        <f t="shared" si="1"/>
        <v>2.0644</v>
      </c>
      <c r="L15" s="50">
        <f t="shared" si="2"/>
        <v>0.53749999999999998</v>
      </c>
      <c r="M15" s="52">
        <v>434.45088886239699</v>
      </c>
      <c r="N15" s="52">
        <v>1860.4651162790601</v>
      </c>
      <c r="O15" s="52">
        <f>$N15*J15</f>
        <v>0</v>
      </c>
      <c r="P15" s="52">
        <f>$N15*L15</f>
        <v>999.99999999999477</v>
      </c>
      <c r="Q15" s="52">
        <f>I16*M16-O15</f>
        <v>0</v>
      </c>
      <c r="R15" s="53">
        <f>K15*M$16-P15</f>
        <v>-50.067165759994737</v>
      </c>
      <c r="S15" s="52"/>
    </row>
    <row r="16" spans="1:20" x14ac:dyDescent="0.35">
      <c r="M16" s="27">
        <v>460.14960000000002</v>
      </c>
      <c r="R16" s="47">
        <f>SUM(R6:R15)</f>
        <v>845.64850439458428</v>
      </c>
    </row>
    <row r="17" spans="6:17" ht="15" thickBot="1" x14ac:dyDescent="0.4">
      <c r="Q17" s="13"/>
    </row>
    <row r="18" spans="6:17" x14ac:dyDescent="0.35">
      <c r="F18" s="29" t="s">
        <v>44</v>
      </c>
      <c r="G18" s="30"/>
      <c r="H18" s="31"/>
    </row>
    <row r="19" spans="6:17" x14ac:dyDescent="0.35">
      <c r="F19" s="42" t="s">
        <v>41</v>
      </c>
      <c r="G19" s="40" t="s">
        <v>2</v>
      </c>
      <c r="H19" s="41" t="s">
        <v>42</v>
      </c>
    </row>
    <row r="20" spans="6:17" x14ac:dyDescent="0.35">
      <c r="F20" s="34">
        <v>36871</v>
      </c>
      <c r="G20" s="12">
        <v>7.1680000000000001</v>
      </c>
      <c r="H20" s="35">
        <v>3087.53</v>
      </c>
    </row>
    <row r="21" spans="6:17" x14ac:dyDescent="0.35">
      <c r="F21" s="34">
        <v>36889</v>
      </c>
      <c r="G21" s="12">
        <v>9.6880000000000006</v>
      </c>
      <c r="H21" s="35">
        <v>3005.06</v>
      </c>
    </row>
    <row r="22" spans="6:17" x14ac:dyDescent="0.35">
      <c r="F22" s="34">
        <v>36913</v>
      </c>
      <c r="G22" s="12">
        <v>1.778</v>
      </c>
      <c r="H22" s="35">
        <v>601.01</v>
      </c>
    </row>
    <row r="23" spans="6:17" x14ac:dyDescent="0.35">
      <c r="F23" s="34">
        <v>41169</v>
      </c>
      <c r="G23" s="12">
        <v>2E-3</v>
      </c>
      <c r="H23" s="35">
        <v>0.23</v>
      </c>
    </row>
    <row r="24" spans="6:17" x14ac:dyDescent="0.35">
      <c r="F24" s="32" t="s">
        <v>45</v>
      </c>
      <c r="G24" s="33">
        <f>SUM(G20:G23)</f>
        <v>18.635999999999999</v>
      </c>
      <c r="H24" s="36">
        <f>SUM(H20:H23)</f>
        <v>6693.83</v>
      </c>
    </row>
    <row r="25" spans="6:17" x14ac:dyDescent="0.35">
      <c r="F25" s="42" t="s">
        <v>43</v>
      </c>
      <c r="G25" s="40" t="s">
        <v>2</v>
      </c>
      <c r="H25" s="41" t="s">
        <v>42</v>
      </c>
    </row>
    <row r="26" spans="6:17" x14ac:dyDescent="0.35">
      <c r="F26" s="34">
        <v>45495</v>
      </c>
      <c r="G26" s="12">
        <v>18.635999999999999</v>
      </c>
      <c r="H26" s="35">
        <v>8530.48</v>
      </c>
    </row>
    <row r="27" spans="6:17" ht="15" thickBot="1" x14ac:dyDescent="0.4">
      <c r="F27" s="37"/>
      <c r="G27" s="38" t="s">
        <v>19</v>
      </c>
      <c r="H27" s="39">
        <f>H26-H24</f>
        <v>1836.6499999999996</v>
      </c>
    </row>
    <row r="28" spans="6:17" x14ac:dyDescent="0.35">
      <c r="H28" s="28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5B57-6B90-4E80-BE9A-01DAF3ED59FE}">
  <dimension ref="A1:U38"/>
  <sheetViews>
    <sheetView topLeftCell="G1" zoomScale="115" zoomScaleNormal="115" workbookViewId="0">
      <pane ySplit="1" topLeftCell="A2" activePane="bottomLeft" state="frozen"/>
      <selection pane="bottomLeft" activeCell="R4" sqref="R4"/>
    </sheetView>
  </sheetViews>
  <sheetFormatPr defaultRowHeight="14.5" x14ac:dyDescent="0.35"/>
  <cols>
    <col min="1" max="1" width="4.81640625" bestFit="1" customWidth="1"/>
    <col min="2" max="2" width="5" bestFit="1" customWidth="1"/>
    <col min="3" max="3" width="4.54296875" customWidth="1"/>
    <col min="4" max="4" width="6.81640625" customWidth="1"/>
    <col min="5" max="5" width="11.90625" style="2" bestFit="1" customWidth="1"/>
    <col min="6" max="6" width="11.1796875" style="2" customWidth="1"/>
    <col min="7" max="7" width="9.08984375" style="12" bestFit="1" customWidth="1"/>
    <col min="8" max="8" width="9.6328125" style="12" bestFit="1" customWidth="1"/>
    <col min="9" max="9" width="8.6328125" style="46" bestFit="1" customWidth="1"/>
    <col min="10" max="10" width="7.54296875" style="12" bestFit="1" customWidth="1"/>
    <col min="11" max="11" width="10.7265625" bestFit="1" customWidth="1"/>
    <col min="12" max="12" width="11.36328125" bestFit="1" customWidth="1"/>
    <col min="13" max="13" width="9.08984375" style="13" bestFit="1" customWidth="1"/>
    <col min="14" max="14" width="10.6328125" style="13" bestFit="1" customWidth="1"/>
    <col min="15" max="15" width="11.7265625" bestFit="1" customWidth="1"/>
    <col min="16" max="16" width="10.6328125" customWidth="1"/>
    <col min="17" max="17" width="11.26953125" bestFit="1" customWidth="1"/>
    <col min="18" max="18" width="13.90625" customWidth="1"/>
    <col min="19" max="20" width="10.54296875" bestFit="1" customWidth="1"/>
  </cols>
  <sheetData>
    <row r="1" spans="1:21" ht="43.5" x14ac:dyDescent="0.35">
      <c r="A1" s="14" t="s">
        <v>46</v>
      </c>
      <c r="B1" s="14" t="s">
        <v>13</v>
      </c>
      <c r="C1" s="7" t="s">
        <v>12</v>
      </c>
      <c r="D1" s="7" t="s">
        <v>33</v>
      </c>
      <c r="E1" s="15" t="s">
        <v>39</v>
      </c>
      <c r="F1" s="15" t="s">
        <v>15</v>
      </c>
      <c r="G1" s="16" t="s">
        <v>2</v>
      </c>
      <c r="H1" s="17" t="s">
        <v>25</v>
      </c>
      <c r="I1" s="45" t="s">
        <v>17</v>
      </c>
      <c r="J1" s="17" t="s">
        <v>26</v>
      </c>
      <c r="K1" s="7" t="s">
        <v>27</v>
      </c>
      <c r="L1" s="7" t="s">
        <v>28</v>
      </c>
      <c r="M1" s="18" t="s">
        <v>3</v>
      </c>
      <c r="N1" s="18" t="s">
        <v>30</v>
      </c>
      <c r="O1" s="11" t="s">
        <v>31</v>
      </c>
      <c r="P1" s="7" t="s">
        <v>40</v>
      </c>
      <c r="Q1" s="7" t="s">
        <v>32</v>
      </c>
      <c r="R1" s="7" t="s">
        <v>29</v>
      </c>
      <c r="S1" s="7" t="s">
        <v>49</v>
      </c>
    </row>
    <row r="2" spans="1:21" x14ac:dyDescent="0.35">
      <c r="A2" t="s">
        <v>47</v>
      </c>
      <c r="B2" s="19">
        <v>1239</v>
      </c>
      <c r="C2" s="19">
        <v>15</v>
      </c>
      <c r="D2" s="19" t="s">
        <v>34</v>
      </c>
      <c r="E2" s="20">
        <v>44893.572569444441</v>
      </c>
      <c r="F2" s="20">
        <v>36841</v>
      </c>
      <c r="G2" s="43">
        <v>18.6356</v>
      </c>
      <c r="H2" s="21">
        <v>321.66890000000001</v>
      </c>
      <c r="I2" s="43">
        <f>I3</f>
        <v>18.6356</v>
      </c>
      <c r="J2" s="21">
        <f>H2/G2*I2</f>
        <v>321.66890000000001</v>
      </c>
      <c r="K2" s="43">
        <f>G2-I2</f>
        <v>0</v>
      </c>
      <c r="L2" s="43">
        <f>H2/G2*K2</f>
        <v>0</v>
      </c>
      <c r="M2" s="22">
        <v>433.54192724694099</v>
      </c>
      <c r="N2" s="22">
        <v>22.9920399034783</v>
      </c>
      <c r="O2" s="22">
        <f>$N2*J2</f>
        <v>7395.824184507971</v>
      </c>
      <c r="P2" s="22">
        <f>$N2*L2</f>
        <v>0</v>
      </c>
      <c r="Q2" s="22">
        <f>I3*M3-O2</f>
        <v>1134.4744942520292</v>
      </c>
      <c r="R2" s="43">
        <f>(G2-I2)*M14-P2</f>
        <v>0</v>
      </c>
      <c r="S2" s="22">
        <f>S$3/G3*G2</f>
        <v>1836.6005786649498</v>
      </c>
    </row>
    <row r="3" spans="1:21" x14ac:dyDescent="0.35">
      <c r="A3" t="s">
        <v>48</v>
      </c>
      <c r="B3" s="23">
        <v>1278</v>
      </c>
      <c r="C3" s="23"/>
      <c r="D3" s="23"/>
      <c r="E3" s="24">
        <v>45495.441631944443</v>
      </c>
      <c r="F3" s="24"/>
      <c r="G3" s="44">
        <v>18.635999999999999</v>
      </c>
      <c r="H3" s="25"/>
      <c r="I3" s="44">
        <f>G2</f>
        <v>18.6356</v>
      </c>
      <c r="J3" s="25"/>
      <c r="K3" s="23"/>
      <c r="L3" s="23"/>
      <c r="M3" s="26">
        <v>457.74209999999999</v>
      </c>
      <c r="N3" s="26"/>
      <c r="O3" s="26"/>
      <c r="P3" s="23"/>
      <c r="Q3" s="26"/>
      <c r="R3" s="23"/>
      <c r="S3" s="26">
        <v>1836.64</v>
      </c>
      <c r="T3" s="13"/>
    </row>
    <row r="4" spans="1:21" x14ac:dyDescent="0.35">
      <c r="A4" t="s">
        <v>47</v>
      </c>
      <c r="B4" s="19">
        <v>217</v>
      </c>
      <c r="C4" s="19">
        <v>16</v>
      </c>
      <c r="D4" s="19" t="s">
        <v>5</v>
      </c>
      <c r="E4" s="20">
        <v>44725.295381944445</v>
      </c>
      <c r="F4" s="20">
        <v>41166</v>
      </c>
      <c r="G4" s="43">
        <v>23.23</v>
      </c>
      <c r="H4" s="21">
        <v>152.5463</v>
      </c>
      <c r="I4" s="43">
        <f>I5</f>
        <v>3.9999999999906777E-4</v>
      </c>
      <c r="J4" s="21">
        <f>H4/G4*I4</f>
        <v>2.6267120103253458E-3</v>
      </c>
      <c r="K4" s="43">
        <f>G4-I4</f>
        <v>23.229600000000001</v>
      </c>
      <c r="L4" s="43">
        <f>H4/G4*K4</f>
        <v>152.54367328798966</v>
      </c>
      <c r="M4" s="22">
        <v>433.283090830822</v>
      </c>
      <c r="N4" s="22">
        <v>18.259999998612201</v>
      </c>
      <c r="O4" s="22">
        <f>$N4*J4</f>
        <v>4.7963761304895471E-2</v>
      </c>
      <c r="P4" s="22">
        <f>$N4*L4</f>
        <v>2785.4474740269911</v>
      </c>
      <c r="Q4" s="22">
        <f>I4*M5-O4</f>
        <v>0.13513307869467781</v>
      </c>
      <c r="R4" s="43">
        <f>K4*M16-P4</f>
        <v>7903.6436741330108</v>
      </c>
      <c r="S4" s="22">
        <f>S$3/G5*I4</f>
        <v>3.9421335050348137E-2</v>
      </c>
      <c r="T4" s="13">
        <f>+Q4+R4</f>
        <v>7903.7788072117055</v>
      </c>
      <c r="U4" s="54">
        <v>7903.7879999999996</v>
      </c>
    </row>
    <row r="5" spans="1:21" x14ac:dyDescent="0.35">
      <c r="A5" t="s">
        <v>48</v>
      </c>
      <c r="B5" s="23">
        <v>1278</v>
      </c>
      <c r="C5" s="23"/>
      <c r="D5" s="23"/>
      <c r="E5" s="24">
        <v>45495.441631944443</v>
      </c>
      <c r="F5" s="24"/>
      <c r="G5" s="44">
        <v>18.635999999999999</v>
      </c>
      <c r="H5" s="25"/>
      <c r="I5" s="44">
        <f>G5-I3</f>
        <v>3.9999999999906777E-4</v>
      </c>
      <c r="J5" s="25"/>
      <c r="K5" s="23"/>
      <c r="L5" s="23"/>
      <c r="M5" s="26">
        <v>457.74209999999999</v>
      </c>
      <c r="N5" s="26"/>
      <c r="O5" s="26"/>
      <c r="P5" s="23"/>
      <c r="Q5" s="26"/>
      <c r="R5" s="23"/>
      <c r="S5" s="26">
        <v>1836.64</v>
      </c>
      <c r="U5" s="13">
        <f>+U4-T4</f>
        <v>9.1927882940581185E-3</v>
      </c>
    </row>
    <row r="6" spans="1:21" x14ac:dyDescent="0.35">
      <c r="A6" t="s">
        <v>47</v>
      </c>
      <c r="B6" s="19">
        <v>1235</v>
      </c>
      <c r="C6" s="19">
        <v>16</v>
      </c>
      <c r="D6" s="19" t="s">
        <v>5</v>
      </c>
      <c r="E6" s="20">
        <v>44893.559050925927</v>
      </c>
      <c r="F6" s="20">
        <v>41166</v>
      </c>
      <c r="G6" s="43">
        <v>21.81</v>
      </c>
      <c r="H6" s="21">
        <v>158.67240000000001</v>
      </c>
      <c r="I6" s="43"/>
      <c r="J6" s="21"/>
      <c r="K6" s="43">
        <f>G6</f>
        <v>21.81</v>
      </c>
      <c r="L6" s="43">
        <f>H6</f>
        <v>158.67240000000001</v>
      </c>
      <c r="M6" s="22">
        <v>433.51991556808798</v>
      </c>
      <c r="N6" s="22">
        <v>18.259999998612201</v>
      </c>
      <c r="O6" s="19"/>
      <c r="P6" s="19"/>
      <c r="Q6" s="19"/>
      <c r="R6" s="19"/>
      <c r="S6" s="22"/>
    </row>
    <row r="7" spans="1:21" x14ac:dyDescent="0.35">
      <c r="A7" t="s">
        <v>47</v>
      </c>
      <c r="B7" s="19">
        <v>1239</v>
      </c>
      <c r="C7" s="19">
        <v>16</v>
      </c>
      <c r="D7" s="19" t="s">
        <v>5</v>
      </c>
      <c r="E7" s="20">
        <v>44893.572569444441</v>
      </c>
      <c r="F7" s="20">
        <v>41166</v>
      </c>
      <c r="G7" s="43">
        <v>4.0000000000000002E-4</v>
      </c>
      <c r="H7" s="21">
        <v>2.8999999999999998E-3</v>
      </c>
      <c r="I7" s="43">
        <f>I5</f>
        <v>3.9999999999906777E-4</v>
      </c>
      <c r="J7" s="21">
        <f>H7/G7*I7</f>
        <v>2.8999999999932409E-3</v>
      </c>
      <c r="K7" s="21">
        <f>G7-I7</f>
        <v>9.3225123801166099E-16</v>
      </c>
      <c r="L7" s="21">
        <f>H7-J7</f>
        <v>6.7589163432746346E-15</v>
      </c>
      <c r="M7" s="22">
        <v>433.54192724694099</v>
      </c>
      <c r="N7" s="22">
        <v>18.259999998612201</v>
      </c>
      <c r="O7" s="22">
        <f>$N7*J7</f>
        <v>5.2953999995851965E-2</v>
      </c>
      <c r="P7" s="22">
        <f>$N7*L7</f>
        <v>1.2341781241881482E-13</v>
      </c>
      <c r="Q7" s="22">
        <f>I5*M5-O7</f>
        <v>0.13014284000372131</v>
      </c>
      <c r="R7" s="19"/>
      <c r="S7" s="22">
        <f>S$3/G5*G7</f>
        <v>3.9421335050440015E-2</v>
      </c>
    </row>
    <row r="8" spans="1:21" x14ac:dyDescent="0.35">
      <c r="A8" t="s">
        <v>47</v>
      </c>
      <c r="B8" s="48">
        <v>1241</v>
      </c>
      <c r="C8" s="48">
        <v>16</v>
      </c>
      <c r="D8" s="48" t="s">
        <v>5</v>
      </c>
      <c r="E8" s="49">
        <v>44939.567002314812</v>
      </c>
      <c r="F8" s="49">
        <v>41166</v>
      </c>
      <c r="G8" s="50">
        <v>2.0112999999999999</v>
      </c>
      <c r="H8" s="51">
        <v>14.956799999999999</v>
      </c>
      <c r="I8" s="50"/>
      <c r="J8" s="51"/>
      <c r="K8" s="50">
        <f>G8</f>
        <v>2.0112999999999999</v>
      </c>
      <c r="L8" s="50">
        <f>H8</f>
        <v>14.956799999999999</v>
      </c>
      <c r="M8" s="52">
        <v>434.45088886239699</v>
      </c>
      <c r="N8" s="52">
        <v>18.259999998612201</v>
      </c>
      <c r="O8" s="52">
        <f>$N8*J8</f>
        <v>0</v>
      </c>
      <c r="P8" s="52">
        <f>$N8*L8</f>
        <v>273.11116797924296</v>
      </c>
      <c r="Q8" s="52">
        <f>I4*M4-O8</f>
        <v>0.17331323633192489</v>
      </c>
      <c r="R8" s="53">
        <f>K8*M$16-P8</f>
        <v>652.38772250075704</v>
      </c>
      <c r="S8" s="52"/>
    </row>
    <row r="9" spans="1:21" x14ac:dyDescent="0.35">
      <c r="A9" t="s">
        <v>47</v>
      </c>
      <c r="B9" s="19">
        <v>197</v>
      </c>
      <c r="C9" s="19">
        <v>17</v>
      </c>
      <c r="D9" s="19" t="s">
        <v>5</v>
      </c>
      <c r="E9" s="20">
        <v>44473.584976851853</v>
      </c>
      <c r="F9" s="20">
        <v>41377</v>
      </c>
      <c r="G9" s="43">
        <v>24.54</v>
      </c>
      <c r="H9" s="21">
        <v>226.48509999999999</v>
      </c>
      <c r="I9" s="43"/>
      <c r="J9" s="21"/>
      <c r="K9" s="43">
        <f t="shared" ref="K9:L15" si="0">G9</f>
        <v>24.54</v>
      </c>
      <c r="L9" s="43">
        <f t="shared" si="0"/>
        <v>226.48509999999999</v>
      </c>
      <c r="M9" s="22">
        <v>435.10187449062698</v>
      </c>
      <c r="N9" s="22">
        <v>19.7899983277443</v>
      </c>
      <c r="O9" s="19"/>
      <c r="P9" s="19"/>
      <c r="Q9" s="19"/>
      <c r="R9" s="19"/>
      <c r="S9" s="22"/>
    </row>
    <row r="10" spans="1:21" x14ac:dyDescent="0.35">
      <c r="A10" t="s">
        <v>47</v>
      </c>
      <c r="B10" s="48">
        <v>1241</v>
      </c>
      <c r="C10" s="48">
        <v>17</v>
      </c>
      <c r="D10" s="48" t="s">
        <v>5</v>
      </c>
      <c r="E10" s="49">
        <v>44939.567002314812</v>
      </c>
      <c r="F10" s="49">
        <v>41377</v>
      </c>
      <c r="G10" s="50">
        <v>1.1525000000000001</v>
      </c>
      <c r="H10" s="51">
        <v>18.2224</v>
      </c>
      <c r="I10" s="50"/>
      <c r="J10" s="51"/>
      <c r="K10" s="50">
        <f t="shared" si="0"/>
        <v>1.1525000000000001</v>
      </c>
      <c r="L10" s="50">
        <f t="shared" si="0"/>
        <v>18.2224</v>
      </c>
      <c r="M10" s="52">
        <v>434.45088886239699</v>
      </c>
      <c r="N10" s="52">
        <v>19.7899983277443</v>
      </c>
      <c r="O10" s="52">
        <f>$N10*J10</f>
        <v>0</v>
      </c>
      <c r="P10" s="52">
        <f>$N10*L10</f>
        <v>360.62126552748776</v>
      </c>
      <c r="Q10" s="52">
        <f>I11*M11-O10</f>
        <v>0</v>
      </c>
      <c r="R10" s="53">
        <f>K10*M$16-P10</f>
        <v>169.70114847251233</v>
      </c>
      <c r="S10" s="52"/>
    </row>
    <row r="11" spans="1:21" x14ac:dyDescent="0.35">
      <c r="A11" t="s">
        <v>47</v>
      </c>
      <c r="B11" s="19">
        <v>205</v>
      </c>
      <c r="C11" s="19">
        <v>17</v>
      </c>
      <c r="D11" s="19" t="s">
        <v>5</v>
      </c>
      <c r="E11" s="20">
        <v>44524.517384259256</v>
      </c>
      <c r="F11" s="20">
        <v>41377</v>
      </c>
      <c r="G11" s="43">
        <v>46.265999999999998</v>
      </c>
      <c r="H11" s="21">
        <v>396.34890000000001</v>
      </c>
      <c r="I11" s="43"/>
      <c r="J11" s="21"/>
      <c r="K11" s="43">
        <f t="shared" si="0"/>
        <v>46.265999999999998</v>
      </c>
      <c r="L11" s="43">
        <f t="shared" si="0"/>
        <v>396.34890000000001</v>
      </c>
      <c r="M11" s="22">
        <v>434.75770544244102</v>
      </c>
      <c r="N11" s="22">
        <v>19.7899983277443</v>
      </c>
      <c r="O11" s="19"/>
      <c r="P11" s="19"/>
      <c r="Q11" s="19"/>
      <c r="R11" s="19"/>
      <c r="S11" s="22"/>
    </row>
    <row r="12" spans="1:21" x14ac:dyDescent="0.35">
      <c r="A12" t="s">
        <v>47</v>
      </c>
      <c r="B12" s="19">
        <v>203</v>
      </c>
      <c r="C12" s="19">
        <v>7</v>
      </c>
      <c r="D12" s="19" t="s">
        <v>36</v>
      </c>
      <c r="E12" s="20">
        <v>44496.480810185189</v>
      </c>
      <c r="F12" s="20">
        <v>41492.000011574077</v>
      </c>
      <c r="G12" s="43">
        <v>29.760999999999999</v>
      </c>
      <c r="H12" s="21">
        <v>22.006</v>
      </c>
      <c r="I12" s="43"/>
      <c r="J12" s="21"/>
      <c r="K12" s="43">
        <f t="shared" si="0"/>
        <v>29.760999999999999</v>
      </c>
      <c r="L12" s="43">
        <f t="shared" si="0"/>
        <v>22.006</v>
      </c>
      <c r="M12" s="22">
        <v>434.94679414813902</v>
      </c>
      <c r="N12" s="22">
        <v>250.44122530300501</v>
      </c>
      <c r="O12" s="19"/>
      <c r="P12" s="19"/>
      <c r="Q12" s="19"/>
      <c r="R12" s="19"/>
      <c r="S12" s="22"/>
    </row>
    <row r="13" spans="1:21" x14ac:dyDescent="0.35">
      <c r="A13" t="s">
        <v>47</v>
      </c>
      <c r="B13" s="48">
        <v>1241</v>
      </c>
      <c r="C13" s="48">
        <v>27</v>
      </c>
      <c r="D13" s="48" t="s">
        <v>35</v>
      </c>
      <c r="E13" s="49">
        <v>44939.567002314812</v>
      </c>
      <c r="F13" s="49">
        <v>41521</v>
      </c>
      <c r="G13" s="50">
        <v>0.64380000000000004</v>
      </c>
      <c r="H13" s="51">
        <v>13.0237</v>
      </c>
      <c r="I13" s="50"/>
      <c r="J13" s="51"/>
      <c r="K13" s="50">
        <f t="shared" si="0"/>
        <v>0.64380000000000004</v>
      </c>
      <c r="L13" s="50">
        <f t="shared" si="0"/>
        <v>13.0237</v>
      </c>
      <c r="M13" s="52">
        <v>434.45088886239699</v>
      </c>
      <c r="N13" s="52">
        <v>17.093261768828398</v>
      </c>
      <c r="O13" s="52">
        <f>$N13*J13</f>
        <v>0</v>
      </c>
      <c r="P13" s="52">
        <f>$N13*L13</f>
        <v>222.6175132986904</v>
      </c>
      <c r="Q13" s="52">
        <f>I14*M14-O13</f>
        <v>0</v>
      </c>
      <c r="R13" s="53">
        <f>K13*M$16-P13</f>
        <v>73.626799181309622</v>
      </c>
      <c r="S13" s="52"/>
    </row>
    <row r="14" spans="1:21" x14ac:dyDescent="0.35">
      <c r="A14" t="s">
        <v>47</v>
      </c>
      <c r="B14" s="19">
        <v>203</v>
      </c>
      <c r="C14" s="19">
        <v>37</v>
      </c>
      <c r="D14" s="19" t="s">
        <v>37</v>
      </c>
      <c r="E14" s="20">
        <v>44496.480810185189</v>
      </c>
      <c r="F14" s="20">
        <v>41534</v>
      </c>
      <c r="G14" s="43">
        <v>4.9630000000000001</v>
      </c>
      <c r="H14" s="21">
        <v>76.745999999999995</v>
      </c>
      <c r="I14" s="43"/>
      <c r="J14" s="21"/>
      <c r="K14" s="43">
        <f t="shared" si="0"/>
        <v>4.9630000000000001</v>
      </c>
      <c r="L14" s="43">
        <f t="shared" si="0"/>
        <v>76.745999999999995</v>
      </c>
      <c r="M14" s="22">
        <v>434.94679414813902</v>
      </c>
      <c r="N14" s="22">
        <v>13.029995048601901</v>
      </c>
      <c r="O14" s="19"/>
      <c r="P14" s="19"/>
      <c r="Q14" s="19"/>
      <c r="R14" s="19"/>
      <c r="S14" s="22"/>
    </row>
    <row r="15" spans="1:21" x14ac:dyDescent="0.35">
      <c r="A15" t="s">
        <v>47</v>
      </c>
      <c r="B15" s="48">
        <v>1241</v>
      </c>
      <c r="C15" s="48">
        <v>108</v>
      </c>
      <c r="D15" s="48" t="s">
        <v>38</v>
      </c>
      <c r="E15" s="49">
        <v>44939.567002314812</v>
      </c>
      <c r="F15" s="49">
        <v>42387.492534722223</v>
      </c>
      <c r="G15" s="50">
        <v>2.0644</v>
      </c>
      <c r="H15" s="51">
        <v>0.53749999999999998</v>
      </c>
      <c r="I15" s="50"/>
      <c r="J15" s="51"/>
      <c r="K15" s="50">
        <f t="shared" si="0"/>
        <v>2.0644</v>
      </c>
      <c r="L15" s="50">
        <f t="shared" si="0"/>
        <v>0.53749999999999998</v>
      </c>
      <c r="M15" s="52">
        <v>434.45088886239699</v>
      </c>
      <c r="N15" s="52">
        <v>1860.4651162790601</v>
      </c>
      <c r="O15" s="52">
        <f>$N15*J15</f>
        <v>0</v>
      </c>
      <c r="P15" s="52">
        <f>$N15*L15</f>
        <v>999.99999999999477</v>
      </c>
      <c r="Q15" s="52">
        <f>I16*M16-O15</f>
        <v>0</v>
      </c>
      <c r="R15" s="53">
        <f>K15*M$16-P15</f>
        <v>-50.067165759994737</v>
      </c>
      <c r="S15" s="52"/>
    </row>
    <row r="16" spans="1:21" x14ac:dyDescent="0.35">
      <c r="M16" s="27">
        <v>460.14960000000002</v>
      </c>
      <c r="R16" s="47">
        <f>SUM(R8:R15)</f>
        <v>845.64850439458428</v>
      </c>
    </row>
    <row r="17" spans="6:17" ht="15" thickBot="1" x14ac:dyDescent="0.4">
      <c r="Q17" s="13"/>
    </row>
    <row r="18" spans="6:17" x14ac:dyDescent="0.35">
      <c r="F18" s="29" t="s">
        <v>44</v>
      </c>
      <c r="G18" s="30"/>
      <c r="H18" s="31"/>
    </row>
    <row r="19" spans="6:17" x14ac:dyDescent="0.35">
      <c r="F19" s="42" t="s">
        <v>41</v>
      </c>
      <c r="G19" s="40" t="s">
        <v>2</v>
      </c>
      <c r="H19" s="41" t="s">
        <v>42</v>
      </c>
    </row>
    <row r="20" spans="6:17" x14ac:dyDescent="0.35">
      <c r="F20" s="34">
        <v>36871</v>
      </c>
      <c r="G20" s="12">
        <v>7.1680000000000001</v>
      </c>
      <c r="H20" s="35">
        <v>3087.53</v>
      </c>
    </row>
    <row r="21" spans="6:17" x14ac:dyDescent="0.35">
      <c r="F21" s="34">
        <v>36889</v>
      </c>
      <c r="G21" s="12">
        <v>9.6880000000000006</v>
      </c>
      <c r="H21" s="35">
        <v>3005.06</v>
      </c>
    </row>
    <row r="22" spans="6:17" x14ac:dyDescent="0.35">
      <c r="F22" s="34">
        <v>36913</v>
      </c>
      <c r="G22" s="12">
        <v>1.778</v>
      </c>
      <c r="H22" s="35">
        <v>601.01</v>
      </c>
    </row>
    <row r="23" spans="6:17" x14ac:dyDescent="0.35">
      <c r="F23" s="34">
        <v>41169</v>
      </c>
      <c r="G23" s="12">
        <v>2E-3</v>
      </c>
      <c r="H23" s="35">
        <v>0.23</v>
      </c>
    </row>
    <row r="24" spans="6:17" x14ac:dyDescent="0.35">
      <c r="F24" s="32" t="s">
        <v>45</v>
      </c>
      <c r="G24" s="33">
        <f>SUM(G20:G23)</f>
        <v>18.635999999999999</v>
      </c>
      <c r="H24" s="36">
        <f>SUM(H20:H23)</f>
        <v>6693.83</v>
      </c>
    </row>
    <row r="25" spans="6:17" x14ac:dyDescent="0.35">
      <c r="F25" s="42" t="s">
        <v>43</v>
      </c>
      <c r="G25" s="40" t="s">
        <v>2</v>
      </c>
      <c r="H25" s="41" t="s">
        <v>42</v>
      </c>
    </row>
    <row r="26" spans="6:17" x14ac:dyDescent="0.35">
      <c r="F26" s="34">
        <v>45495</v>
      </c>
      <c r="G26" s="12">
        <v>18.635999999999999</v>
      </c>
      <c r="H26" s="35">
        <v>8530.48</v>
      </c>
    </row>
    <row r="27" spans="6:17" ht="15" thickBot="1" x14ac:dyDescent="0.4">
      <c r="F27" s="37"/>
      <c r="G27" s="38" t="s">
        <v>19</v>
      </c>
      <c r="H27" s="39">
        <f>H26-H24</f>
        <v>1836.6499999999996</v>
      </c>
    </row>
    <row r="28" spans="6:17" x14ac:dyDescent="0.35">
      <c r="H28" s="28"/>
    </row>
    <row r="35" spans="1:19" x14ac:dyDescent="0.35">
      <c r="A35" t="s">
        <v>47</v>
      </c>
      <c r="B35" s="19">
        <v>217</v>
      </c>
      <c r="C35" s="19">
        <v>16</v>
      </c>
      <c r="D35" s="19" t="s">
        <v>5</v>
      </c>
      <c r="E35" s="20">
        <v>44725.295381944445</v>
      </c>
      <c r="F35" s="20">
        <v>41166</v>
      </c>
      <c r="G35" s="43">
        <v>23.23</v>
      </c>
      <c r="H35" s="21">
        <v>152.5463</v>
      </c>
      <c r="I35" s="43" t="e">
        <f>#REF!</f>
        <v>#REF!</v>
      </c>
      <c r="J35" s="21" t="e">
        <f>H35/G35*I35</f>
        <v>#REF!</v>
      </c>
      <c r="K35" s="21" t="e">
        <f>G35-I35</f>
        <v>#REF!</v>
      </c>
      <c r="L35" s="21" t="e">
        <f>H35-J35</f>
        <v>#REF!</v>
      </c>
      <c r="M35" s="22">
        <v>433.54192724694099</v>
      </c>
      <c r="N35" s="22">
        <v>18.259999998612201</v>
      </c>
      <c r="O35" s="22" t="e">
        <f>$N35*J35</f>
        <v>#REF!</v>
      </c>
      <c r="P35" s="22" t="e">
        <f>$N35*L35</f>
        <v>#REF!</v>
      </c>
      <c r="Q35" s="22" t="e">
        <f>#REF!*#REF!-O35</f>
        <v>#REF!</v>
      </c>
      <c r="R35" s="19"/>
      <c r="S35" s="22" t="e">
        <f>S$3/#REF!*G35</f>
        <v>#REF!</v>
      </c>
    </row>
    <row r="36" spans="1:19" x14ac:dyDescent="0.35">
      <c r="A36" t="s">
        <v>47</v>
      </c>
      <c r="B36" s="19">
        <v>1235</v>
      </c>
      <c r="C36" s="19">
        <v>16</v>
      </c>
      <c r="D36" s="19" t="s">
        <v>5</v>
      </c>
      <c r="E36" s="20">
        <v>44893.559050925927</v>
      </c>
      <c r="F36" s="20">
        <v>41166</v>
      </c>
      <c r="G36" s="43">
        <v>21.81</v>
      </c>
      <c r="H36" s="21">
        <v>158.67240000000001</v>
      </c>
      <c r="I36" s="50"/>
      <c r="J36" s="51"/>
      <c r="K36" s="50">
        <f>G36</f>
        <v>21.81</v>
      </c>
      <c r="L36" s="50">
        <f>H36</f>
        <v>158.67240000000001</v>
      </c>
      <c r="M36" s="52">
        <v>434.45088886239699</v>
      </c>
      <c r="N36" s="52">
        <v>18.259999998612201</v>
      </c>
      <c r="O36" s="52">
        <f>$N36*J36</f>
        <v>0</v>
      </c>
      <c r="P36" s="52">
        <f>$N36*L36</f>
        <v>2897.3580237797951</v>
      </c>
      <c r="Q36" s="52">
        <f>I37*M37-O36</f>
        <v>0</v>
      </c>
      <c r="R36" s="53">
        <f>K36*M$16-P36</f>
        <v>7138.5047522202049</v>
      </c>
      <c r="S36" s="52"/>
    </row>
    <row r="37" spans="1:19" x14ac:dyDescent="0.35">
      <c r="A37" t="s">
        <v>47</v>
      </c>
      <c r="B37" s="19">
        <v>1239</v>
      </c>
      <c r="C37" s="19">
        <v>16</v>
      </c>
      <c r="D37" s="19" t="s">
        <v>5</v>
      </c>
      <c r="E37" s="20">
        <v>44893.572569444441</v>
      </c>
      <c r="F37" s="20">
        <v>41166</v>
      </c>
      <c r="G37" s="43">
        <v>4.0000000000000002E-4</v>
      </c>
      <c r="H37" s="21">
        <v>2.8999999999999998E-3</v>
      </c>
      <c r="I37" s="43"/>
      <c r="J37" s="21"/>
      <c r="K37" s="43">
        <f t="shared" ref="K37:L38" si="1">G37</f>
        <v>4.0000000000000002E-4</v>
      </c>
      <c r="L37" s="43">
        <f t="shared" si="1"/>
        <v>2.8999999999999998E-3</v>
      </c>
      <c r="M37" s="22">
        <v>433.283090830822</v>
      </c>
      <c r="N37" s="22">
        <v>18.259999998612201</v>
      </c>
      <c r="O37" s="19"/>
      <c r="P37" s="19"/>
      <c r="Q37" s="19"/>
      <c r="R37" s="19"/>
      <c r="S37" s="22"/>
    </row>
    <row r="38" spans="1:19" x14ac:dyDescent="0.35">
      <c r="A38" t="s">
        <v>47</v>
      </c>
      <c r="B38" s="48">
        <v>1241</v>
      </c>
      <c r="C38" s="48">
        <v>16</v>
      </c>
      <c r="D38" s="48" t="s">
        <v>5</v>
      </c>
      <c r="E38" s="49">
        <v>44939.567002314812</v>
      </c>
      <c r="F38" s="49">
        <v>41166</v>
      </c>
      <c r="G38" s="50">
        <v>2.0112999999999999</v>
      </c>
      <c r="H38" s="51">
        <v>14.956799999999999</v>
      </c>
      <c r="I38" s="43"/>
      <c r="J38" s="21"/>
      <c r="K38" s="43">
        <f t="shared" si="1"/>
        <v>2.0112999999999999</v>
      </c>
      <c r="L38" s="43">
        <f t="shared" si="1"/>
        <v>14.956799999999999</v>
      </c>
      <c r="M38" s="22">
        <v>433.51991556808798</v>
      </c>
      <c r="N38" s="22">
        <v>18.259999998612201</v>
      </c>
      <c r="O38" s="19"/>
      <c r="P38" s="19"/>
      <c r="Q38" s="19"/>
      <c r="R38" s="19"/>
      <c r="S38" s="22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Orig Vendes Reals</vt:lpstr>
      <vt:lpstr>Orig Vendes Reals Nou Ordre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2024-09-07T17:22:57Z</dcterms:created>
  <dcterms:modified xsi:type="dcterms:W3CDTF">2024-09-13T12:15:22Z</dcterms:modified>
</cp:coreProperties>
</file>