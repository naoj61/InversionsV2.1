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7A5F92FD-68DE-4367-B752-6824F620D8C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L9" i="4" l="1"/>
  <c r="N9" i="4" s="1"/>
  <c r="K9" i="4"/>
  <c r="N7" i="4"/>
  <c r="M7" i="4"/>
  <c r="P7" i="4" s="1"/>
  <c r="R7" i="4" s="1"/>
  <c r="L7" i="4"/>
  <c r="K7" i="4"/>
  <c r="P10" i="4"/>
  <c r="P8" i="4"/>
  <c r="P6" i="4"/>
  <c r="P4" i="4"/>
  <c r="K2" i="4"/>
  <c r="N5" i="4"/>
  <c r="O5" i="4" s="1"/>
  <c r="Q5" i="4" s="1"/>
  <c r="M5" i="4"/>
  <c r="P5" i="4" s="1"/>
  <c r="R5" i="4" s="1"/>
  <c r="L5" i="4"/>
  <c r="K5" i="4"/>
  <c r="K10" i="4"/>
  <c r="K8" i="4"/>
  <c r="K6" i="4"/>
  <c r="K3" i="4"/>
  <c r="K4" i="4" s="1"/>
  <c r="H6" i="3"/>
  <c r="H5" i="3"/>
  <c r="H3" i="3"/>
  <c r="H4" i="3" s="1"/>
  <c r="O9" i="4" l="1"/>
  <c r="Q9" i="4" s="1"/>
  <c r="S9" i="4" s="1"/>
  <c r="M9" i="4"/>
  <c r="P9" i="4" s="1"/>
  <c r="R9" i="4" s="1"/>
  <c r="O7" i="4"/>
  <c r="Q7" i="4" s="1"/>
  <c r="S7" i="4" s="1"/>
  <c r="T7" i="4" s="1"/>
  <c r="S5" i="4"/>
  <c r="T5" i="4" s="1"/>
  <c r="H7" i="3"/>
  <c r="T9" i="4" l="1"/>
  <c r="P3" i="4"/>
  <c r="L2" i="4" l="1"/>
  <c r="H2" i="3"/>
  <c r="N2" i="4" l="1"/>
  <c r="M2" i="4" l="1"/>
  <c r="P2" i="4" s="1"/>
  <c r="R2" i="4" s="1"/>
  <c r="O2" i="4"/>
  <c r="Q2" i="4" s="1"/>
  <c r="S2" i="4" s="1"/>
  <c r="T2" i="4" l="1"/>
</calcChain>
</file>

<file path=xl/sharedStrings.xml><?xml version="1.0" encoding="utf-8"?>
<sst xmlns="http://schemas.openxmlformats.org/spreadsheetml/2006/main" count="49" uniqueCount="34">
  <si>
    <t>Traspàs C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</si>
  <si>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</si>
  <si>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</si>
  <si>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</si>
  <si>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</si>
  <si>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</si>
  <si>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</si>
  <si>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</si>
  <si>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</si>
  <si>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</si>
  <si>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</si>
  <si>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</si>
  <si>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</si>
  <si>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</si>
  <si>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</si>
  <si>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</si>
  <si>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</si>
  <si>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</si>
  <si>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</si>
  <si>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</si>
  <si>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</si>
  <si>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</si>
  <si>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</si>
  <si>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</si>
  <si>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PiG</t>
  </si>
  <si>
    <t>Cartera</t>
  </si>
  <si>
    <t>Parts VT o Ocup</t>
  </si>
  <si>
    <t>Imp. Vendes</t>
  </si>
  <si>
    <t>Compra</t>
  </si>
  <si>
    <t>Traspàs V</t>
  </si>
  <si>
    <t>C</t>
  </si>
  <si>
    <t>Biotechnology C USD Acc</t>
  </si>
  <si>
    <t>European Growth N Acc ?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</si>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</sst>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8"/>
  <sheetViews>
    <sheetView zoomScale="130" zoomScaleNormal="130" workbookViewId="0">
      <selection activeCell="H6" sqref="H6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1.26953125" bestFit="1" customWidth="1"/>
  </cols>
  <sheetData>
    <row r="1" spans="1:10" ht="29" x14ac:dyDescent="0.35">
      <c r="A1" s="3" t="s">
        <v>1</v>
      </c>
      <c r="C1" s="3" t="s">
        <v>3</v>
      </c>
      <c r="D1" s="3" t="s">
        <v>4</v>
      </c>
      <c r="E1" s="3" t="s">
        <v>6</v>
      </c>
      <c r="F1" s="3" t="s">
        <v>5</v>
      </c>
      <c r="H1" s="8" t="s">
        <v>7</v>
      </c>
      <c r="I1" s="8" t="s">
        <v>27</v>
      </c>
      <c r="J1" s="8" t="s">
        <v>24</v>
      </c>
    </row>
    <row r="2" spans="1:10" x14ac:dyDescent="0.35">
      <c r="A2" s="5">
        <v>7</v>
      </c>
      <c r="B2" s="5" t="s">
        <v>28</v>
      </c>
      <c r="C2" s="6">
        <v>41492</v>
      </c>
      <c r="D2" s="5">
        <v>24.091999999999999</v>
      </c>
      <c r="E2" s="7">
        <v>250.44120000000001</v>
      </c>
      <c r="F2" s="7">
        <v>6033.63</v>
      </c>
      <c r="H2">
        <f>D2</f>
        <v>24.091999999999999</v>
      </c>
      <c r="I2" s="4"/>
      <c r="J2" s="4"/>
    </row>
    <row r="3" spans="1:10" x14ac:dyDescent="0.35">
      <c r="A3" s="5">
        <v>39</v>
      </c>
      <c r="B3" s="5" t="s">
        <v>0</v>
      </c>
      <c r="C3" s="6">
        <v>41673</v>
      </c>
      <c r="D3" s="5">
        <v>3.1440000000000001</v>
      </c>
      <c r="E3" s="7">
        <v>304.8664</v>
      </c>
      <c r="F3" s="7">
        <v>958.5</v>
      </c>
      <c r="H3" s="1">
        <f>H2+D3</f>
        <v>27.235999999999997</v>
      </c>
    </row>
    <row r="4" spans="1:10" x14ac:dyDescent="0.35">
      <c r="A4" s="5">
        <v>40</v>
      </c>
      <c r="B4" s="5" t="s">
        <v>29</v>
      </c>
      <c r="C4" s="6">
        <v>42047</v>
      </c>
      <c r="D4" s="5">
        <v>15</v>
      </c>
      <c r="E4" s="7">
        <v>457.97989999999999</v>
      </c>
      <c r="F4" s="7">
        <v>6869.7</v>
      </c>
      <c r="H4" s="1">
        <f t="shared" ref="H4:H7" si="0">H3-D4</f>
        <v>12.235999999999997</v>
      </c>
    </row>
    <row r="5" spans="1:10" x14ac:dyDescent="0.35">
      <c r="A5" s="5">
        <v>96</v>
      </c>
      <c r="B5" s="5" t="s">
        <v>0</v>
      </c>
      <c r="C5" s="6">
        <v>42208</v>
      </c>
      <c r="D5" s="5">
        <v>10.042999999999999</v>
      </c>
      <c r="E5" s="7">
        <v>591.1232</v>
      </c>
      <c r="F5" s="7">
        <v>5936.65</v>
      </c>
      <c r="H5" s="1">
        <f>H4+D5</f>
        <v>22.278999999999996</v>
      </c>
    </row>
    <row r="6" spans="1:10" x14ac:dyDescent="0.35">
      <c r="A6" s="5">
        <v>104</v>
      </c>
      <c r="B6" s="5" t="s">
        <v>0</v>
      </c>
      <c r="C6" s="6">
        <v>42311</v>
      </c>
      <c r="D6" s="5">
        <v>4.7E-2</v>
      </c>
      <c r="E6" s="7">
        <v>507.0213</v>
      </c>
      <c r="F6" s="7">
        <v>23.83</v>
      </c>
      <c r="H6" s="1">
        <f>H5+D6</f>
        <v>22.325999999999997</v>
      </c>
    </row>
    <row r="7" spans="1:10" x14ac:dyDescent="0.35">
      <c r="A7" s="5">
        <v>202</v>
      </c>
      <c r="B7" s="5" t="s">
        <v>29</v>
      </c>
      <c r="C7" s="6">
        <v>44491</v>
      </c>
      <c r="D7" s="5">
        <v>22.326000000000001</v>
      </c>
      <c r="E7" s="7">
        <v>676.48</v>
      </c>
      <c r="F7" s="7">
        <v>15103.09</v>
      </c>
      <c r="H7" s="1">
        <f t="shared" si="0"/>
        <v>0</v>
      </c>
    </row>
    <row r="8" spans="1:10" x14ac:dyDescent="0.35">
      <c r="B8" s="5" t="s">
        <v>25</v>
      </c>
      <c r="D8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12"/>
  <sheetViews>
    <sheetView tabSelected="1" zoomScaleNormal="10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K9" sqref="K9:T9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2</v>
      </c>
      <c r="B1" s="10" t="s">
        <v>1</v>
      </c>
      <c r="C1" s="9" t="s">
        <v>8</v>
      </c>
      <c r="D1" s="9" t="s">
        <v>9</v>
      </c>
      <c r="E1" s="11" t="s">
        <v>10</v>
      </c>
      <c r="F1" s="9" t="s">
        <v>11</v>
      </c>
      <c r="G1" s="3" t="s">
        <v>6</v>
      </c>
      <c r="H1" s="3" t="s">
        <v>12</v>
      </c>
      <c r="I1" s="29" t="s">
        <v>4</v>
      </c>
      <c r="J1" s="12" t="s">
        <v>13</v>
      </c>
      <c r="K1" s="9" t="s">
        <v>26</v>
      </c>
      <c r="L1" s="9" t="s">
        <v>14</v>
      </c>
      <c r="M1" s="9" t="s">
        <v>15</v>
      </c>
      <c r="N1" s="9" t="s">
        <v>16</v>
      </c>
      <c r="O1" s="9" t="s">
        <v>17</v>
      </c>
      <c r="P1" s="8" t="s">
        <v>18</v>
      </c>
      <c r="Q1" s="9" t="s">
        <v>19</v>
      </c>
      <c r="R1" s="9" t="s">
        <v>20</v>
      </c>
      <c r="S1" s="9" t="s">
        <v>21</v>
      </c>
      <c r="T1" s="9" t="s">
        <v>22</v>
      </c>
    </row>
    <row r="2" spans="1:20" x14ac:dyDescent="0.35">
      <c r="A2" s="13" t="s">
        <v>30</v>
      </c>
      <c r="B2" s="13">
        <v>7</v>
      </c>
      <c r="C2" s="13">
        <v>7</v>
      </c>
      <c r="D2" s="13" t="s">
        <v>31</v>
      </c>
      <c r="E2" s="14">
        <v>41492.001388888886</v>
      </c>
      <c r="F2" s="14">
        <v>41492.001388888886</v>
      </c>
      <c r="G2" s="15">
        <v>250.44122530300501</v>
      </c>
      <c r="H2" s="16">
        <v>250.44122530300501</v>
      </c>
      <c r="I2" s="30">
        <v>24.091999999999999</v>
      </c>
      <c r="J2" s="22">
        <v>24.091999999999999</v>
      </c>
      <c r="K2" s="17">
        <f>SUM(K3:K4)</f>
        <v>24.091999999999999</v>
      </c>
      <c r="L2" s="17">
        <f>SUM(L3)</f>
        <v>0</v>
      </c>
      <c r="M2" s="17">
        <f>J2/I2*L2</f>
        <v>0</v>
      </c>
      <c r="N2" s="18">
        <f>I2-(L2+K2)</f>
        <v>0</v>
      </c>
      <c r="O2" s="18">
        <f>J2/I2*N2</f>
        <v>0</v>
      </c>
      <c r="P2" s="19">
        <f>H2*M2</f>
        <v>0</v>
      </c>
      <c r="Q2" s="16">
        <f>O2*H2</f>
        <v>0</v>
      </c>
      <c r="R2" s="16">
        <f>SUM(P3)-P2</f>
        <v>0</v>
      </c>
      <c r="S2" s="16">
        <f>N2*G$11-Q2</f>
        <v>0</v>
      </c>
      <c r="T2" s="16">
        <f>R2+S2</f>
        <v>0</v>
      </c>
    </row>
    <row r="3" spans="1:20" x14ac:dyDescent="0.35">
      <c r="A3" s="20" t="s">
        <v>33</v>
      </c>
      <c r="B3" s="20">
        <v>40</v>
      </c>
      <c r="C3" s="20"/>
      <c r="D3" s="20"/>
      <c r="E3" s="21">
        <v>42047</v>
      </c>
      <c r="F3" s="21"/>
      <c r="G3" s="23">
        <v>457.97993333333301</v>
      </c>
      <c r="H3" s="24"/>
      <c r="I3" s="31">
        <v>15</v>
      </c>
      <c r="J3" s="26"/>
      <c r="K3" s="25">
        <f>I3</f>
        <v>15</v>
      </c>
      <c r="L3" s="25"/>
      <c r="M3" s="25"/>
      <c r="N3" s="27"/>
      <c r="O3" s="27"/>
      <c r="P3" s="28">
        <f>L3*G3</f>
        <v>0</v>
      </c>
      <c r="Q3" s="24"/>
      <c r="R3" s="24"/>
      <c r="S3" s="24"/>
      <c r="T3" s="24"/>
    </row>
    <row r="4" spans="1:20" x14ac:dyDescent="0.35">
      <c r="A4" s="20" t="s">
        <v>33</v>
      </c>
      <c r="B4" s="20">
        <v>202</v>
      </c>
      <c r="C4" s="20"/>
      <c r="D4" s="20"/>
      <c r="E4" s="21">
        <v>44491.486944444441</v>
      </c>
      <c r="F4" s="21"/>
      <c r="G4" s="23">
        <v>676.48</v>
      </c>
      <c r="H4" s="24"/>
      <c r="I4" s="31">
        <v>22.326000000000001</v>
      </c>
      <c r="J4" s="26"/>
      <c r="K4" s="25">
        <f>I2-K3</f>
        <v>9.0919999999999987</v>
      </c>
      <c r="L4" s="25"/>
      <c r="M4" s="25"/>
      <c r="N4" s="27"/>
      <c r="O4" s="27"/>
      <c r="P4" s="28">
        <f>L4*G4</f>
        <v>0</v>
      </c>
      <c r="Q4" s="24"/>
      <c r="R4" s="24"/>
      <c r="S4" s="24"/>
      <c r="T4" s="24"/>
    </row>
    <row r="5" spans="1:20" x14ac:dyDescent="0.35">
      <c r="A5" s="13" t="s">
        <v>23</v>
      </c>
      <c r="B5" s="13">
        <v>96</v>
      </c>
      <c r="C5" s="13">
        <v>7</v>
      </c>
      <c r="D5" s="13" t="s">
        <v>31</v>
      </c>
      <c r="E5" s="14">
        <v>42208.759375000001</v>
      </c>
      <c r="F5" s="14">
        <v>41492.001388888886</v>
      </c>
      <c r="G5" s="15">
        <v>591.12317036742002</v>
      </c>
      <c r="H5" s="16">
        <v>250.44122530300501</v>
      </c>
      <c r="I5" s="30">
        <v>10.042999999999999</v>
      </c>
      <c r="J5" s="22">
        <v>12.914</v>
      </c>
      <c r="K5" s="17">
        <f>K6</f>
        <v>10.042999999999999</v>
      </c>
      <c r="L5" s="17">
        <f>SUM(L6)</f>
        <v>0</v>
      </c>
      <c r="M5" s="17">
        <f>J5/I5*L5</f>
        <v>0</v>
      </c>
      <c r="N5" s="18">
        <f>I5-(L5+K5)</f>
        <v>0</v>
      </c>
      <c r="O5" s="18">
        <f>J5/I5*N5</f>
        <v>0</v>
      </c>
      <c r="P5" s="19">
        <f>H5*M5</f>
        <v>0</v>
      </c>
      <c r="Q5" s="16">
        <f>O5*H5</f>
        <v>0</v>
      </c>
      <c r="R5" s="16">
        <f>SUM(P6)-P5</f>
        <v>0</v>
      </c>
      <c r="S5" s="16">
        <f>N5*G$11-Q5</f>
        <v>0</v>
      </c>
      <c r="T5" s="16">
        <f>R5+S5</f>
        <v>0</v>
      </c>
    </row>
    <row r="6" spans="1:20" x14ac:dyDescent="0.35">
      <c r="A6" s="20" t="s">
        <v>33</v>
      </c>
      <c r="B6" s="20">
        <v>202</v>
      </c>
      <c r="C6" s="20"/>
      <c r="D6" s="20"/>
      <c r="E6" s="21">
        <v>44491.486944444441</v>
      </c>
      <c r="F6" s="21"/>
      <c r="G6" s="23">
        <v>676.48</v>
      </c>
      <c r="H6" s="24"/>
      <c r="I6" s="31">
        <v>22.326000000000001</v>
      </c>
      <c r="J6" s="26"/>
      <c r="K6" s="25">
        <f>I5</f>
        <v>10.042999999999999</v>
      </c>
      <c r="L6" s="25"/>
      <c r="M6" s="25"/>
      <c r="N6" s="27"/>
      <c r="O6" s="27"/>
      <c r="P6" s="28">
        <f>L6*G6</f>
        <v>0</v>
      </c>
      <c r="Q6" s="24"/>
      <c r="R6" s="24"/>
      <c r="S6" s="24"/>
      <c r="T6" s="24"/>
    </row>
    <row r="7" spans="1:20" x14ac:dyDescent="0.35">
      <c r="A7" s="13" t="s">
        <v>23</v>
      </c>
      <c r="B7" s="13">
        <v>39</v>
      </c>
      <c r="C7" s="13">
        <v>37</v>
      </c>
      <c r="D7" s="13" t="s">
        <v>32</v>
      </c>
      <c r="E7" s="14">
        <v>41673.001388888886</v>
      </c>
      <c r="F7" s="14">
        <v>41534</v>
      </c>
      <c r="G7" s="15">
        <v>304.86641221373998</v>
      </c>
      <c r="H7" s="16">
        <v>13.029995048601901</v>
      </c>
      <c r="I7" s="30">
        <v>3.1440000000000001</v>
      </c>
      <c r="J7" s="22">
        <v>75</v>
      </c>
      <c r="K7" s="17">
        <f>K8</f>
        <v>3.1440000000000001</v>
      </c>
      <c r="L7" s="17">
        <f>SUM(L8)</f>
        <v>0</v>
      </c>
      <c r="M7" s="17">
        <f>J7/I7*L7</f>
        <v>0</v>
      </c>
      <c r="N7" s="18">
        <f>I7-(L7+K7)</f>
        <v>0</v>
      </c>
      <c r="O7" s="18">
        <f>J7/I7*N7</f>
        <v>0</v>
      </c>
      <c r="P7" s="19">
        <f>H7*M7</f>
        <v>0</v>
      </c>
      <c r="Q7" s="16">
        <f>O7*H7</f>
        <v>0</v>
      </c>
      <c r="R7" s="16">
        <f>SUM(P8)-P7</f>
        <v>0</v>
      </c>
      <c r="S7" s="16">
        <f>N7*G$11-Q7</f>
        <v>0</v>
      </c>
      <c r="T7" s="16">
        <f>R7+S7</f>
        <v>0</v>
      </c>
    </row>
    <row r="8" spans="1:20" x14ac:dyDescent="0.35">
      <c r="A8" s="20" t="s">
        <v>33</v>
      </c>
      <c r="B8" s="20">
        <v>202</v>
      </c>
      <c r="C8" s="20"/>
      <c r="D8" s="20"/>
      <c r="E8" s="21">
        <v>44491.486944444441</v>
      </c>
      <c r="F8" s="21"/>
      <c r="G8" s="23">
        <v>676.48</v>
      </c>
      <c r="H8" s="24"/>
      <c r="I8" s="31">
        <v>22.326000000000001</v>
      </c>
      <c r="J8" s="26"/>
      <c r="K8" s="25">
        <f>I7</f>
        <v>3.1440000000000001</v>
      </c>
      <c r="L8" s="25"/>
      <c r="M8" s="25"/>
      <c r="N8" s="27"/>
      <c r="O8" s="27"/>
      <c r="P8" s="28">
        <f>L8*G8</f>
        <v>0</v>
      </c>
      <c r="Q8" s="24"/>
      <c r="R8" s="24"/>
      <c r="S8" s="24"/>
      <c r="T8" s="24"/>
    </row>
    <row r="9" spans="1:20" x14ac:dyDescent="0.35">
      <c r="A9" s="13" t="s">
        <v>23</v>
      </c>
      <c r="B9" s="13">
        <v>104</v>
      </c>
      <c r="C9" s="13">
        <v>37</v>
      </c>
      <c r="D9" s="13" t="s">
        <v>32</v>
      </c>
      <c r="E9" s="14">
        <v>42311.831203703703</v>
      </c>
      <c r="F9" s="14">
        <v>41534</v>
      </c>
      <c r="G9" s="15">
        <v>507.02127659574398</v>
      </c>
      <c r="H9" s="16">
        <v>13.029995048601901</v>
      </c>
      <c r="I9" s="30">
        <v>4.7E-2</v>
      </c>
      <c r="J9" s="22">
        <v>1.746</v>
      </c>
      <c r="K9" s="17">
        <f>K10</f>
        <v>4.7E-2</v>
      </c>
      <c r="L9" s="17">
        <f>SUM(L10)</f>
        <v>0</v>
      </c>
      <c r="M9" s="17">
        <f>J9/I9*L9</f>
        <v>0</v>
      </c>
      <c r="N9" s="18">
        <f>I9-(L9+K9)</f>
        <v>0</v>
      </c>
      <c r="O9" s="18">
        <f>J9/I9*N9</f>
        <v>0</v>
      </c>
      <c r="P9" s="19">
        <f>H9*M9</f>
        <v>0</v>
      </c>
      <c r="Q9" s="16">
        <f>O9*H9</f>
        <v>0</v>
      </c>
      <c r="R9" s="16">
        <f>SUM(P10)-P9</f>
        <v>0</v>
      </c>
      <c r="S9" s="16">
        <f>N9*G$11-Q9</f>
        <v>0</v>
      </c>
      <c r="T9" s="16">
        <f>R9+S9</f>
        <v>0</v>
      </c>
    </row>
    <row r="10" spans="1:20" x14ac:dyDescent="0.35">
      <c r="A10" s="20" t="s">
        <v>33</v>
      </c>
      <c r="B10" s="20">
        <v>202</v>
      </c>
      <c r="C10" s="20"/>
      <c r="D10" s="20"/>
      <c r="E10" s="21">
        <v>44491.486944444441</v>
      </c>
      <c r="F10" s="21"/>
      <c r="G10" s="23">
        <v>676.48</v>
      </c>
      <c r="H10" s="24"/>
      <c r="I10" s="31">
        <v>22.326000000000001</v>
      </c>
      <c r="J10" s="26"/>
      <c r="K10" s="25">
        <f>I9</f>
        <v>4.7E-2</v>
      </c>
      <c r="L10" s="25"/>
      <c r="M10" s="25"/>
      <c r="N10" s="27"/>
      <c r="O10" s="27"/>
      <c r="P10" s="28">
        <f>L10*G10</f>
        <v>0</v>
      </c>
      <c r="Q10" s="24"/>
      <c r="R10" s="24"/>
      <c r="S10" s="24"/>
      <c r="T10" s="24"/>
    </row>
    <row r="11" spans="1:20" x14ac:dyDescent="0.35">
      <c r="A11" s="33" t="s">
        <v>25</v>
      </c>
      <c r="G11" s="32">
        <v>0</v>
      </c>
      <c r="K11" s="2"/>
      <c r="N11" s="34">
        <v>0</v>
      </c>
    </row>
    <row r="12" spans="1:20" x14ac:dyDescent="0.35">
      <c r="I1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2024-09-20T07:39:23Z</dcterms:modified>
</cp:coreProperties>
</file>