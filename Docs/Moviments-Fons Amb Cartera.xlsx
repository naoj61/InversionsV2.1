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_Actiu\InversionsV2\Docs\"/>
    </mc:Choice>
  </mc:AlternateContent>
  <xr:revisionPtr revIDLastSave="0" documentId="13_ncr:1_{0749296F-A9C9-4299-A0C1-3C039B96B465}" xr6:coauthVersionLast="47" xr6:coauthVersionMax="47" xr10:uidLastSave="{00000000-0000-0000-0000-000000000000}"/>
  <bookViews>
    <workbookView xWindow="22932" yWindow="0" windowWidth="23256" windowHeight="12576" tabRatio="689" xr2:uid="{67C9267C-8DE9-4BF2-8230-BF48900302D9}"/>
  </bookViews>
  <sheets>
    <sheet name="28-Euro Fund" sheetId="1" r:id="rId1"/>
    <sheet name="Orig Vendes Reals 28" sheetId="3" r:id="rId2"/>
    <sheet name="1043-Global Tech US" sheetId="13" r:id="rId3"/>
    <sheet name="Orig Vendes Reals 1043" sheetId="15" r:id="rId4"/>
    <sheet name="27-Global Tech EU" sheetId="7" r:id="rId5"/>
    <sheet name="Orig Vendes Reals 27" sheetId="8" r:id="rId6"/>
    <sheet name="1042-DWS Floating" sheetId="5" r:id="rId7"/>
    <sheet name="Orig Vendes Reals 1042" sheetId="6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1" i="8" l="1"/>
  <c r="T22" i="8"/>
  <c r="S2" i="15"/>
  <c r="Q3" i="15"/>
  <c r="I3" i="15"/>
  <c r="Q3" i="6"/>
  <c r="L2" i="6"/>
  <c r="G3" i="6"/>
  <c r="G3" i="15"/>
  <c r="L15" i="3"/>
  <c r="M15" i="3" s="1"/>
  <c r="I16" i="3"/>
  <c r="T15" i="3" s="1"/>
  <c r="G16" i="3"/>
  <c r="D3" i="13"/>
  <c r="H2" i="13"/>
  <c r="F3" i="5"/>
  <c r="F4" i="5" s="1"/>
  <c r="L14" i="3" l="1"/>
  <c r="T14" i="3" s="1"/>
  <c r="I2" i="13"/>
  <c r="I3" i="13" s="1"/>
  <c r="O15" i="3"/>
  <c r="Q15" i="3" s="1"/>
  <c r="P15" i="3"/>
  <c r="R15" i="3" s="1"/>
  <c r="N15" i="3"/>
  <c r="L13" i="3"/>
  <c r="F3" i="13"/>
  <c r="N2" i="15"/>
  <c r="M2" i="15"/>
  <c r="P2" i="15" s="1"/>
  <c r="N14" i="3" l="1"/>
  <c r="M14" i="3"/>
  <c r="N13" i="3"/>
  <c r="L12" i="3"/>
  <c r="M13" i="3"/>
  <c r="S15" i="3"/>
  <c r="U15" i="3" s="1"/>
  <c r="T13" i="3"/>
  <c r="T12" i="3" s="1"/>
  <c r="O2" i="15"/>
  <c r="Q2" i="15" s="1"/>
  <c r="L3" i="3"/>
  <c r="L5" i="3"/>
  <c r="P14" i="8"/>
  <c r="P9" i="8"/>
  <c r="P8" i="8"/>
  <c r="P7" i="8"/>
  <c r="P6" i="8"/>
  <c r="P4" i="8"/>
  <c r="P3" i="8"/>
  <c r="N18" i="8"/>
  <c r="N17" i="8"/>
  <c r="O17" i="8" s="1"/>
  <c r="N16" i="8"/>
  <c r="O16" i="8" s="1"/>
  <c r="N15" i="8"/>
  <c r="O15" i="8" s="1"/>
  <c r="L13" i="8"/>
  <c r="L2" i="8"/>
  <c r="M2" i="8" s="1"/>
  <c r="O14" i="3" l="1"/>
  <c r="Q14" i="3" s="1"/>
  <c r="S14" i="3" s="1"/>
  <c r="P14" i="3"/>
  <c r="R14" i="3" s="1"/>
  <c r="O18" i="8"/>
  <c r="P13" i="3"/>
  <c r="R13" i="3" s="1"/>
  <c r="O13" i="3"/>
  <c r="Q13" i="3" s="1"/>
  <c r="S13" i="3" s="1"/>
  <c r="L11" i="3"/>
  <c r="T11" i="3" s="1"/>
  <c r="M12" i="3"/>
  <c r="N12" i="3"/>
  <c r="K11" i="1"/>
  <c r="K3" i="1"/>
  <c r="K4" i="1"/>
  <c r="K5" i="1"/>
  <c r="K6" i="1"/>
  <c r="K7" i="1"/>
  <c r="K8" i="1"/>
  <c r="K2" i="1"/>
  <c r="U14" i="3" l="1"/>
  <c r="P12" i="3"/>
  <c r="R12" i="3" s="1"/>
  <c r="O12" i="3"/>
  <c r="Q12" i="3" s="1"/>
  <c r="S12" i="3" s="1"/>
  <c r="L10" i="3"/>
  <c r="M11" i="3"/>
  <c r="N11" i="3"/>
  <c r="U13" i="3"/>
  <c r="T2" i="15"/>
  <c r="T35" i="3"/>
  <c r="G19" i="8"/>
  <c r="N2" i="6"/>
  <c r="N3" i="6" s="1"/>
  <c r="P11" i="3" l="1"/>
  <c r="R11" i="3" s="1"/>
  <c r="O11" i="3"/>
  <c r="Q11" i="3" s="1"/>
  <c r="N10" i="3"/>
  <c r="M10" i="3"/>
  <c r="L9" i="3"/>
  <c r="U12" i="3"/>
  <c r="S11" i="3"/>
  <c r="T10" i="3"/>
  <c r="T9" i="3" s="1"/>
  <c r="R3" i="15"/>
  <c r="N3" i="15"/>
  <c r="L4" i="3"/>
  <c r="L2" i="3"/>
  <c r="T2" i="3" s="1"/>
  <c r="M2" i="6"/>
  <c r="N4" i="3" l="1"/>
  <c r="T4" i="3"/>
  <c r="U11" i="3"/>
  <c r="O10" i="3"/>
  <c r="Q10" i="3" s="1"/>
  <c r="S10" i="3" s="1"/>
  <c r="P10" i="3"/>
  <c r="R10" i="3" s="1"/>
  <c r="M9" i="3"/>
  <c r="L8" i="3"/>
  <c r="T8" i="3" s="1"/>
  <c r="N9" i="3"/>
  <c r="T3" i="15"/>
  <c r="S3" i="15"/>
  <c r="M4" i="3"/>
  <c r="P4" i="3" s="1"/>
  <c r="R4" i="3" s="1"/>
  <c r="R5" i="3" s="1"/>
  <c r="P2" i="6"/>
  <c r="O2" i="6"/>
  <c r="Q2" i="6" s="1"/>
  <c r="M18" i="8"/>
  <c r="M17" i="8"/>
  <c r="M16" i="8"/>
  <c r="M15" i="8"/>
  <c r="K14" i="8"/>
  <c r="K13" i="8" s="1"/>
  <c r="N13" i="8" s="1"/>
  <c r="O13" i="8" s="1"/>
  <c r="K9" i="8"/>
  <c r="K8" i="8"/>
  <c r="K7" i="8"/>
  <c r="K3" i="8"/>
  <c r="P2" i="8"/>
  <c r="O4" i="3" l="1"/>
  <c r="Q4" i="3" s="1"/>
  <c r="S4" i="3" s="1"/>
  <c r="U4" i="3" s="1"/>
  <c r="R2" i="6"/>
  <c r="R3" i="6" s="1"/>
  <c r="S2" i="6"/>
  <c r="T2" i="6" s="1"/>
  <c r="T3" i="6" s="1"/>
  <c r="K4" i="8"/>
  <c r="K2" i="8" s="1"/>
  <c r="N2" i="8" s="1"/>
  <c r="L7" i="3"/>
  <c r="T7" i="3" s="1"/>
  <c r="N8" i="3"/>
  <c r="M8" i="3"/>
  <c r="P9" i="3"/>
  <c r="R9" i="3" s="1"/>
  <c r="O9" i="3"/>
  <c r="Q9" i="3" s="1"/>
  <c r="S9" i="3" s="1"/>
  <c r="U10" i="3"/>
  <c r="P16" i="8"/>
  <c r="P17" i="8"/>
  <c r="Q17" i="8"/>
  <c r="S17" i="8" s="1"/>
  <c r="T17" i="8" s="1"/>
  <c r="Q16" i="8"/>
  <c r="S16" i="8" s="1"/>
  <c r="T16" i="8" s="1"/>
  <c r="P18" i="8"/>
  <c r="Q18" i="8"/>
  <c r="P15" i="8"/>
  <c r="Q15" i="8"/>
  <c r="S15" i="8" s="1"/>
  <c r="T15" i="8" s="1"/>
  <c r="K6" i="8"/>
  <c r="K5" i="8" s="1"/>
  <c r="L10" i="8" s="1"/>
  <c r="S3" i="6" l="1"/>
  <c r="L5" i="8"/>
  <c r="P10" i="8"/>
  <c r="S18" i="8"/>
  <c r="U9" i="3"/>
  <c r="O8" i="3"/>
  <c r="Q8" i="3" s="1"/>
  <c r="S8" i="3" s="1"/>
  <c r="P8" i="3"/>
  <c r="R8" i="3" s="1"/>
  <c r="L6" i="3"/>
  <c r="M7" i="3"/>
  <c r="N7" i="3"/>
  <c r="M13" i="8"/>
  <c r="P13" i="8" s="1"/>
  <c r="R2" i="8"/>
  <c r="O2" i="8"/>
  <c r="Q2" i="8" s="1"/>
  <c r="S2" i="8" s="1"/>
  <c r="T18" i="8" l="1"/>
  <c r="N5" i="8"/>
  <c r="O5" i="8" s="1"/>
  <c r="M5" i="8"/>
  <c r="P5" i="8" s="1"/>
  <c r="O7" i="3"/>
  <c r="Q7" i="3" s="1"/>
  <c r="S7" i="3" s="1"/>
  <c r="P7" i="3"/>
  <c r="R7" i="3" s="1"/>
  <c r="U8" i="3"/>
  <c r="M6" i="3"/>
  <c r="N6" i="3"/>
  <c r="T6" i="3"/>
  <c r="R13" i="8"/>
  <c r="Q13" i="8"/>
  <c r="S13" i="8" s="1"/>
  <c r="P28" i="8"/>
  <c r="Q28" i="8" s="1"/>
  <c r="R5" i="8"/>
  <c r="L12" i="8"/>
  <c r="P12" i="8" s="1"/>
  <c r="T2" i="8"/>
  <c r="Q5" i="8"/>
  <c r="S5" i="8" s="1"/>
  <c r="P6" i="3" l="1"/>
  <c r="R6" i="3" s="1"/>
  <c r="O6" i="3"/>
  <c r="Q6" i="3" s="1"/>
  <c r="S6" i="3" s="1"/>
  <c r="U7" i="3"/>
  <c r="T13" i="8"/>
  <c r="T5" i="8"/>
  <c r="L11" i="8"/>
  <c r="N11" i="8" s="1"/>
  <c r="O11" i="8" s="1"/>
  <c r="P29" i="8"/>
  <c r="Q29" i="8" s="1"/>
  <c r="Q30" i="8" s="1"/>
  <c r="U6" i="3" l="1"/>
  <c r="M11" i="8"/>
  <c r="P11" i="8" s="1"/>
  <c r="R11" i="8" l="1"/>
  <c r="P22" i="8" s="1"/>
  <c r="Q11" i="8"/>
  <c r="Q19" i="8" s="1"/>
  <c r="N19" i="8"/>
  <c r="R19" i="8" l="1"/>
  <c r="S11" i="8"/>
  <c r="T11" i="8" s="1"/>
  <c r="T19" i="8" s="1"/>
  <c r="P23" i="8" l="1"/>
  <c r="P24" i="8" s="1"/>
  <c r="S19" i="8"/>
  <c r="F15" i="7" l="1"/>
  <c r="F14" i="7"/>
  <c r="F11" i="7"/>
  <c r="J10" i="7"/>
  <c r="K10" i="7" s="1"/>
  <c r="F10" i="7"/>
  <c r="J9" i="7"/>
  <c r="K9" i="7" s="1"/>
  <c r="F9" i="7"/>
  <c r="F8" i="7"/>
  <c r="Q31" i="8" s="1"/>
  <c r="Q32" i="8" s="1"/>
  <c r="F7" i="7"/>
  <c r="F6" i="7"/>
  <c r="F5" i="7"/>
  <c r="F4" i="7"/>
  <c r="F3" i="7"/>
  <c r="I2" i="7"/>
  <c r="J2" i="7" s="1"/>
  <c r="H2" i="7"/>
  <c r="H3" i="7" s="1"/>
  <c r="H4" i="7" s="1"/>
  <c r="H5" i="7" s="1"/>
  <c r="H6" i="7" s="1"/>
  <c r="H7" i="7" s="1"/>
  <c r="H8" i="7" s="1"/>
  <c r="H9" i="7" s="1"/>
  <c r="H10" i="7" s="1"/>
  <c r="H11" i="7" s="1"/>
  <c r="D12" i="7" s="1"/>
  <c r="F12" i="7" s="1"/>
  <c r="F2" i="7"/>
  <c r="K2" i="7" l="1"/>
  <c r="K13" i="7" s="1"/>
  <c r="M10" i="7"/>
  <c r="N10" i="7" s="1"/>
  <c r="M9" i="7"/>
  <c r="N9" i="7" s="1"/>
  <c r="L2" i="7"/>
  <c r="J12" i="7"/>
  <c r="M2" i="7"/>
  <c r="N2" i="7" l="1"/>
  <c r="N13" i="7" s="1"/>
  <c r="M13" i="7"/>
  <c r="L13" i="7"/>
  <c r="G24" i="3"/>
  <c r="F24" i="3"/>
  <c r="H2" i="1"/>
  <c r="J11" i="1"/>
  <c r="L8" i="1"/>
  <c r="L3" i="1"/>
  <c r="I4" i="1"/>
  <c r="L4" i="1" s="1"/>
  <c r="I5" i="1"/>
  <c r="L5" i="1" s="1"/>
  <c r="I6" i="1"/>
  <c r="L6" i="1" s="1"/>
  <c r="I7" i="1"/>
  <c r="L7" i="1" s="1"/>
  <c r="I8" i="1"/>
  <c r="I3" i="1"/>
  <c r="I2" i="1"/>
  <c r="L2" i="1" s="1"/>
  <c r="J2" i="1"/>
  <c r="H9" i="1"/>
  <c r="H3" i="1"/>
  <c r="H4" i="1"/>
  <c r="H5" i="1"/>
  <c r="H6" i="1"/>
  <c r="H7" i="1"/>
  <c r="H8" i="1"/>
  <c r="G2" i="1"/>
  <c r="G3" i="1" s="1"/>
  <c r="G4" i="1" s="1"/>
  <c r="G5" i="1" s="1"/>
  <c r="G6" i="1" s="1"/>
  <c r="G7" i="1" s="1"/>
  <c r="G8" i="1" l="1"/>
  <c r="G9" i="1" s="1"/>
  <c r="D10" i="1" s="1"/>
  <c r="H10" i="1" s="1"/>
  <c r="L11" i="1"/>
  <c r="L12" i="1" s="1"/>
  <c r="G27" i="3"/>
  <c r="M2" i="3" l="1"/>
  <c r="N2" i="3"/>
  <c r="P2" i="3" l="1"/>
  <c r="R2" i="3" s="1"/>
  <c r="R3" i="3" s="1"/>
  <c r="O2" i="3"/>
  <c r="Q2" i="3" s="1"/>
  <c r="S2" i="3" s="1"/>
  <c r="S16" i="3" s="1"/>
  <c r="U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joanp</author>
  </authors>
  <commentList>
    <comment ref="R2" authorId="0" shapeId="0" xr:uid="{EF8E76C8-EE36-4BEF-8338-4EA99D9F2E89}">
      <text>
        <r>
          <rPr>
            <b/>
            <sz val="9"/>
            <color indexed="81"/>
            <rFont val="Tahoma"/>
            <family val="2"/>
          </rPr>
          <t>Ha de ser: 1,836,64€
Segons SelfBank</t>
        </r>
      </text>
    </comment>
  </commentList>
</comments>
</file>

<file path=xl/sharedStrings.xml><?xml version="1.0" encoding="utf-8"?>
<sst xmlns="http://schemas.openxmlformats.org/spreadsheetml/2006/main" count="215" uniqueCount="67">
  <si>
    <t>Traspàs C</t>
  </si>
  <si>
    <t>Venda</t>
  </si>
  <si>
    <t>Parts</t>
  </si>
  <si>
    <t>PU</t>
  </si>
  <si>
    <t>Total Return N Acc €-H1</t>
  </si>
  <si>
    <t>Id Orig</t>
  </si>
  <si>
    <t>Id</t>
  </si>
  <si>
    <t>Data Orig Compra</t>
  </si>
  <si>
    <t>Parts Util</t>
  </si>
  <si>
    <t>PiG</t>
  </si>
  <si>
    <t>Cartera</t>
  </si>
  <si>
    <t>PiG Cartera</t>
  </si>
  <si>
    <t>Part cartera</t>
  </si>
  <si>
    <t>Parts Orig</t>
  </si>
  <si>
    <t>Parts Orig Ut</t>
  </si>
  <si>
    <t>Parts en cartera</t>
  </si>
  <si>
    <t>Parts orig en cartera</t>
  </si>
  <si>
    <t>PU Orig</t>
  </si>
  <si>
    <t>Import Orig venda real</t>
  </si>
  <si>
    <t>Pig Origen venda real</t>
  </si>
  <si>
    <t>Nom Fons Orig</t>
  </si>
  <si>
    <t>Bolsa Tecnología y Telecomunicaciones FI</t>
  </si>
  <si>
    <t>Optimal Income A-H Grs Acc Hdg EUR</t>
  </si>
  <si>
    <t>Biotechnology C USD Acc</t>
  </si>
  <si>
    <t>European Growth N Acc ?</t>
  </si>
  <si>
    <t>Trea Renta Fija Ahorro S FI</t>
  </si>
  <si>
    <t>Data Compra Venda</t>
  </si>
  <si>
    <t>Import Orig en cartera</t>
  </si>
  <si>
    <t>Data compra</t>
  </si>
  <si>
    <t>Import</t>
  </si>
  <si>
    <t>Data venda</t>
  </si>
  <si>
    <t>Venda 1278 segons SelfBank</t>
  </si>
  <si>
    <t>Total</t>
  </si>
  <si>
    <t>Mov</t>
  </si>
  <si>
    <t>CT</t>
  </si>
  <si>
    <t>V</t>
  </si>
  <si>
    <t>Brut</t>
  </si>
  <si>
    <t>Saldo Parts</t>
  </si>
  <si>
    <t>Venudes</t>
  </si>
  <si>
    <t>En cartera</t>
  </si>
  <si>
    <t>PiG venudes</t>
  </si>
  <si>
    <t>PiG cartera</t>
  </si>
  <si>
    <t>Traspàs V</t>
  </si>
  <si>
    <t>Totals ---&gt;</t>
  </si>
  <si>
    <t>PiG venda 1251</t>
  </si>
  <si>
    <t>PiG venda 1279</t>
  </si>
  <si>
    <t>VT</t>
  </si>
  <si>
    <t>Pictet-short-term Money Market Chf R</t>
  </si>
  <si>
    <t>Venda 1251</t>
  </si>
  <si>
    <t>Compra 173</t>
  </si>
  <si>
    <t>Parts comp orig</t>
  </si>
  <si>
    <t>Imp comp Orig</t>
  </si>
  <si>
    <t>PiG vendes</t>
  </si>
  <si>
    <t>C</t>
  </si>
  <si>
    <t>Pig SelfBank</t>
  </si>
  <si>
    <t>PiG Total</t>
  </si>
  <si>
    <t>Import compra cartera</t>
  </si>
  <si>
    <t>Compra</t>
  </si>
  <si>
    <t>Import comp cartera</t>
  </si>
  <si>
    <t>PiG 1251</t>
  </si>
  <si>
    <t>Import compra</t>
  </si>
  <si>
    <t>Import Venda</t>
  </si>
  <si>
    <t>PiG Origen en cartera</t>
  </si>
  <si>
    <t>Parts VT o Ocup.</t>
  </si>
  <si>
    <t>DWS Floating Rate Notes LC</t>
  </si>
  <si>
    <t>Compra 1273</t>
  </si>
  <si>
    <t>compra 1275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</si>
</sst>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#,##0.00\ &quot;€&quot;;[Red]\-#,##0.00\ &quot;€&quot;"/>
    <numFmt numFmtId="164" formatCode="#,##0.000\ &quot;€&quot;;[Red]\-#,##0.000\ &quot;€&quot;"/>
    <numFmt numFmtId="165" formatCode="#,##0.000"/>
    <numFmt numFmtId="166" formatCode="#,##0.000\ &quot;€&quot;"/>
    <numFmt numFmtId="167" formatCode="#,##0.00\ &quot;€&quot;"/>
    <numFmt numFmtId="168" formatCode="#,##0.0000"/>
    <numFmt numFmtId="169" formatCode="0.000"/>
    <numFmt numFmtId="170" formatCode="0.0000"/>
    <numFmt numFmtId="171" formatCode="#,##0.000000\ &quot;€&quot;;[Red]\-#,##0.0000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/>
    </xf>
    <xf numFmtId="8" fontId="1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center" wrapText="1"/>
    </xf>
    <xf numFmtId="165" fontId="0" fillId="0" borderId="0" xfId="0" applyNumberFormat="1"/>
    <xf numFmtId="166" fontId="0" fillId="0" borderId="0" xfId="0" applyNumberForma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0" fillId="3" borderId="0" xfId="0" applyFill="1"/>
    <xf numFmtId="14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2" borderId="0" xfId="0" applyFill="1"/>
    <xf numFmtId="14" fontId="0" fillId="2" borderId="0" xfId="0" applyNumberFormat="1" applyFill="1"/>
    <xf numFmtId="165" fontId="0" fillId="2" borderId="0" xfId="0" applyNumberFormat="1" applyFill="1"/>
    <xf numFmtId="166" fontId="0" fillId="2" borderId="0" xfId="0" applyNumberFormat="1" applyFill="1"/>
    <xf numFmtId="166" fontId="1" fillId="0" borderId="0" xfId="0" applyNumberFormat="1" applyFont="1"/>
    <xf numFmtId="167" fontId="0" fillId="0" borderId="0" xfId="0" applyNumberFormat="1"/>
    <xf numFmtId="14" fontId="1" fillId="0" borderId="1" xfId="0" applyNumberFormat="1" applyFont="1" applyBorder="1"/>
    <xf numFmtId="165" fontId="0" fillId="0" borderId="2" xfId="0" applyNumberFormat="1" applyBorder="1"/>
    <xf numFmtId="165" fontId="0" fillId="0" borderId="3" xfId="0" applyNumberFormat="1" applyBorder="1"/>
    <xf numFmtId="14" fontId="1" fillId="0" borderId="4" xfId="0" applyNumberFormat="1" applyFont="1" applyBorder="1"/>
    <xf numFmtId="165" fontId="1" fillId="0" borderId="0" xfId="0" applyNumberFormat="1" applyFont="1"/>
    <xf numFmtId="14" fontId="0" fillId="0" borderId="4" xfId="0" applyNumberFormat="1" applyBorder="1"/>
    <xf numFmtId="167" fontId="0" fillId="0" borderId="5" xfId="0" applyNumberFormat="1" applyBorder="1"/>
    <xf numFmtId="167" fontId="1" fillId="0" borderId="5" xfId="0" applyNumberFormat="1" applyFont="1" applyBorder="1"/>
    <xf numFmtId="14" fontId="0" fillId="0" borderId="6" xfId="0" applyNumberFormat="1" applyBorder="1"/>
    <xf numFmtId="165" fontId="1" fillId="0" borderId="7" xfId="0" applyNumberFormat="1" applyFont="1" applyBorder="1" applyAlignment="1">
      <alignment horizontal="right"/>
    </xf>
    <xf numFmtId="167" fontId="1" fillId="0" borderId="8" xfId="0" applyNumberFormat="1" applyFont="1" applyBorder="1"/>
    <xf numFmtId="165" fontId="1" fillId="0" borderId="0" xfId="0" applyNumberFormat="1" applyFont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68" fontId="0" fillId="3" borderId="0" xfId="0" applyNumberFormat="1" applyFill="1"/>
    <xf numFmtId="168" fontId="0" fillId="2" borderId="0" xfId="0" applyNumberFormat="1" applyFill="1"/>
    <xf numFmtId="168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165" fontId="0" fillId="0" borderId="0" xfId="0" applyNumberFormat="1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167" fontId="1" fillId="0" borderId="0" xfId="0" applyNumberFormat="1" applyFont="1"/>
    <xf numFmtId="0" fontId="0" fillId="0" borderId="9" xfId="0" applyBorder="1"/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169" fontId="0" fillId="3" borderId="0" xfId="0" applyNumberFormat="1" applyFill="1"/>
    <xf numFmtId="167" fontId="0" fillId="3" borderId="0" xfId="0" applyNumberFormat="1" applyFill="1"/>
    <xf numFmtId="165" fontId="0" fillId="2" borderId="0" xfId="0" applyNumberFormat="1" applyFill="1" applyAlignment="1">
      <alignment vertical="center" wrapText="1"/>
    </xf>
    <xf numFmtId="169" fontId="1" fillId="0" borderId="0" xfId="0" applyNumberFormat="1" applyFont="1"/>
    <xf numFmtId="169" fontId="1" fillId="0" borderId="0" xfId="0" applyNumberFormat="1" applyFont="1" applyAlignment="1">
      <alignment horizontal="right"/>
    </xf>
    <xf numFmtId="165" fontId="1" fillId="0" borderId="9" xfId="0" applyNumberFormat="1" applyFont="1" applyBorder="1"/>
    <xf numFmtId="165" fontId="1" fillId="0" borderId="11" xfId="0" applyNumberFormat="1" applyFont="1" applyBorder="1"/>
    <xf numFmtId="169" fontId="1" fillId="0" borderId="4" xfId="0" applyNumberFormat="1" applyFont="1" applyBorder="1"/>
    <xf numFmtId="166" fontId="1" fillId="0" borderId="5" xfId="0" applyNumberFormat="1" applyFont="1" applyBorder="1"/>
    <xf numFmtId="169" fontId="1" fillId="0" borderId="9" xfId="0" applyNumberFormat="1" applyFont="1" applyBorder="1"/>
    <xf numFmtId="166" fontId="1" fillId="0" borderId="11" xfId="0" applyNumberFormat="1" applyFont="1" applyBorder="1"/>
    <xf numFmtId="166" fontId="0" fillId="4" borderId="0" xfId="0" applyNumberFormat="1" applyFill="1"/>
    <xf numFmtId="170" fontId="0" fillId="0" borderId="0" xfId="0" applyNumberFormat="1"/>
    <xf numFmtId="170" fontId="1" fillId="0" borderId="0" xfId="0" applyNumberFormat="1" applyFont="1"/>
    <xf numFmtId="171" fontId="0" fillId="0" borderId="0" xfId="0" applyNumberFormat="1"/>
    <xf numFmtId="164" fontId="1" fillId="0" borderId="0" xfId="0" applyNumberFormat="1" applyFont="1"/>
    <xf numFmtId="169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4" xfId="0" applyBorder="1"/>
    <xf numFmtId="0" fontId="1" fillId="0" borderId="2" xfId="0" applyFont="1" applyBorder="1" applyAlignment="1">
      <alignment horizontal="right"/>
    </xf>
    <xf numFmtId="166" fontId="0" fillId="0" borderId="5" xfId="0" applyNumberFormat="1" applyBorder="1"/>
    <xf numFmtId="166" fontId="0" fillId="0" borderId="11" xfId="0" applyNumberFormat="1" applyBorder="1"/>
    <xf numFmtId="165" fontId="1" fillId="0" borderId="5" xfId="0" applyNumberFormat="1" applyFont="1" applyBorder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3" fontId="0" fillId="0" borderId="4" xfId="0" applyNumberFormat="1" applyBorder="1"/>
    <xf numFmtId="3" fontId="0" fillId="0" borderId="6" xfId="0" applyNumberFormat="1" applyBorder="1"/>
    <xf numFmtId="165" fontId="0" fillId="0" borderId="7" xfId="0" applyNumberFormat="1" applyBorder="1"/>
    <xf numFmtId="166" fontId="0" fillId="0" borderId="8" xfId="0" applyNumberFormat="1" applyBorder="1"/>
    <xf numFmtId="165" fontId="0" fillId="0" borderId="9" xfId="0" applyNumberFormat="1" applyBorder="1"/>
    <xf numFmtId="165" fontId="0" fillId="0" borderId="11" xfId="0" applyNumberFormat="1" applyBorder="1"/>
    <xf numFmtId="165" fontId="1" fillId="0" borderId="10" xfId="0" applyNumberFormat="1" applyFont="1" applyBorder="1" applyAlignment="1">
      <alignment horizontal="right"/>
    </xf>
    <xf numFmtId="165" fontId="1" fillId="0" borderId="4" xfId="0" applyNumberFormat="1" applyFont="1" applyBorder="1" applyAlignment="1">
      <alignment horizontal="center" wrapText="1"/>
    </xf>
    <xf numFmtId="164" fontId="0" fillId="3" borderId="0" xfId="0" applyNumberFormat="1" applyFill="1" applyAlignment="1">
      <alignment vertical="center" wrapText="1"/>
    </xf>
    <xf numFmtId="0" fontId="0" fillId="2" borderId="0" xfId="0" applyFill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0" fontId="1" fillId="0" borderId="12" xfId="0" applyFont="1" applyBorder="1" applyAlignment="1">
      <alignment horizontal="center" vertical="center" wrapText="1"/>
    </xf>
    <xf numFmtId="0" fontId="0" fillId="3" borderId="12" xfId="0" applyFill="1" applyBorder="1"/>
    <xf numFmtId="165" fontId="0" fillId="2" borderId="12" xfId="0" applyNumberFormat="1" applyFill="1" applyBorder="1" applyAlignment="1">
      <alignment vertical="center" wrapText="1"/>
    </xf>
    <xf numFmtId="165" fontId="0" fillId="2" borderId="12" xfId="0" applyNumberFormat="1" applyFill="1" applyBorder="1"/>
    <xf numFmtId="0" fontId="0" fillId="3" borderId="12" xfId="0" applyFill="1" applyBorder="1" applyAlignment="1">
      <alignment vertical="center" wrapText="1"/>
    </xf>
    <xf numFmtId="169" fontId="0" fillId="3" borderId="12" xfId="0" applyNumberFormat="1" applyFill="1" applyBorder="1"/>
    <xf numFmtId="0" fontId="0" fillId="3" borderId="0" xfId="0" applyFill="1" applyAlignment="1">
      <alignment vertical="center" wrapText="1"/>
    </xf>
    <xf numFmtId="165" fontId="1" fillId="0" borderId="12" xfId="0" applyNumberFormat="1" applyFont="1" applyBorder="1" applyAlignment="1">
      <alignment horizontal="center" vertical="center" wrapText="1"/>
    </xf>
    <xf numFmtId="165" fontId="0" fillId="3" borderId="12" xfId="0" applyNumberFormat="1" applyFill="1" applyBorder="1"/>
    <xf numFmtId="165" fontId="0" fillId="5" borderId="0" xfId="0" applyNumberFormat="1" applyFill="1"/>
    <xf numFmtId="166" fontId="1" fillId="5" borderId="0" xfId="0" applyNumberFormat="1" applyFont="1" applyFill="1"/>
    <xf numFmtId="169" fontId="1" fillId="5" borderId="0" xfId="0" applyNumberFormat="1" applyFont="1" applyFill="1"/>
    <xf numFmtId="165" fontId="1" fillId="5" borderId="0" xfId="0" applyNumberFormat="1" applyFont="1" applyFill="1" applyAlignment="1">
      <alignment horizontal="left"/>
    </xf>
    <xf numFmtId="165" fontId="1" fillId="5" borderId="0" xfId="0" applyNumberFormat="1" applyFont="1" applyFill="1"/>
    <xf numFmtId="165" fontId="1" fillId="0" borderId="1" xfId="0" applyNumberFormat="1" applyFont="1" applyBorder="1"/>
    <xf numFmtId="166" fontId="1" fillId="0" borderId="3" xfId="0" applyNumberFormat="1" applyFont="1" applyBorder="1"/>
    <xf numFmtId="165" fontId="1" fillId="0" borderId="6" xfId="0" applyNumberFormat="1" applyFont="1" applyBorder="1"/>
    <xf numFmtId="166" fontId="1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2929-4B06-4139-B4E9-4C5E94C8598C}">
  <sheetPr>
    <tabColor rgb="FFFFC000"/>
  </sheetPr>
  <dimension ref="A1:L12"/>
  <sheetViews>
    <sheetView tabSelected="1" zoomScale="145" zoomScaleNormal="145" workbookViewId="0">
      <pane ySplit="1" topLeftCell="A2" activePane="bottomLeft" state="frozen"/>
      <selection activeCell="J11" sqref="J11"/>
      <selection pane="bottomLeft" activeCell="J2" sqref="J2"/>
    </sheetView>
  </sheetViews>
  <sheetFormatPr defaultRowHeight="14.5" x14ac:dyDescent="0.35"/>
  <cols>
    <col min="1" max="1" width="4.90625" bestFit="1" customWidth="1"/>
    <col min="3" max="3" width="10.81640625" bestFit="1" customWidth="1"/>
    <col min="4" max="4" width="8" customWidth="1"/>
    <col min="5" max="5" width="9.1796875" bestFit="1" customWidth="1"/>
    <col min="6" max="6" width="1.7265625" customWidth="1"/>
    <col min="8" max="8" width="11.1796875" bestFit="1" customWidth="1"/>
    <col min="9" max="9" width="10.1796875" customWidth="1"/>
    <col min="10" max="10" width="10.08984375" bestFit="1" customWidth="1"/>
    <col min="11" max="11" width="11.90625" customWidth="1"/>
    <col min="12" max="12" width="10.81640625" bestFit="1" customWidth="1"/>
  </cols>
  <sheetData>
    <row r="1" spans="1:12" ht="29" x14ac:dyDescent="0.35">
      <c r="A1" s="46"/>
      <c r="B1" s="46"/>
      <c r="C1" s="46"/>
      <c r="D1" s="46" t="s">
        <v>2</v>
      </c>
      <c r="E1" s="46" t="s">
        <v>3</v>
      </c>
      <c r="F1" s="46"/>
      <c r="G1" s="46"/>
      <c r="H1" s="46"/>
      <c r="I1" s="46" t="s">
        <v>12</v>
      </c>
      <c r="J1" s="46" t="s">
        <v>9</v>
      </c>
      <c r="K1" s="11" t="s">
        <v>58</v>
      </c>
      <c r="L1" s="46" t="s">
        <v>11</v>
      </c>
    </row>
    <row r="2" spans="1:12" x14ac:dyDescent="0.35">
      <c r="A2" s="1">
        <v>197</v>
      </c>
      <c r="B2" s="6" t="s">
        <v>0</v>
      </c>
      <c r="C2" s="3">
        <v>44473</v>
      </c>
      <c r="D2" s="70">
        <v>24.54</v>
      </c>
      <c r="E2" s="48">
        <v>435.1019</v>
      </c>
      <c r="G2">
        <f>D2</f>
        <v>24.54</v>
      </c>
      <c r="H2" s="4">
        <f>-D2*E2</f>
        <v>-10677.400625999999</v>
      </c>
      <c r="I2" s="10">
        <f>D2-D9</f>
        <v>5.9039999999999999</v>
      </c>
      <c r="J2" s="4">
        <f>(E9-E2)*D9</f>
        <v>421.92276719999984</v>
      </c>
      <c r="K2" s="4">
        <f>I2*E2</f>
        <v>2568.8416176000001</v>
      </c>
      <c r="L2" s="4">
        <f t="shared" ref="L2:L8" si="0">(E$10-E2)*I2</f>
        <v>150.00410879999993</v>
      </c>
    </row>
    <row r="3" spans="1:12" x14ac:dyDescent="0.35">
      <c r="A3" s="1">
        <v>203</v>
      </c>
      <c r="B3" s="6" t="s">
        <v>0</v>
      </c>
      <c r="C3" s="3">
        <v>44496</v>
      </c>
      <c r="D3" s="70">
        <v>34.723999999999997</v>
      </c>
      <c r="E3" s="48">
        <v>434.9468</v>
      </c>
      <c r="G3">
        <f>G2+D3</f>
        <v>59.263999999999996</v>
      </c>
      <c r="H3" s="4">
        <f t="shared" ref="H3:H8" si="1">-D3*E3</f>
        <v>-15103.092683199999</v>
      </c>
      <c r="I3" s="10">
        <f>D3</f>
        <v>34.723999999999997</v>
      </c>
      <c r="K3" s="4">
        <f t="shared" ref="K3:K8" si="2">I3*E3</f>
        <v>15103.092683199999</v>
      </c>
      <c r="L3" s="4">
        <f t="shared" si="0"/>
        <v>887.62530519999973</v>
      </c>
    </row>
    <row r="4" spans="1:12" x14ac:dyDescent="0.35">
      <c r="A4" s="1">
        <v>205</v>
      </c>
      <c r="B4" s="6" t="s">
        <v>0</v>
      </c>
      <c r="C4" s="3">
        <v>44524</v>
      </c>
      <c r="D4" s="70">
        <v>46.265999999999998</v>
      </c>
      <c r="E4" s="48">
        <v>434.7577</v>
      </c>
      <c r="G4">
        <f t="shared" ref="G4:G8" si="3">G3+D4</f>
        <v>105.53</v>
      </c>
      <c r="H4" s="4">
        <f t="shared" si="1"/>
        <v>-20114.4997482</v>
      </c>
      <c r="I4" s="10">
        <f t="shared" ref="I4:I8" si="4">D4</f>
        <v>46.265999999999998</v>
      </c>
      <c r="K4" s="4">
        <f t="shared" si="2"/>
        <v>20114.4997482</v>
      </c>
      <c r="L4" s="4">
        <f t="shared" si="0"/>
        <v>1191.4142723999994</v>
      </c>
    </row>
    <row r="5" spans="1:12" x14ac:dyDescent="0.35">
      <c r="A5" s="1">
        <v>217</v>
      </c>
      <c r="B5" s="6" t="s">
        <v>0</v>
      </c>
      <c r="C5" s="3">
        <v>44725</v>
      </c>
      <c r="D5" s="70">
        <v>23.23</v>
      </c>
      <c r="E5" s="48">
        <v>433.28309999999999</v>
      </c>
      <c r="G5">
        <f t="shared" si="3"/>
        <v>128.76</v>
      </c>
      <c r="H5" s="4">
        <f t="shared" si="1"/>
        <v>-10065.166413000001</v>
      </c>
      <c r="I5" s="10">
        <f t="shared" si="4"/>
        <v>23.23</v>
      </c>
      <c r="K5" s="4">
        <f t="shared" si="2"/>
        <v>10065.166413000001</v>
      </c>
      <c r="L5" s="4">
        <f t="shared" si="0"/>
        <v>632.45997999999997</v>
      </c>
    </row>
    <row r="6" spans="1:12" x14ac:dyDescent="0.35">
      <c r="A6" s="1">
        <v>1235</v>
      </c>
      <c r="B6" s="6" t="s">
        <v>0</v>
      </c>
      <c r="C6" s="3">
        <v>44893</v>
      </c>
      <c r="D6" s="70">
        <v>21.81</v>
      </c>
      <c r="E6" s="48">
        <v>433.51990000000001</v>
      </c>
      <c r="G6">
        <f t="shared" si="3"/>
        <v>150.57</v>
      </c>
      <c r="H6" s="4">
        <f t="shared" si="1"/>
        <v>-9455.0690190000005</v>
      </c>
      <c r="I6" s="10">
        <f t="shared" si="4"/>
        <v>21.81</v>
      </c>
      <c r="K6" s="4">
        <f t="shared" si="2"/>
        <v>9455.0690190000005</v>
      </c>
      <c r="L6" s="4">
        <f t="shared" si="0"/>
        <v>588.63445199999956</v>
      </c>
    </row>
    <row r="7" spans="1:12" x14ac:dyDescent="0.35">
      <c r="A7" s="1">
        <v>1239</v>
      </c>
      <c r="B7" s="6" t="s">
        <v>0</v>
      </c>
      <c r="C7" s="3">
        <v>44893</v>
      </c>
      <c r="D7" s="70">
        <v>18.635999999999999</v>
      </c>
      <c r="E7" s="48">
        <v>433.5419</v>
      </c>
      <c r="G7">
        <f t="shared" si="3"/>
        <v>169.20599999999999</v>
      </c>
      <c r="H7" s="4">
        <f t="shared" si="1"/>
        <v>-8079.4868483999999</v>
      </c>
      <c r="I7" s="10">
        <f t="shared" si="4"/>
        <v>18.635999999999999</v>
      </c>
      <c r="K7" s="4">
        <f t="shared" si="2"/>
        <v>8079.4868483999999</v>
      </c>
      <c r="L7" s="4">
        <f t="shared" si="0"/>
        <v>502.56073919999983</v>
      </c>
    </row>
    <row r="8" spans="1:12" x14ac:dyDescent="0.35">
      <c r="A8" s="1">
        <v>1241</v>
      </c>
      <c r="B8" s="6" t="s">
        <v>0</v>
      </c>
      <c r="C8" s="3">
        <v>44939</v>
      </c>
      <c r="D8" s="70">
        <v>5.8719999999999999</v>
      </c>
      <c r="E8" s="48">
        <v>434.45089999999999</v>
      </c>
      <c r="G8">
        <f t="shared" si="3"/>
        <v>175.07799999999997</v>
      </c>
      <c r="H8" s="4">
        <f t="shared" si="1"/>
        <v>-2551.0956848000001</v>
      </c>
      <c r="I8" s="10">
        <f t="shared" si="4"/>
        <v>5.8719999999999999</v>
      </c>
      <c r="K8" s="4">
        <f t="shared" si="2"/>
        <v>2551.0956848000001</v>
      </c>
      <c r="L8" s="4">
        <f t="shared" si="0"/>
        <v>153.01375039999999</v>
      </c>
    </row>
    <row r="9" spans="1:12" x14ac:dyDescent="0.35">
      <c r="A9" s="1">
        <v>1278</v>
      </c>
      <c r="B9" s="6" t="s">
        <v>1</v>
      </c>
      <c r="C9" s="3">
        <v>45495</v>
      </c>
      <c r="D9" s="70">
        <v>18.635999999999999</v>
      </c>
      <c r="E9" s="48">
        <v>457.74209999999999</v>
      </c>
      <c r="G9">
        <f>G8-D9</f>
        <v>156.44199999999998</v>
      </c>
      <c r="H9" s="4">
        <f>D9*E9</f>
        <v>8530.4817755999993</v>
      </c>
      <c r="I9" s="4"/>
    </row>
    <row r="10" spans="1:12" x14ac:dyDescent="0.35">
      <c r="B10" s="71" t="s">
        <v>10</v>
      </c>
      <c r="C10" s="45"/>
      <c r="D10" s="57">
        <f>G9</f>
        <v>156.44199999999998</v>
      </c>
      <c r="E10" s="69">
        <v>460.50909999999999</v>
      </c>
      <c r="F10" s="45"/>
      <c r="G10" s="45"/>
      <c r="H10" s="9">
        <f>D10*E10</f>
        <v>72042.964622199986</v>
      </c>
      <c r="I10" s="4"/>
    </row>
    <row r="11" spans="1:12" x14ac:dyDescent="0.35">
      <c r="E11" s="10"/>
      <c r="J11" s="4">
        <f>SUM(J2:J9)</f>
        <v>421.92276719999984</v>
      </c>
      <c r="K11" s="4">
        <f>SUM(K2:K9)</f>
        <v>67937.252014200014</v>
      </c>
      <c r="L11" s="4">
        <f>SUM(L2:L9)</f>
        <v>4105.712607999998</v>
      </c>
    </row>
    <row r="12" spans="1:12" x14ac:dyDescent="0.35">
      <c r="J12" s="8"/>
      <c r="K12" s="8" t="s">
        <v>55</v>
      </c>
      <c r="L12" s="69">
        <f>+J11+L11</f>
        <v>4527.6353751999977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067BC-D477-473D-98A4-83F12DFA1D93}">
  <sheetPr>
    <tabColor rgb="FFFFC000"/>
  </sheetPr>
  <dimension ref="A1:U38"/>
  <sheetViews>
    <sheetView zoomScale="115" zoomScaleNormal="115" workbookViewId="0">
      <pane xSplit="3" ySplit="1" topLeftCell="G2" activePane="bottomRight" state="frozen"/>
      <selection activeCell="K13" sqref="K13"/>
      <selection pane="topRight" activeCell="K13" sqref="K13"/>
      <selection pane="bottomLeft" activeCell="K13" sqref="K13"/>
      <selection pane="bottomRight" activeCell="R16" sqref="R16"/>
    </sheetView>
  </sheetViews>
  <sheetFormatPr defaultRowHeight="14.5" x14ac:dyDescent="0.35"/>
  <cols>
    <col min="1" max="1" width="4.81640625" bestFit="1" customWidth="1"/>
    <col min="2" max="2" width="5" bestFit="1" customWidth="1"/>
    <col min="3" max="3" width="4.54296875" customWidth="1"/>
    <col min="4" max="4" width="6.81640625" customWidth="1"/>
    <col min="5" max="5" width="11.90625" style="2" bestFit="1" customWidth="1"/>
    <col min="6" max="6" width="11.1796875" style="2" customWidth="1"/>
    <col min="7" max="7" width="9.7265625" style="13" bestFit="1" customWidth="1"/>
    <col min="8" max="8" width="10.6328125" style="13" bestFit="1" customWidth="1"/>
    <col min="9" max="10" width="9.6328125" style="12" bestFit="1" customWidth="1"/>
    <col min="11" max="11" width="9.6328125" style="12" customWidth="1"/>
    <col min="12" max="12" width="8.6328125" style="44" bestFit="1" customWidth="1"/>
    <col min="13" max="13" width="7.54296875" style="12" bestFit="1" customWidth="1"/>
    <col min="14" max="14" width="10.7265625" bestFit="1" customWidth="1"/>
    <col min="15" max="15" width="11.36328125" bestFit="1" customWidth="1"/>
    <col min="16" max="16" width="11.7265625" bestFit="1" customWidth="1"/>
    <col min="17" max="17" width="10.6328125" customWidth="1"/>
    <col min="18" max="18" width="11.26953125" customWidth="1"/>
    <col min="19" max="19" width="13.90625" customWidth="1"/>
    <col min="20" max="20" width="10.54296875" bestFit="1" customWidth="1"/>
    <col min="21" max="21" width="12.1796875" customWidth="1"/>
  </cols>
  <sheetData>
    <row r="1" spans="1:21" ht="29" customHeight="1" x14ac:dyDescent="0.35">
      <c r="A1" s="14" t="s">
        <v>33</v>
      </c>
      <c r="B1" s="14" t="s">
        <v>6</v>
      </c>
      <c r="C1" s="7" t="s">
        <v>5</v>
      </c>
      <c r="D1" s="7" t="s">
        <v>20</v>
      </c>
      <c r="E1" s="15" t="s">
        <v>26</v>
      </c>
      <c r="F1" s="15" t="s">
        <v>7</v>
      </c>
      <c r="G1" s="17" t="s">
        <v>3</v>
      </c>
      <c r="H1" s="17" t="s">
        <v>17</v>
      </c>
      <c r="I1" s="16" t="s">
        <v>2</v>
      </c>
      <c r="J1" s="96" t="s">
        <v>13</v>
      </c>
      <c r="K1" s="7" t="s">
        <v>63</v>
      </c>
      <c r="L1" s="7" t="s">
        <v>8</v>
      </c>
      <c r="M1" s="7" t="s">
        <v>14</v>
      </c>
      <c r="N1" s="7" t="s">
        <v>15</v>
      </c>
      <c r="O1" s="7" t="s">
        <v>16</v>
      </c>
      <c r="P1" s="11" t="s">
        <v>18</v>
      </c>
      <c r="Q1" s="7" t="s">
        <v>27</v>
      </c>
      <c r="R1" s="7" t="s">
        <v>19</v>
      </c>
      <c r="S1" s="7" t="s">
        <v>62</v>
      </c>
      <c r="T1" s="7" t="s">
        <v>54</v>
      </c>
      <c r="U1" s="7" t="s">
        <v>55</v>
      </c>
    </row>
    <row r="2" spans="1:21" x14ac:dyDescent="0.35">
      <c r="A2" t="s">
        <v>34</v>
      </c>
      <c r="B2" s="18">
        <v>1239</v>
      </c>
      <c r="C2" s="18">
        <v>15</v>
      </c>
      <c r="D2" s="18" t="s">
        <v>21</v>
      </c>
      <c r="E2" s="19">
        <v>44893.572569444441</v>
      </c>
      <c r="F2" s="19">
        <v>36841</v>
      </c>
      <c r="G2" s="21">
        <v>433.54192724694099</v>
      </c>
      <c r="H2" s="21">
        <v>22.9920399034783</v>
      </c>
      <c r="I2" s="42">
        <v>18.6356</v>
      </c>
      <c r="J2" s="97">
        <v>321.66890000000001</v>
      </c>
      <c r="K2" s="20">
        <v>0</v>
      </c>
      <c r="L2" s="42">
        <f>L3</f>
        <v>18.6356</v>
      </c>
      <c r="M2" s="20">
        <f>J2/I2*L2</f>
        <v>321.66890000000001</v>
      </c>
      <c r="N2" s="20">
        <f>I2-L2</f>
        <v>0</v>
      </c>
      <c r="O2" s="20">
        <f>J2-M2</f>
        <v>0</v>
      </c>
      <c r="P2" s="21">
        <f>$H2*M2</f>
        <v>7395.824184507971</v>
      </c>
      <c r="Q2" s="21">
        <f>$H2*O2</f>
        <v>0</v>
      </c>
      <c r="R2" s="21">
        <f>L3*G3-P2</f>
        <v>1134.4744942520292</v>
      </c>
      <c r="S2" s="21">
        <f>N2*G$16-Q2</f>
        <v>0</v>
      </c>
      <c r="T2" s="21">
        <f>T3/I3*L2</f>
        <v>1836.6005786649498</v>
      </c>
      <c r="U2" s="21">
        <f>R2+S2</f>
        <v>1134.4744942520292</v>
      </c>
    </row>
    <row r="3" spans="1:21" x14ac:dyDescent="0.35">
      <c r="A3" t="s">
        <v>35</v>
      </c>
      <c r="B3" s="22">
        <v>1278</v>
      </c>
      <c r="C3" s="22"/>
      <c r="D3" s="22"/>
      <c r="E3" s="23">
        <v>45495.441631944443</v>
      </c>
      <c r="F3" s="23"/>
      <c r="G3" s="25">
        <v>457.74209999999999</v>
      </c>
      <c r="H3" s="25"/>
      <c r="I3" s="43">
        <v>18.635999999999999</v>
      </c>
      <c r="J3" s="92"/>
      <c r="K3" s="24"/>
      <c r="L3" s="43">
        <f>I2</f>
        <v>18.6356</v>
      </c>
      <c r="M3" s="24"/>
      <c r="N3" s="22"/>
      <c r="O3" s="22"/>
      <c r="P3" s="25"/>
      <c r="Q3" s="22"/>
      <c r="R3" s="25">
        <f>R2</f>
        <v>1134.4744942520292</v>
      </c>
      <c r="S3" s="22"/>
      <c r="T3" s="25">
        <v>1836.64</v>
      </c>
      <c r="U3" s="25"/>
    </row>
    <row r="4" spans="1:21" x14ac:dyDescent="0.35">
      <c r="A4" t="s">
        <v>34</v>
      </c>
      <c r="B4" s="18">
        <v>217</v>
      </c>
      <c r="C4" s="18">
        <v>16</v>
      </c>
      <c r="D4" s="18" t="s">
        <v>4</v>
      </c>
      <c r="E4" s="19">
        <v>44725.295381944445</v>
      </c>
      <c r="F4" s="19">
        <v>41166</v>
      </c>
      <c r="G4" s="21">
        <v>433.283090830822</v>
      </c>
      <c r="H4" s="21">
        <v>18.259999998612201</v>
      </c>
      <c r="I4" s="42">
        <v>23.23</v>
      </c>
      <c r="J4" s="97">
        <v>152.5463</v>
      </c>
      <c r="K4" s="20">
        <v>0</v>
      </c>
      <c r="L4" s="42">
        <f>L5</f>
        <v>3.9999999999906777E-4</v>
      </c>
      <c r="M4" s="20">
        <f>J4/I4*L4</f>
        <v>2.6267120103253458E-3</v>
      </c>
      <c r="N4" s="42">
        <f>I4-L4</f>
        <v>23.229600000000001</v>
      </c>
      <c r="O4" s="20">
        <f>J4-M4</f>
        <v>152.54367328798969</v>
      </c>
      <c r="P4" s="21">
        <f>$H4*M4</f>
        <v>4.7963761304895471E-2</v>
      </c>
      <c r="Q4" s="21">
        <f>$H4*O4</f>
        <v>2785.447474026992</v>
      </c>
      <c r="R4" s="21">
        <f>L5*G5-P4</f>
        <v>0.13513307869467781</v>
      </c>
      <c r="S4" s="21">
        <f>N4*G$16-Q4</f>
        <v>7911.9947153330086</v>
      </c>
      <c r="T4" s="21">
        <f>T5/I5*L4</f>
        <v>3.9421335050348137E-2</v>
      </c>
      <c r="U4" s="21">
        <f>R4+S4</f>
        <v>7912.1298484117033</v>
      </c>
    </row>
    <row r="5" spans="1:21" x14ac:dyDescent="0.35">
      <c r="A5" t="s">
        <v>35</v>
      </c>
      <c r="B5" s="22">
        <v>1278</v>
      </c>
      <c r="C5" s="22"/>
      <c r="D5" s="22"/>
      <c r="E5" s="23">
        <v>45495.441631944443</v>
      </c>
      <c r="F5" s="23"/>
      <c r="G5" s="25">
        <v>457.74209999999999</v>
      </c>
      <c r="H5" s="25"/>
      <c r="I5" s="43">
        <v>18.635999999999999</v>
      </c>
      <c r="J5" s="92"/>
      <c r="K5" s="24"/>
      <c r="L5" s="43">
        <f>I5-L3</f>
        <v>3.9999999999906777E-4</v>
      </c>
      <c r="M5" s="24"/>
      <c r="N5" s="22"/>
      <c r="O5" s="22"/>
      <c r="P5" s="25"/>
      <c r="Q5" s="22"/>
      <c r="R5" s="25">
        <f>R4</f>
        <v>0.13513307869467781</v>
      </c>
      <c r="S5" s="22"/>
      <c r="T5" s="25">
        <v>1836.64</v>
      </c>
      <c r="U5" s="25"/>
    </row>
    <row r="6" spans="1:21" x14ac:dyDescent="0.35">
      <c r="A6" t="s">
        <v>34</v>
      </c>
      <c r="B6" s="18">
        <v>1239</v>
      </c>
      <c r="C6" s="18">
        <v>16</v>
      </c>
      <c r="D6" s="18" t="s">
        <v>4</v>
      </c>
      <c r="E6" s="19">
        <v>44893.572569444441</v>
      </c>
      <c r="F6" s="19">
        <v>41166</v>
      </c>
      <c r="G6" s="21">
        <v>433.54192724694099</v>
      </c>
      <c r="H6" s="21">
        <v>18.259999998612201</v>
      </c>
      <c r="I6" s="42">
        <v>4.0000000000000002E-4</v>
      </c>
      <c r="J6" s="97">
        <v>2.8999999999999998E-3</v>
      </c>
      <c r="K6" s="20">
        <v>0</v>
      </c>
      <c r="L6" s="42">
        <f>L7</f>
        <v>0</v>
      </c>
      <c r="M6" s="20">
        <f>J6/I6*L6</f>
        <v>0</v>
      </c>
      <c r="N6" s="42">
        <f>I6-L6</f>
        <v>4.0000000000000002E-4</v>
      </c>
      <c r="O6" s="20">
        <f>J6-M6</f>
        <v>2.8999999999999998E-3</v>
      </c>
      <c r="P6" s="21">
        <f>$H6*M6</f>
        <v>0</v>
      </c>
      <c r="Q6" s="21">
        <f>$H6*O6</f>
        <v>5.295399999597538E-2</v>
      </c>
      <c r="R6" s="21">
        <f>L7*G7-P6</f>
        <v>0</v>
      </c>
      <c r="S6" s="21">
        <f>N6*G$16-Q6</f>
        <v>0.13124964000402461</v>
      </c>
      <c r="T6" s="21">
        <f>T7/I7*L6</f>
        <v>0</v>
      </c>
      <c r="U6" s="21">
        <f>R6+S6</f>
        <v>0.13124964000402461</v>
      </c>
    </row>
    <row r="7" spans="1:21" x14ac:dyDescent="0.35">
      <c r="A7" t="s">
        <v>34</v>
      </c>
      <c r="B7" s="18">
        <v>1241</v>
      </c>
      <c r="C7" s="18">
        <v>16</v>
      </c>
      <c r="D7" s="18" t="s">
        <v>4</v>
      </c>
      <c r="E7" s="19">
        <v>44939.567002314812</v>
      </c>
      <c r="F7" s="19">
        <v>41166</v>
      </c>
      <c r="G7" s="21">
        <v>434.45088886239699</v>
      </c>
      <c r="H7" s="21">
        <v>18.259999998612201</v>
      </c>
      <c r="I7" s="42">
        <v>2.0112999999999999</v>
      </c>
      <c r="J7" s="97">
        <v>14.956799999999999</v>
      </c>
      <c r="K7" s="20">
        <v>1</v>
      </c>
      <c r="L7" s="42">
        <f t="shared" ref="L7:L15" si="0">L8</f>
        <v>0</v>
      </c>
      <c r="M7" s="20">
        <f t="shared" ref="M7:M15" si="1">J7/I7*L7</f>
        <v>0</v>
      </c>
      <c r="N7" s="42">
        <f t="shared" ref="N7:N15" si="2">I7-L7</f>
        <v>2.0112999999999999</v>
      </c>
      <c r="O7" s="20">
        <f t="shared" ref="O7:O15" si="3">J7-M7</f>
        <v>14.956799999999999</v>
      </c>
      <c r="P7" s="21">
        <f t="shared" ref="P7:P15" si="4">$H7*M7</f>
        <v>0</v>
      </c>
      <c r="Q7" s="21">
        <f t="shared" ref="Q7:Q15" si="5">$H7*O7</f>
        <v>273.11116797924296</v>
      </c>
      <c r="R7" s="21">
        <f t="shared" ref="R7:R15" si="6">L8*G8-P7</f>
        <v>0</v>
      </c>
      <c r="S7" s="21">
        <f t="shared" ref="S7:S15" si="7">N7*G$16-Q7</f>
        <v>653.110784850757</v>
      </c>
      <c r="T7" s="21">
        <f t="shared" ref="T7:T15" si="8">T8/I8*L7</f>
        <v>0</v>
      </c>
      <c r="U7" s="21">
        <f t="shared" ref="U7:U15" si="9">R7+S7</f>
        <v>653.110784850757</v>
      </c>
    </row>
    <row r="8" spans="1:21" x14ac:dyDescent="0.35">
      <c r="A8" t="s">
        <v>34</v>
      </c>
      <c r="B8" s="18">
        <v>1235</v>
      </c>
      <c r="C8" s="18">
        <v>16</v>
      </c>
      <c r="D8" s="18" t="s">
        <v>4</v>
      </c>
      <c r="E8" s="19">
        <v>44893.559050925927</v>
      </c>
      <c r="F8" s="19">
        <v>41166</v>
      </c>
      <c r="G8" s="21">
        <v>433.51991556808798</v>
      </c>
      <c r="H8" s="21">
        <v>18.259999998612201</v>
      </c>
      <c r="I8" s="42">
        <v>21.81</v>
      </c>
      <c r="J8" s="97">
        <v>158.67240000000001</v>
      </c>
      <c r="K8" s="20">
        <v>2</v>
      </c>
      <c r="L8" s="42">
        <f t="shared" si="0"/>
        <v>0</v>
      </c>
      <c r="M8" s="20">
        <f t="shared" si="1"/>
        <v>0</v>
      </c>
      <c r="N8" s="42">
        <f t="shared" si="2"/>
        <v>21.81</v>
      </c>
      <c r="O8" s="20">
        <f t="shared" si="3"/>
        <v>158.67240000000001</v>
      </c>
      <c r="P8" s="21">
        <f t="shared" si="4"/>
        <v>0</v>
      </c>
      <c r="Q8" s="21">
        <f t="shared" si="5"/>
        <v>2897.3580237797951</v>
      </c>
      <c r="R8" s="21">
        <f t="shared" si="6"/>
        <v>0</v>
      </c>
      <c r="S8" s="21">
        <f t="shared" si="7"/>
        <v>7146.3454472202038</v>
      </c>
      <c r="T8" s="21">
        <f t="shared" si="8"/>
        <v>0</v>
      </c>
      <c r="U8" s="21">
        <f t="shared" si="9"/>
        <v>7146.3454472202038</v>
      </c>
    </row>
    <row r="9" spans="1:21" x14ac:dyDescent="0.35">
      <c r="A9" t="s">
        <v>34</v>
      </c>
      <c r="B9" s="18">
        <v>197</v>
      </c>
      <c r="C9" s="18">
        <v>17</v>
      </c>
      <c r="D9" s="18" t="s">
        <v>4</v>
      </c>
      <c r="E9" s="19">
        <v>44473.584976851853</v>
      </c>
      <c r="F9" s="19">
        <v>41377</v>
      </c>
      <c r="G9" s="21">
        <v>435.10187449062698</v>
      </c>
      <c r="H9" s="21">
        <v>19.7899983277443</v>
      </c>
      <c r="I9" s="42">
        <v>24.54</v>
      </c>
      <c r="J9" s="97">
        <v>226.48509999999999</v>
      </c>
      <c r="K9" s="20">
        <v>3</v>
      </c>
      <c r="L9" s="42">
        <f t="shared" si="0"/>
        <v>0</v>
      </c>
      <c r="M9" s="20">
        <f t="shared" si="1"/>
        <v>0</v>
      </c>
      <c r="N9" s="42">
        <f t="shared" si="2"/>
        <v>24.54</v>
      </c>
      <c r="O9" s="20">
        <f t="shared" si="3"/>
        <v>226.48509999999999</v>
      </c>
      <c r="P9" s="21">
        <f t="shared" si="4"/>
        <v>0</v>
      </c>
      <c r="Q9" s="21">
        <f t="shared" si="5"/>
        <v>4482.1397502590007</v>
      </c>
      <c r="R9" s="21">
        <f t="shared" si="6"/>
        <v>0</v>
      </c>
      <c r="S9" s="21">
        <f t="shared" si="7"/>
        <v>6818.7535637409983</v>
      </c>
      <c r="T9" s="21">
        <f t="shared" si="8"/>
        <v>0</v>
      </c>
      <c r="U9" s="21">
        <f t="shared" si="9"/>
        <v>6818.7535637409983</v>
      </c>
    </row>
    <row r="10" spans="1:21" x14ac:dyDescent="0.35">
      <c r="A10" t="s">
        <v>34</v>
      </c>
      <c r="B10" s="18">
        <v>1241</v>
      </c>
      <c r="C10" s="18">
        <v>17</v>
      </c>
      <c r="D10" s="18" t="s">
        <v>4</v>
      </c>
      <c r="E10" s="19">
        <v>44939.567002314812</v>
      </c>
      <c r="F10" s="19">
        <v>41377</v>
      </c>
      <c r="G10" s="21">
        <v>434.45088886239699</v>
      </c>
      <c r="H10" s="21">
        <v>19.7899983277443</v>
      </c>
      <c r="I10" s="42">
        <v>1.1525000000000001</v>
      </c>
      <c r="J10" s="97">
        <v>18.2224</v>
      </c>
      <c r="K10" s="20">
        <v>4</v>
      </c>
      <c r="L10" s="42">
        <f t="shared" si="0"/>
        <v>0</v>
      </c>
      <c r="M10" s="20">
        <f t="shared" si="1"/>
        <v>0</v>
      </c>
      <c r="N10" s="42">
        <f t="shared" si="2"/>
        <v>1.1525000000000001</v>
      </c>
      <c r="O10" s="20">
        <f t="shared" si="3"/>
        <v>18.2224</v>
      </c>
      <c r="P10" s="21">
        <f t="shared" si="4"/>
        <v>0</v>
      </c>
      <c r="Q10" s="21">
        <f t="shared" si="5"/>
        <v>360.62126552748776</v>
      </c>
      <c r="R10" s="21">
        <f t="shared" si="6"/>
        <v>0</v>
      </c>
      <c r="S10" s="21">
        <f t="shared" si="7"/>
        <v>170.11547222251221</v>
      </c>
      <c r="T10" s="21">
        <f t="shared" si="8"/>
        <v>0</v>
      </c>
      <c r="U10" s="21">
        <f t="shared" si="9"/>
        <v>170.11547222251221</v>
      </c>
    </row>
    <row r="11" spans="1:21" x14ac:dyDescent="0.35">
      <c r="A11" t="s">
        <v>34</v>
      </c>
      <c r="B11" s="18">
        <v>205</v>
      </c>
      <c r="C11" s="18">
        <v>17</v>
      </c>
      <c r="D11" s="18" t="s">
        <v>4</v>
      </c>
      <c r="E11" s="19">
        <v>44524.517384259256</v>
      </c>
      <c r="F11" s="19">
        <v>41377</v>
      </c>
      <c r="G11" s="21">
        <v>434.75770544244102</v>
      </c>
      <c r="H11" s="21">
        <v>19.7899983277443</v>
      </c>
      <c r="I11" s="42">
        <v>46.265999999999998</v>
      </c>
      <c r="J11" s="97">
        <v>396.34890000000001</v>
      </c>
      <c r="K11" s="20">
        <v>5</v>
      </c>
      <c r="L11" s="42">
        <f t="shared" si="0"/>
        <v>0</v>
      </c>
      <c r="M11" s="20">
        <f t="shared" si="1"/>
        <v>0</v>
      </c>
      <c r="N11" s="42">
        <f t="shared" si="2"/>
        <v>46.265999999999998</v>
      </c>
      <c r="O11" s="20">
        <f t="shared" si="3"/>
        <v>396.34890000000001</v>
      </c>
      <c r="P11" s="21">
        <f t="shared" si="4"/>
        <v>0</v>
      </c>
      <c r="Q11" s="21">
        <f t="shared" si="5"/>
        <v>7843.744068203293</v>
      </c>
      <c r="R11" s="21">
        <f t="shared" si="6"/>
        <v>0</v>
      </c>
      <c r="S11" s="21">
        <f t="shared" si="7"/>
        <v>13462.169952396704</v>
      </c>
      <c r="T11" s="21">
        <f t="shared" si="8"/>
        <v>0</v>
      </c>
      <c r="U11" s="21">
        <f t="shared" si="9"/>
        <v>13462.169952396704</v>
      </c>
    </row>
    <row r="12" spans="1:21" x14ac:dyDescent="0.35">
      <c r="A12" t="s">
        <v>34</v>
      </c>
      <c r="B12" s="18">
        <v>203</v>
      </c>
      <c r="C12" s="18">
        <v>7</v>
      </c>
      <c r="D12" s="18" t="s">
        <v>23</v>
      </c>
      <c r="E12" s="19">
        <v>44496.480810185189</v>
      </c>
      <c r="F12" s="19">
        <v>41492.000011574077</v>
      </c>
      <c r="G12" s="21">
        <v>434.94679414813902</v>
      </c>
      <c r="H12" s="21">
        <v>250.44122530300501</v>
      </c>
      <c r="I12" s="42">
        <v>29.760999999999999</v>
      </c>
      <c r="J12" s="97">
        <v>22.006</v>
      </c>
      <c r="K12" s="20">
        <v>6</v>
      </c>
      <c r="L12" s="42">
        <f t="shared" si="0"/>
        <v>0</v>
      </c>
      <c r="M12" s="20">
        <f t="shared" si="1"/>
        <v>0</v>
      </c>
      <c r="N12" s="42">
        <f t="shared" si="2"/>
        <v>29.760999999999999</v>
      </c>
      <c r="O12" s="20">
        <f t="shared" si="3"/>
        <v>22.006</v>
      </c>
      <c r="P12" s="21">
        <f t="shared" si="4"/>
        <v>0</v>
      </c>
      <c r="Q12" s="21">
        <f t="shared" si="5"/>
        <v>5511.2096040179285</v>
      </c>
      <c r="R12" s="21">
        <f t="shared" si="6"/>
        <v>0</v>
      </c>
      <c r="S12" s="21">
        <f t="shared" si="7"/>
        <v>8194.0017210820697</v>
      </c>
      <c r="T12" s="21">
        <f t="shared" si="8"/>
        <v>0</v>
      </c>
      <c r="U12" s="21">
        <f t="shared" si="9"/>
        <v>8194.0017210820697</v>
      </c>
    </row>
    <row r="13" spans="1:21" x14ac:dyDescent="0.35">
      <c r="A13" t="s">
        <v>34</v>
      </c>
      <c r="B13" s="18">
        <v>1241</v>
      </c>
      <c r="C13" s="18">
        <v>27</v>
      </c>
      <c r="D13" s="18" t="s">
        <v>22</v>
      </c>
      <c r="E13" s="19">
        <v>44939.567002314812</v>
      </c>
      <c r="F13" s="19">
        <v>41521</v>
      </c>
      <c r="G13" s="21">
        <v>434.45088886239699</v>
      </c>
      <c r="H13" s="21">
        <v>17.093261768828398</v>
      </c>
      <c r="I13" s="42">
        <v>0.64380000000000004</v>
      </c>
      <c r="J13" s="97">
        <v>13.0237</v>
      </c>
      <c r="K13" s="20">
        <v>7</v>
      </c>
      <c r="L13" s="42">
        <f t="shared" si="0"/>
        <v>0</v>
      </c>
      <c r="M13" s="20">
        <f t="shared" si="1"/>
        <v>0</v>
      </c>
      <c r="N13" s="42">
        <f t="shared" si="2"/>
        <v>0.64380000000000004</v>
      </c>
      <c r="O13" s="20">
        <f t="shared" si="3"/>
        <v>13.0237</v>
      </c>
      <c r="P13" s="21">
        <f t="shared" si="4"/>
        <v>0</v>
      </c>
      <c r="Q13" s="21">
        <f t="shared" si="5"/>
        <v>222.6175132986904</v>
      </c>
      <c r="R13" s="21">
        <f t="shared" si="6"/>
        <v>0</v>
      </c>
      <c r="S13" s="21">
        <f t="shared" si="7"/>
        <v>73.858245281309593</v>
      </c>
      <c r="T13" s="21">
        <f t="shared" si="8"/>
        <v>0</v>
      </c>
      <c r="U13" s="21">
        <f t="shared" si="9"/>
        <v>73.858245281309593</v>
      </c>
    </row>
    <row r="14" spans="1:21" x14ac:dyDescent="0.35">
      <c r="A14" t="s">
        <v>34</v>
      </c>
      <c r="B14" s="18">
        <v>203</v>
      </c>
      <c r="C14" s="18">
        <v>37</v>
      </c>
      <c r="D14" s="18" t="s">
        <v>24</v>
      </c>
      <c r="E14" s="19">
        <v>44496.480810185189</v>
      </c>
      <c r="F14" s="19">
        <v>41534</v>
      </c>
      <c r="G14" s="21">
        <v>434.94679414813902</v>
      </c>
      <c r="H14" s="21">
        <v>13.029995048601901</v>
      </c>
      <c r="I14" s="42">
        <v>4.9630000000000001</v>
      </c>
      <c r="J14" s="97">
        <v>76.745999999999995</v>
      </c>
      <c r="K14" s="20">
        <v>8</v>
      </c>
      <c r="L14" s="42">
        <f t="shared" si="0"/>
        <v>0</v>
      </c>
      <c r="M14" s="20">
        <f t="shared" si="1"/>
        <v>0</v>
      </c>
      <c r="N14" s="42">
        <f t="shared" si="2"/>
        <v>4.9630000000000001</v>
      </c>
      <c r="O14" s="20">
        <f t="shared" si="3"/>
        <v>76.745999999999995</v>
      </c>
      <c r="P14" s="21">
        <f t="shared" si="4"/>
        <v>0</v>
      </c>
      <c r="Q14" s="21">
        <f t="shared" si="5"/>
        <v>1000.0000000000014</v>
      </c>
      <c r="R14" s="21">
        <f t="shared" si="6"/>
        <v>0</v>
      </c>
      <c r="S14" s="21">
        <f t="shared" si="7"/>
        <v>1285.5066632999988</v>
      </c>
      <c r="T14" s="21">
        <f t="shared" si="8"/>
        <v>0</v>
      </c>
      <c r="U14" s="21">
        <f t="shared" si="9"/>
        <v>1285.5066632999988</v>
      </c>
    </row>
    <row r="15" spans="1:21" x14ac:dyDescent="0.35">
      <c r="A15" t="s">
        <v>34</v>
      </c>
      <c r="B15" s="18">
        <v>1241</v>
      </c>
      <c r="C15" s="18">
        <v>108</v>
      </c>
      <c r="D15" s="18" t="s">
        <v>25</v>
      </c>
      <c r="E15" s="19">
        <v>44939.567002314812</v>
      </c>
      <c r="F15" s="19">
        <v>42387.492534722223</v>
      </c>
      <c r="G15" s="21">
        <v>434.45088886239699</v>
      </c>
      <c r="H15" s="21">
        <v>1860.4651162790601</v>
      </c>
      <c r="I15" s="42">
        <v>2.0644</v>
      </c>
      <c r="J15" s="97">
        <v>0.53749999999999998</v>
      </c>
      <c r="K15" s="20">
        <v>9</v>
      </c>
      <c r="L15" s="42">
        <f t="shared" si="0"/>
        <v>0</v>
      </c>
      <c r="M15" s="20">
        <f t="shared" si="1"/>
        <v>0</v>
      </c>
      <c r="N15" s="42">
        <f t="shared" si="2"/>
        <v>2.0644</v>
      </c>
      <c r="O15" s="20">
        <f t="shared" si="3"/>
        <v>0.53749999999999998</v>
      </c>
      <c r="P15" s="21">
        <f t="shared" si="4"/>
        <v>0</v>
      </c>
      <c r="Q15" s="21">
        <f t="shared" si="5"/>
        <v>999.99999999999477</v>
      </c>
      <c r="R15" s="21">
        <f t="shared" si="6"/>
        <v>0</v>
      </c>
      <c r="S15" s="21">
        <f t="shared" si="7"/>
        <v>-49.325013959994749</v>
      </c>
      <c r="T15" s="21">
        <f t="shared" si="8"/>
        <v>0</v>
      </c>
      <c r="U15" s="21">
        <f t="shared" si="9"/>
        <v>-49.325013959994749</v>
      </c>
    </row>
    <row r="16" spans="1:21" x14ac:dyDescent="0.35">
      <c r="A16" s="101" t="s">
        <v>10</v>
      </c>
      <c r="B16" s="102"/>
      <c r="C16" s="102"/>
      <c r="D16" s="99"/>
      <c r="E16" s="102"/>
      <c r="F16" s="102"/>
      <c r="G16" s="102">
        <f>'28-Euro Fund'!E10</f>
        <v>460.50909999999999</v>
      </c>
      <c r="H16" s="102"/>
      <c r="I16" s="102">
        <f>'28-Euro Fund'!D10</f>
        <v>156.44199999999998</v>
      </c>
      <c r="J16" s="102"/>
      <c r="K16" s="100"/>
      <c r="L16" s="100"/>
      <c r="M16" s="102"/>
      <c r="N16" s="99"/>
      <c r="O16" s="99"/>
      <c r="P16" s="99"/>
      <c r="Q16" s="99"/>
      <c r="R16" s="99"/>
      <c r="S16" s="99">
        <f>SUM(S2:S15)</f>
        <v>45666.662801107574</v>
      </c>
      <c r="T16" s="99"/>
      <c r="U16" s="99"/>
    </row>
    <row r="17" spans="5:20" ht="15" thickBot="1" x14ac:dyDescent="0.4">
      <c r="R17" s="13"/>
    </row>
    <row r="18" spans="5:20" x14ac:dyDescent="0.35">
      <c r="E18" s="28" t="s">
        <v>31</v>
      </c>
      <c r="F18" s="29"/>
      <c r="G18" s="30"/>
    </row>
    <row r="19" spans="5:20" x14ac:dyDescent="0.35">
      <c r="E19" s="41" t="s">
        <v>28</v>
      </c>
      <c r="F19" s="39" t="s">
        <v>2</v>
      </c>
      <c r="G19" s="40" t="s">
        <v>29</v>
      </c>
      <c r="R19" s="13"/>
      <c r="S19" s="13"/>
      <c r="T19" s="13"/>
    </row>
    <row r="20" spans="5:20" x14ac:dyDescent="0.35">
      <c r="E20" s="33">
        <v>36871</v>
      </c>
      <c r="F20" s="12">
        <v>7.1680000000000001</v>
      </c>
      <c r="G20" s="34">
        <v>3087.53</v>
      </c>
      <c r="R20" s="13"/>
      <c r="S20" s="13"/>
      <c r="T20" s="13"/>
    </row>
    <row r="21" spans="5:20" x14ac:dyDescent="0.35">
      <c r="E21" s="33">
        <v>36889</v>
      </c>
      <c r="F21" s="12">
        <v>9.6880000000000006</v>
      </c>
      <c r="G21" s="34">
        <v>3005.06</v>
      </c>
      <c r="R21" s="13"/>
      <c r="S21" s="13"/>
      <c r="T21" s="13"/>
    </row>
    <row r="22" spans="5:20" x14ac:dyDescent="0.35">
      <c r="E22" s="33">
        <v>36913</v>
      </c>
      <c r="F22" s="12">
        <v>1.778</v>
      </c>
      <c r="G22" s="34">
        <v>601.01</v>
      </c>
      <c r="R22" s="13"/>
      <c r="S22" s="13"/>
      <c r="T22" s="13"/>
    </row>
    <row r="23" spans="5:20" x14ac:dyDescent="0.35">
      <c r="E23" s="33">
        <v>41169</v>
      </c>
      <c r="F23" s="12">
        <v>2E-3</v>
      </c>
      <c r="G23" s="34">
        <v>0.23</v>
      </c>
      <c r="R23" s="26"/>
      <c r="S23" s="26"/>
      <c r="T23" s="13"/>
    </row>
    <row r="24" spans="5:20" x14ac:dyDescent="0.35">
      <c r="E24" s="31" t="s">
        <v>32</v>
      </c>
      <c r="F24" s="32">
        <f>SUM(F20:F23)</f>
        <v>18.635999999999999</v>
      </c>
      <c r="G24" s="35">
        <f>SUM(G20:G23)</f>
        <v>6693.83</v>
      </c>
      <c r="S24" s="26"/>
      <c r="T24" s="13"/>
    </row>
    <row r="25" spans="5:20" x14ac:dyDescent="0.35">
      <c r="E25" s="41" t="s">
        <v>30</v>
      </c>
      <c r="F25" s="39" t="s">
        <v>2</v>
      </c>
      <c r="G25" s="40" t="s">
        <v>29</v>
      </c>
    </row>
    <row r="26" spans="5:20" x14ac:dyDescent="0.35">
      <c r="E26" s="33">
        <v>45495</v>
      </c>
      <c r="F26" s="12">
        <v>18.635999999999999</v>
      </c>
      <c r="G26" s="34">
        <v>8530.48</v>
      </c>
    </row>
    <row r="27" spans="5:20" ht="15" thickBot="1" x14ac:dyDescent="0.4">
      <c r="E27" s="36"/>
      <c r="F27" s="37" t="s">
        <v>9</v>
      </c>
      <c r="G27" s="38">
        <f>G26-G24</f>
        <v>1836.6499999999996</v>
      </c>
    </row>
    <row r="28" spans="5:20" x14ac:dyDescent="0.35">
      <c r="J28" s="27"/>
      <c r="K28" s="27"/>
    </row>
    <row r="35" spans="20:20" x14ac:dyDescent="0.35">
      <c r="T35" s="21" t="e">
        <f>T$3/#REF!*G35</f>
        <v>#REF!</v>
      </c>
    </row>
    <row r="36" spans="20:20" x14ac:dyDescent="0.35">
      <c r="T36" s="65"/>
    </row>
    <row r="37" spans="20:20" x14ac:dyDescent="0.35">
      <c r="T37" s="21"/>
    </row>
    <row r="38" spans="20:20" x14ac:dyDescent="0.35">
      <c r="T38" s="21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EDBF6-1104-4D49-AFC3-82019A1CF68B}">
  <sheetPr>
    <tabColor rgb="FFFF0000"/>
  </sheetPr>
  <dimension ref="A1:L6"/>
  <sheetViews>
    <sheetView zoomScale="115" zoomScaleNormal="115" workbookViewId="0">
      <pane ySplit="1" topLeftCell="A2" activePane="bottomLeft" state="frozen"/>
      <selection activeCell="M22" sqref="M22"/>
      <selection pane="bottomLeft" activeCell="E3" sqref="E3"/>
    </sheetView>
  </sheetViews>
  <sheetFormatPr defaultRowHeight="14.5" x14ac:dyDescent="0.35"/>
  <cols>
    <col min="1" max="1" width="5.08984375" customWidth="1"/>
    <col min="2" max="2" width="9.453125" customWidth="1"/>
    <col min="3" max="3" width="10.6328125" bestFit="1" customWidth="1"/>
    <col min="4" max="4" width="9.26953125" bestFit="1" customWidth="1"/>
    <col min="6" max="6" width="11.90625" bestFit="1" customWidth="1"/>
    <col min="7" max="7" width="1.6328125" customWidth="1"/>
    <col min="8" max="8" width="10.08984375" bestFit="1" customWidth="1"/>
    <col min="9" max="9" width="10.81640625" bestFit="1" customWidth="1"/>
  </cols>
  <sheetData>
    <row r="1" spans="1:12" x14ac:dyDescent="0.35">
      <c r="A1" s="46"/>
      <c r="B1" s="46"/>
      <c r="C1" s="46"/>
      <c r="D1" s="46" t="s">
        <v>2</v>
      </c>
      <c r="E1" s="46" t="s">
        <v>3</v>
      </c>
      <c r="F1" s="46" t="s">
        <v>36</v>
      </c>
      <c r="G1" s="46"/>
      <c r="H1" s="46" t="s">
        <v>37</v>
      </c>
      <c r="I1" s="46" t="s">
        <v>41</v>
      </c>
      <c r="J1" s="46"/>
      <c r="K1" s="46"/>
      <c r="L1" s="46"/>
    </row>
    <row r="2" spans="1:12" x14ac:dyDescent="0.35">
      <c r="A2" s="1">
        <v>1280</v>
      </c>
      <c r="B2" s="1" t="s">
        <v>0</v>
      </c>
      <c r="C2" s="3">
        <v>45495</v>
      </c>
      <c r="D2" s="70">
        <v>20.32</v>
      </c>
      <c r="E2" s="5">
        <v>48.020200000000003</v>
      </c>
      <c r="F2" s="5">
        <v>975.77</v>
      </c>
      <c r="H2" s="12">
        <f>D2</f>
        <v>20.32</v>
      </c>
      <c r="I2" s="13">
        <f>(E3-E2)*D3</f>
        <v>-35.724592000000122</v>
      </c>
    </row>
    <row r="3" spans="1:12" x14ac:dyDescent="0.35">
      <c r="B3" s="49" t="s">
        <v>39</v>
      </c>
      <c r="C3" s="45"/>
      <c r="D3" s="32">
        <f>D2</f>
        <v>20.32</v>
      </c>
      <c r="E3" s="9">
        <v>46.262099999999997</v>
      </c>
      <c r="F3" s="9">
        <f>D3*E3</f>
        <v>940.04587199999992</v>
      </c>
      <c r="I3" s="26">
        <f>SUM(I2)</f>
        <v>-35.724592000000122</v>
      </c>
    </row>
    <row r="5" spans="1:12" x14ac:dyDescent="0.35">
      <c r="F5" s="10"/>
      <c r="I5" s="66"/>
    </row>
    <row r="6" spans="1:12" x14ac:dyDescent="0.35">
      <c r="I6" s="66"/>
      <c r="J6" s="67"/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41A1-BE32-43A7-B9EB-55C8156CBE55}">
  <sheetPr>
    <tabColor rgb="FFFF0000"/>
  </sheetPr>
  <dimension ref="A1:T7"/>
  <sheetViews>
    <sheetView zoomScaleNormal="100" workbookViewId="0">
      <pane xSplit="3" ySplit="1" topLeftCell="G2" activePane="bottomRight" state="frozen"/>
      <selection activeCell="E3" sqref="E3"/>
      <selection pane="topRight" activeCell="E3" sqref="E3"/>
      <selection pane="bottomLeft" activeCell="E3" sqref="E3"/>
      <selection pane="bottomRight" activeCell="S3" sqref="S3"/>
    </sheetView>
  </sheetViews>
  <sheetFormatPr defaultRowHeight="14.5" x14ac:dyDescent="0.35"/>
  <cols>
    <col min="1" max="1" width="4.7265625" customWidth="1"/>
    <col min="2" max="2" width="5.1796875" bestFit="1" customWidth="1"/>
    <col min="3" max="3" width="5.1796875" customWidth="1"/>
    <col min="4" max="4" width="11.36328125" customWidth="1"/>
    <col min="5" max="5" width="11.81640625" customWidth="1"/>
    <col min="6" max="6" width="11" bestFit="1" customWidth="1"/>
    <col min="7" max="7" width="8.81640625" customWidth="1"/>
    <col min="8" max="8" width="9.1796875" bestFit="1" customWidth="1"/>
    <col min="9" max="9" width="8.54296875" bestFit="1" customWidth="1"/>
    <col min="10" max="10" width="7.6328125" customWidth="1"/>
    <col min="11" max="11" width="7.90625" bestFit="1" customWidth="1"/>
    <col min="12" max="12" width="9.1796875" bestFit="1" customWidth="1"/>
    <col min="13" max="14" width="8.81640625" customWidth="1"/>
    <col min="15" max="15" width="10.453125" customWidth="1"/>
    <col min="16" max="17" width="12.08984375" bestFit="1" customWidth="1"/>
    <col min="18" max="18" width="11" bestFit="1" customWidth="1"/>
    <col min="19" max="19" width="12.08984375" bestFit="1" customWidth="1"/>
    <col min="20" max="20" width="11.90625" bestFit="1" customWidth="1"/>
  </cols>
  <sheetData>
    <row r="1" spans="1:20" ht="31.5" customHeight="1" x14ac:dyDescent="0.35">
      <c r="A1" s="7" t="s">
        <v>33</v>
      </c>
      <c r="B1" s="14" t="s">
        <v>6</v>
      </c>
      <c r="C1" s="7" t="s">
        <v>5</v>
      </c>
      <c r="D1" s="7" t="s">
        <v>20</v>
      </c>
      <c r="E1" s="15" t="s">
        <v>26</v>
      </c>
      <c r="F1" s="7" t="s">
        <v>7</v>
      </c>
      <c r="G1" s="46" t="s">
        <v>3</v>
      </c>
      <c r="H1" s="46" t="s">
        <v>17</v>
      </c>
      <c r="I1" s="14" t="s">
        <v>2</v>
      </c>
      <c r="J1" s="89" t="s">
        <v>13</v>
      </c>
      <c r="K1" s="7" t="s">
        <v>63</v>
      </c>
      <c r="L1" s="7" t="s">
        <v>8</v>
      </c>
      <c r="M1" s="7" t="s">
        <v>14</v>
      </c>
      <c r="N1" s="7" t="s">
        <v>15</v>
      </c>
      <c r="O1" s="7" t="s">
        <v>16</v>
      </c>
      <c r="P1" s="11" t="s">
        <v>18</v>
      </c>
      <c r="Q1" s="7" t="s">
        <v>27</v>
      </c>
      <c r="R1" s="7" t="s">
        <v>19</v>
      </c>
      <c r="S1" s="7" t="s">
        <v>62</v>
      </c>
      <c r="T1" s="7" t="s">
        <v>55</v>
      </c>
    </row>
    <row r="2" spans="1:20" x14ac:dyDescent="0.35">
      <c r="A2" s="18" t="s">
        <v>34</v>
      </c>
      <c r="B2" s="18">
        <v>1280</v>
      </c>
      <c r="C2" s="18">
        <v>16</v>
      </c>
      <c r="D2" s="18" t="s">
        <v>4</v>
      </c>
      <c r="E2" s="19">
        <v>45495.448645833334</v>
      </c>
      <c r="F2" s="19">
        <v>41166.000694444447</v>
      </c>
      <c r="G2" s="86">
        <v>48.020240000000001</v>
      </c>
      <c r="H2" s="21">
        <v>18.259999998612201</v>
      </c>
      <c r="I2" s="54">
        <v>20.32</v>
      </c>
      <c r="J2" s="90">
        <v>18.116299999999999</v>
      </c>
      <c r="K2" s="54">
        <v>0</v>
      </c>
      <c r="L2" s="54">
        <v>0</v>
      </c>
      <c r="M2" s="54">
        <f>J2/I2*L2</f>
        <v>0</v>
      </c>
      <c r="N2" s="20">
        <f>I2-(L2+K2)</f>
        <v>20.32</v>
      </c>
      <c r="O2" s="20">
        <f>J2/I2*N2</f>
        <v>18.116299999999999</v>
      </c>
      <c r="P2" s="55">
        <f>H2*M2</f>
        <v>0</v>
      </c>
      <c r="Q2" s="21">
        <f>O2*H2</f>
        <v>330.80363797485819</v>
      </c>
      <c r="R2" s="21">
        <v>0</v>
      </c>
      <c r="S2" s="21">
        <f>Q3-Q2</f>
        <v>609.24223402514167</v>
      </c>
      <c r="T2" s="21">
        <f>R2+S2</f>
        <v>609.24223402514167</v>
      </c>
    </row>
    <row r="3" spans="1:20" x14ac:dyDescent="0.35">
      <c r="A3" s="101" t="s">
        <v>10</v>
      </c>
      <c r="B3" s="98"/>
      <c r="C3" s="98"/>
      <c r="D3" s="99"/>
      <c r="E3" s="98"/>
      <c r="F3" s="98"/>
      <c r="G3" s="99">
        <f>'1043-Global Tech US'!E3</f>
        <v>46.262099999999997</v>
      </c>
      <c r="H3" s="98"/>
      <c r="I3" s="98">
        <f>'1043-Global Tech US'!D3</f>
        <v>20.32</v>
      </c>
      <c r="J3" s="98"/>
      <c r="K3" s="100"/>
      <c r="L3" s="100"/>
      <c r="M3" s="98"/>
      <c r="N3" s="100">
        <f>SUM(N2:N2)</f>
        <v>20.32</v>
      </c>
      <c r="O3" s="99"/>
      <c r="P3" s="99"/>
      <c r="Q3" s="99">
        <f>N3*G3</f>
        <v>940.04587199999992</v>
      </c>
      <c r="R3" s="99">
        <f>SUM(R2:R2)</f>
        <v>0</v>
      </c>
      <c r="S3" s="99">
        <f>SUM(S2:S2)</f>
        <v>609.24223402514167</v>
      </c>
      <c r="T3" s="99">
        <f>SUM(T2:T2)</f>
        <v>609.24223402514167</v>
      </c>
    </row>
    <row r="4" spans="1:20" s="12" customFormat="1" x14ac:dyDescent="0.35">
      <c r="C4" s="32"/>
      <c r="N4" s="57"/>
      <c r="O4" s="58"/>
      <c r="Q4" s="26"/>
      <c r="S4" s="26"/>
    </row>
    <row r="5" spans="1:20" x14ac:dyDescent="0.35">
      <c r="J5" s="12"/>
      <c r="K5" s="12"/>
      <c r="L5" s="12"/>
    </row>
    <row r="6" spans="1:20" x14ac:dyDescent="0.35">
      <c r="J6" s="12"/>
      <c r="K6" s="12"/>
    </row>
    <row r="7" spans="1:20" x14ac:dyDescent="0.35">
      <c r="J7" s="12"/>
      <c r="K7" s="12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B651D-D697-41A4-8221-3723E73B1D85}">
  <sheetPr>
    <tabColor rgb="FFC00000"/>
  </sheetPr>
  <dimension ref="A1:Q19"/>
  <sheetViews>
    <sheetView zoomScale="130" zoomScaleNormal="130" workbookViewId="0">
      <pane ySplit="1" topLeftCell="A2" activePane="bottomLeft" state="frozen"/>
      <selection activeCell="D8" sqref="D8"/>
      <selection pane="bottomLeft" activeCell="N10" sqref="N10"/>
    </sheetView>
  </sheetViews>
  <sheetFormatPr defaultRowHeight="14.5" x14ac:dyDescent="0.35"/>
  <cols>
    <col min="1" max="1" width="5.08984375" customWidth="1"/>
    <col min="2" max="2" width="9.453125" customWidth="1"/>
    <col min="3" max="3" width="10.6328125" bestFit="1" customWidth="1"/>
    <col min="4" max="4" width="9.26953125" bestFit="1" customWidth="1"/>
    <col min="6" max="6" width="11.90625" bestFit="1" customWidth="1"/>
    <col min="7" max="7" width="1.6328125" customWidth="1"/>
    <col min="8" max="8" width="10.08984375" bestFit="1" customWidth="1"/>
    <col min="9" max="9" width="9.26953125" customWidth="1"/>
    <col min="10" max="10" width="14.90625" bestFit="1" customWidth="1"/>
    <col min="11" max="11" width="14.36328125" customWidth="1"/>
    <col min="12" max="12" width="11.1796875" bestFit="1" customWidth="1"/>
    <col min="13" max="14" width="10.81640625" bestFit="1" customWidth="1"/>
  </cols>
  <sheetData>
    <row r="1" spans="1:17" ht="29" x14ac:dyDescent="0.35">
      <c r="A1" s="46"/>
      <c r="B1" s="46"/>
      <c r="C1" s="46"/>
      <c r="D1" s="46" t="s">
        <v>2</v>
      </c>
      <c r="E1" s="46" t="s">
        <v>3</v>
      </c>
      <c r="F1" s="46" t="s">
        <v>36</v>
      </c>
      <c r="G1" s="46"/>
      <c r="H1" s="46" t="s">
        <v>37</v>
      </c>
      <c r="I1" s="46" t="s">
        <v>38</v>
      </c>
      <c r="J1" s="46" t="s">
        <v>39</v>
      </c>
      <c r="K1" s="11" t="s">
        <v>56</v>
      </c>
      <c r="L1" s="46" t="s">
        <v>40</v>
      </c>
      <c r="M1" s="46" t="s">
        <v>41</v>
      </c>
      <c r="N1" s="46" t="s">
        <v>55</v>
      </c>
      <c r="O1" s="46"/>
      <c r="P1" s="46"/>
      <c r="Q1" s="46"/>
    </row>
    <row r="2" spans="1:17" x14ac:dyDescent="0.35">
      <c r="A2" s="1">
        <v>173</v>
      </c>
      <c r="B2" s="1" t="s">
        <v>0</v>
      </c>
      <c r="C2" s="3">
        <v>43525</v>
      </c>
      <c r="D2" s="47">
        <v>1778.69</v>
      </c>
      <c r="E2" s="48">
        <v>17.05</v>
      </c>
      <c r="F2" s="48">
        <f>D2*E2</f>
        <v>30326.664500000003</v>
      </c>
      <c r="H2" s="12">
        <f>D2</f>
        <v>1778.69</v>
      </c>
      <c r="I2" s="12">
        <f>SUM(D3:D8)+D11</f>
        <v>1642.08</v>
      </c>
      <c r="J2" s="12">
        <f>D2-I2</f>
        <v>136.61000000000013</v>
      </c>
      <c r="K2" s="12">
        <f>E2*J2</f>
        <v>2329.2005000000022</v>
      </c>
      <c r="L2" s="27">
        <f>(SUM(F3:F8)+F11)-I2*E2</f>
        <v>28023.201999999997</v>
      </c>
      <c r="M2" s="13">
        <f>(E12-E2)*J2</f>
        <v>4241.7405000000044</v>
      </c>
      <c r="N2" s="27">
        <f>L2+M2</f>
        <v>32264.942500000001</v>
      </c>
    </row>
    <row r="3" spans="1:17" x14ac:dyDescent="0.35">
      <c r="A3" s="1">
        <v>198</v>
      </c>
      <c r="B3" s="1" t="s">
        <v>42</v>
      </c>
      <c r="C3" s="3">
        <v>44470</v>
      </c>
      <c r="D3" s="47">
        <v>287.02999999999997</v>
      </c>
      <c r="E3" s="48">
        <v>34.770000000000003</v>
      </c>
      <c r="F3" s="48">
        <f t="shared" ref="F3:F11" si="0">D3*E3</f>
        <v>9980.0331000000006</v>
      </c>
      <c r="H3" s="12">
        <f t="shared" ref="H3:H8" si="1">H2-D3</f>
        <v>1491.66</v>
      </c>
      <c r="I3" s="12"/>
      <c r="J3" s="12"/>
      <c r="K3" s="12"/>
      <c r="L3" s="27"/>
      <c r="M3" s="27"/>
    </row>
    <row r="4" spans="1:17" x14ac:dyDescent="0.35">
      <c r="A4" s="1">
        <v>200</v>
      </c>
      <c r="B4" s="1" t="s">
        <v>42</v>
      </c>
      <c r="C4" s="3">
        <v>44473</v>
      </c>
      <c r="D4" s="47">
        <v>287.02999999999997</v>
      </c>
      <c r="E4" s="48">
        <v>34.270000000000003</v>
      </c>
      <c r="F4" s="48">
        <f t="shared" si="0"/>
        <v>9836.5180999999993</v>
      </c>
      <c r="H4" s="12">
        <f t="shared" si="1"/>
        <v>1204.6300000000001</v>
      </c>
      <c r="I4" s="12"/>
      <c r="J4" s="12"/>
      <c r="K4" s="12"/>
      <c r="L4" s="27"/>
      <c r="M4" s="27"/>
    </row>
    <row r="5" spans="1:17" x14ac:dyDescent="0.35">
      <c r="A5" s="1">
        <v>216</v>
      </c>
      <c r="B5" s="1" t="s">
        <v>42</v>
      </c>
      <c r="C5" s="3">
        <v>44720</v>
      </c>
      <c r="D5" s="47">
        <v>296.82</v>
      </c>
      <c r="E5" s="48">
        <v>33.909999999999997</v>
      </c>
      <c r="F5" s="48">
        <f t="shared" si="0"/>
        <v>10065.1662</v>
      </c>
      <c r="H5" s="12">
        <f t="shared" si="1"/>
        <v>907.81000000000017</v>
      </c>
      <c r="I5" s="12"/>
      <c r="L5" s="27"/>
      <c r="M5" s="27"/>
    </row>
    <row r="6" spans="1:17" x14ac:dyDescent="0.35">
      <c r="A6" s="1">
        <v>1227</v>
      </c>
      <c r="B6" s="1" t="s">
        <v>42</v>
      </c>
      <c r="C6" s="3">
        <v>44831</v>
      </c>
      <c r="D6" s="47">
        <v>308.74</v>
      </c>
      <c r="E6" s="48">
        <v>32.26</v>
      </c>
      <c r="F6" s="48">
        <f t="shared" si="0"/>
        <v>9959.9524000000001</v>
      </c>
      <c r="H6" s="12">
        <f t="shared" si="1"/>
        <v>599.07000000000016</v>
      </c>
      <c r="I6" s="12"/>
      <c r="L6" s="27"/>
      <c r="M6" s="27"/>
    </row>
    <row r="7" spans="1:17" x14ac:dyDescent="0.35">
      <c r="A7" s="1">
        <v>1247</v>
      </c>
      <c r="B7" s="1" t="s">
        <v>42</v>
      </c>
      <c r="C7" s="3">
        <v>45028</v>
      </c>
      <c r="D7" s="47">
        <v>172.46</v>
      </c>
      <c r="E7" s="48">
        <v>34.47</v>
      </c>
      <c r="F7" s="48">
        <f t="shared" si="0"/>
        <v>5944.6962000000003</v>
      </c>
      <c r="H7" s="12">
        <f t="shared" si="1"/>
        <v>426.61000000000013</v>
      </c>
      <c r="I7" s="12"/>
      <c r="L7" s="27"/>
      <c r="M7" s="27"/>
    </row>
    <row r="8" spans="1:17" x14ac:dyDescent="0.35">
      <c r="A8" s="1">
        <v>1251</v>
      </c>
      <c r="B8" s="1" t="s">
        <v>1</v>
      </c>
      <c r="C8" s="3">
        <v>45054</v>
      </c>
      <c r="D8" s="47">
        <v>270</v>
      </c>
      <c r="E8" s="48">
        <v>34.29</v>
      </c>
      <c r="F8" s="48">
        <f t="shared" si="0"/>
        <v>9258.2999999999993</v>
      </c>
      <c r="H8" s="12">
        <f t="shared" si="1"/>
        <v>156.61000000000013</v>
      </c>
      <c r="I8" s="12"/>
      <c r="L8" s="27"/>
      <c r="M8" s="27"/>
    </row>
    <row r="9" spans="1:17" x14ac:dyDescent="0.35">
      <c r="A9" s="1">
        <v>1273</v>
      </c>
      <c r="B9" s="1" t="s">
        <v>0</v>
      </c>
      <c r="C9" s="3">
        <v>45356</v>
      </c>
      <c r="D9" s="47">
        <v>266.58999999999997</v>
      </c>
      <c r="E9" s="48">
        <v>44.920825999999998</v>
      </c>
      <c r="F9" s="48">
        <f t="shared" si="0"/>
        <v>11975.443003339999</v>
      </c>
      <c r="H9" s="12">
        <f>H8+D9</f>
        <v>423.2000000000001</v>
      </c>
      <c r="I9" s="12"/>
      <c r="J9" s="12">
        <f>D9</f>
        <v>266.58999999999997</v>
      </c>
      <c r="K9" s="12">
        <f>E9*J9</f>
        <v>11975.443003339999</v>
      </c>
      <c r="L9" s="27">
        <v>0</v>
      </c>
      <c r="M9" s="13">
        <f>(E$12-E9)*J9</f>
        <v>847.53599666000082</v>
      </c>
      <c r="N9" s="27">
        <f>L9+M9</f>
        <v>847.53599666000082</v>
      </c>
    </row>
    <row r="10" spans="1:17" x14ac:dyDescent="0.35">
      <c r="A10" s="1">
        <v>1275</v>
      </c>
      <c r="B10" s="1" t="s">
        <v>0</v>
      </c>
      <c r="C10" s="3">
        <v>45478</v>
      </c>
      <c r="D10" s="47">
        <v>301.27</v>
      </c>
      <c r="E10" s="48">
        <v>49.440100200000003</v>
      </c>
      <c r="F10" s="48">
        <f t="shared" si="0"/>
        <v>14894.818987254001</v>
      </c>
      <c r="H10" s="12">
        <f>H9+D10</f>
        <v>724.47</v>
      </c>
      <c r="I10" s="12"/>
      <c r="J10" s="12">
        <f>D10</f>
        <v>301.27</v>
      </c>
      <c r="K10" s="12">
        <f>E10*J10</f>
        <v>14894.818987254001</v>
      </c>
      <c r="L10" s="27">
        <v>0</v>
      </c>
      <c r="M10" s="13">
        <f>(E$12-E10)*J10</f>
        <v>-403.73198725400056</v>
      </c>
      <c r="N10" s="27">
        <f>L10+M10</f>
        <v>-403.73198725400056</v>
      </c>
    </row>
    <row r="11" spans="1:17" x14ac:dyDescent="0.35">
      <c r="A11" s="1">
        <v>1279</v>
      </c>
      <c r="B11" s="1" t="s">
        <v>42</v>
      </c>
      <c r="C11" s="3">
        <v>45495</v>
      </c>
      <c r="D11" s="47">
        <v>20</v>
      </c>
      <c r="E11" s="48">
        <v>48.8</v>
      </c>
      <c r="F11" s="48">
        <f t="shared" si="0"/>
        <v>976</v>
      </c>
      <c r="H11" s="12">
        <f>H10-D11</f>
        <v>704.47</v>
      </c>
      <c r="I11" s="12"/>
      <c r="L11" s="27"/>
      <c r="M11" s="27"/>
    </row>
    <row r="12" spans="1:17" x14ac:dyDescent="0.35">
      <c r="B12" s="49" t="s">
        <v>39</v>
      </c>
      <c r="C12" s="45"/>
      <c r="D12" s="32">
        <f>H11</f>
        <v>704.47</v>
      </c>
      <c r="E12" s="9">
        <v>48.1</v>
      </c>
      <c r="F12" s="9">
        <f>D12*E12</f>
        <v>33885.007000000005</v>
      </c>
      <c r="J12" s="32">
        <f>SUM(J2:J11)</f>
        <v>704.47</v>
      </c>
      <c r="K12" s="32"/>
      <c r="L12" s="50"/>
      <c r="M12" s="50"/>
    </row>
    <row r="13" spans="1:17" ht="15" thickBot="1" x14ac:dyDescent="0.4">
      <c r="J13" s="8" t="s">
        <v>43</v>
      </c>
      <c r="K13" s="26">
        <f>SUM(K2:K12)</f>
        <v>29199.462490594</v>
      </c>
      <c r="L13" s="50">
        <f>SUM(L2:L12)</f>
        <v>28023.201999999997</v>
      </c>
      <c r="M13" s="26">
        <f>SUM(M2:M12)</f>
        <v>4685.5445094060051</v>
      </c>
      <c r="N13" s="50">
        <f>SUM(N2:N12)</f>
        <v>32708.746509405999</v>
      </c>
    </row>
    <row r="14" spans="1:17" ht="15" thickBot="1" x14ac:dyDescent="0.4">
      <c r="D14" s="51"/>
      <c r="E14" s="52" t="s">
        <v>44</v>
      </c>
      <c r="F14" s="53">
        <f>D8*(E8-E2)</f>
        <v>4654.7999999999993</v>
      </c>
      <c r="H14" s="12"/>
    </row>
    <row r="15" spans="1:17" ht="15" thickBot="1" x14ac:dyDescent="0.4">
      <c r="D15" s="51"/>
      <c r="E15" s="52" t="s">
        <v>45</v>
      </c>
      <c r="F15" s="53">
        <f>D11*(E11-E2)</f>
        <v>634.99999999999989</v>
      </c>
      <c r="H15" s="12"/>
      <c r="J15" s="10"/>
      <c r="K15" s="10"/>
    </row>
    <row r="16" spans="1:17" x14ac:dyDescent="0.35">
      <c r="F16" s="10"/>
      <c r="J16" s="10"/>
      <c r="K16" s="10"/>
      <c r="L16" s="66"/>
      <c r="M16" s="66"/>
      <c r="N16" s="67"/>
    </row>
    <row r="17" spans="10:15" x14ac:dyDescent="0.35">
      <c r="J17" s="10"/>
      <c r="K17" s="10"/>
      <c r="L17" s="66"/>
      <c r="M17" s="66"/>
      <c r="N17" s="66"/>
      <c r="O17" s="67"/>
    </row>
    <row r="18" spans="10:15" x14ac:dyDescent="0.35">
      <c r="J18" s="68"/>
      <c r="K18" s="68"/>
    </row>
    <row r="19" spans="10:15" x14ac:dyDescent="0.35">
      <c r="J19" s="10"/>
      <c r="K19" s="10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C71B-2532-4A62-94EF-0DE46CC88DEB}">
  <sheetPr>
    <tabColor rgb="FFC00000"/>
  </sheetPr>
  <dimension ref="A1:AD3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2" sqref="E12"/>
    </sheetView>
  </sheetViews>
  <sheetFormatPr defaultRowHeight="14.5" x14ac:dyDescent="0.35"/>
  <cols>
    <col min="1" max="1" width="4.7265625" customWidth="1"/>
    <col min="2" max="2" width="5.1796875" bestFit="1" customWidth="1"/>
    <col min="3" max="3" width="5.1796875" customWidth="1"/>
    <col min="4" max="4" width="11.36328125" customWidth="1"/>
    <col min="5" max="5" width="11.81640625" customWidth="1"/>
    <col min="6" max="6" width="11" bestFit="1" customWidth="1"/>
    <col min="7" max="7" width="8.81640625" customWidth="1"/>
    <col min="8" max="8" width="9.1796875" bestFit="1" customWidth="1"/>
    <col min="9" max="9" width="8.54296875" bestFit="1" customWidth="1"/>
    <col min="10" max="10" width="7.6328125" customWidth="1"/>
    <col min="11" max="11" width="7.90625" bestFit="1" customWidth="1"/>
    <col min="12" max="12" width="9.1796875" bestFit="1" customWidth="1"/>
    <col min="13" max="14" width="8.81640625" customWidth="1"/>
    <col min="15" max="15" width="10.453125" customWidth="1"/>
    <col min="16" max="17" width="12.08984375" bestFit="1" customWidth="1"/>
    <col min="18" max="18" width="11" bestFit="1" customWidth="1"/>
    <col min="19" max="19" width="12.08984375" bestFit="1" customWidth="1"/>
    <col min="20" max="20" width="11.90625" bestFit="1" customWidth="1"/>
  </cols>
  <sheetData>
    <row r="1" spans="1:20" ht="31.5" customHeight="1" x14ac:dyDescent="0.35">
      <c r="A1" s="7" t="s">
        <v>33</v>
      </c>
      <c r="B1" s="14" t="s">
        <v>6</v>
      </c>
      <c r="C1" s="7" t="s">
        <v>5</v>
      </c>
      <c r="D1" s="7" t="s">
        <v>20</v>
      </c>
      <c r="E1" s="15" t="s">
        <v>26</v>
      </c>
      <c r="F1" s="7" t="s">
        <v>7</v>
      </c>
      <c r="G1" s="46" t="s">
        <v>3</v>
      </c>
      <c r="H1" s="46" t="s">
        <v>17</v>
      </c>
      <c r="I1" s="14" t="s">
        <v>2</v>
      </c>
      <c r="J1" s="89" t="s">
        <v>13</v>
      </c>
      <c r="K1" s="7" t="s">
        <v>63</v>
      </c>
      <c r="L1" s="7" t="s">
        <v>8</v>
      </c>
      <c r="M1" s="7" t="s">
        <v>14</v>
      </c>
      <c r="N1" s="7" t="s">
        <v>15</v>
      </c>
      <c r="O1" s="7" t="s">
        <v>16</v>
      </c>
      <c r="P1" s="11" t="s">
        <v>18</v>
      </c>
      <c r="Q1" s="7" t="s">
        <v>27</v>
      </c>
      <c r="R1" s="7" t="s">
        <v>19</v>
      </c>
      <c r="S1" s="7" t="s">
        <v>62</v>
      </c>
      <c r="T1" s="7" t="s">
        <v>55</v>
      </c>
    </row>
    <row r="2" spans="1:20" x14ac:dyDescent="0.35">
      <c r="A2" s="18" t="s">
        <v>34</v>
      </c>
      <c r="B2" s="18">
        <v>173</v>
      </c>
      <c r="C2" s="18">
        <v>15</v>
      </c>
      <c r="D2" s="18" t="s">
        <v>21</v>
      </c>
      <c r="E2" s="19">
        <v>43525</v>
      </c>
      <c r="F2" s="19">
        <v>36841</v>
      </c>
      <c r="G2" s="86">
        <v>17.05</v>
      </c>
      <c r="H2" s="21">
        <v>22.9920399034783</v>
      </c>
      <c r="I2" s="54">
        <v>544.952</v>
      </c>
      <c r="J2" s="90">
        <v>679.64009999999996</v>
      </c>
      <c r="K2" s="54">
        <f>SUM(K3:K4)</f>
        <v>544.952</v>
      </c>
      <c r="L2" s="54">
        <f>SUM(L3:L4)</f>
        <v>0</v>
      </c>
      <c r="M2" s="54">
        <f>J2/I2*L2</f>
        <v>0</v>
      </c>
      <c r="N2" s="20">
        <f>I2-(L2+K2)</f>
        <v>0</v>
      </c>
      <c r="O2" s="20">
        <f>J2/I2*N2</f>
        <v>0</v>
      </c>
      <c r="P2" s="55">
        <f>H2*M2</f>
        <v>0</v>
      </c>
      <c r="Q2" s="21">
        <f>O2*H2</f>
        <v>0</v>
      </c>
      <c r="R2" s="21">
        <f>SUM(P3:P4)-P2</f>
        <v>0</v>
      </c>
      <c r="S2" s="21">
        <f>N2*G$19-Q2</f>
        <v>0</v>
      </c>
      <c r="T2" s="21">
        <f>R2+S2</f>
        <v>0</v>
      </c>
    </row>
    <row r="3" spans="1:20" x14ac:dyDescent="0.35">
      <c r="A3" s="22" t="s">
        <v>46</v>
      </c>
      <c r="B3" s="87">
        <v>198</v>
      </c>
      <c r="C3" s="22"/>
      <c r="D3" s="22"/>
      <c r="E3" s="88">
        <v>44470</v>
      </c>
      <c r="F3" s="22"/>
      <c r="G3" s="56">
        <v>34.770000000000003</v>
      </c>
      <c r="H3" s="56"/>
      <c r="I3" s="56">
        <v>287.02999999999997</v>
      </c>
      <c r="J3" s="91"/>
      <c r="K3" s="56">
        <f>I3</f>
        <v>287.02999999999997</v>
      </c>
      <c r="L3" s="56"/>
      <c r="M3" s="56"/>
      <c r="N3" s="56"/>
      <c r="O3" s="56"/>
      <c r="P3" s="56">
        <f>L3*G3</f>
        <v>0</v>
      </c>
      <c r="Q3" s="56"/>
      <c r="R3" s="56"/>
      <c r="S3" s="56"/>
      <c r="T3" s="56"/>
    </row>
    <row r="4" spans="1:20" x14ac:dyDescent="0.35">
      <c r="A4" s="22" t="s">
        <v>46</v>
      </c>
      <c r="B4" s="87">
        <v>200</v>
      </c>
      <c r="C4" s="22"/>
      <c r="D4" s="22"/>
      <c r="E4" s="88">
        <v>44473</v>
      </c>
      <c r="F4" s="22"/>
      <c r="G4" s="56">
        <v>34.770000000000003</v>
      </c>
      <c r="H4" s="56"/>
      <c r="I4" s="56">
        <v>287.02999999999997</v>
      </c>
      <c r="J4" s="91"/>
      <c r="K4" s="56">
        <f>I2-K3</f>
        <v>257.92200000000003</v>
      </c>
      <c r="L4" s="56"/>
      <c r="M4" s="56"/>
      <c r="N4" s="56"/>
      <c r="O4" s="56"/>
      <c r="P4" s="56">
        <f>L4*G4</f>
        <v>0</v>
      </c>
      <c r="Q4" s="56"/>
      <c r="R4" s="56"/>
      <c r="S4" s="56"/>
      <c r="T4" s="56"/>
    </row>
    <row r="5" spans="1:20" x14ac:dyDescent="0.35">
      <c r="A5" s="18" t="s">
        <v>34</v>
      </c>
      <c r="B5" s="18">
        <v>173</v>
      </c>
      <c r="C5" s="18">
        <v>16</v>
      </c>
      <c r="D5" s="18" t="s">
        <v>4</v>
      </c>
      <c r="E5" s="19">
        <v>43525</v>
      </c>
      <c r="F5" s="19">
        <v>41166</v>
      </c>
      <c r="G5" s="86">
        <v>17.05</v>
      </c>
      <c r="H5" s="21">
        <v>18.259999998612201</v>
      </c>
      <c r="I5" s="18">
        <v>1065.5911000000001</v>
      </c>
      <c r="J5" s="90">
        <v>547.64509999999996</v>
      </c>
      <c r="K5" s="20">
        <f>SUM(K6:K9)</f>
        <v>807.12799999999993</v>
      </c>
      <c r="L5" s="20">
        <f>SUM(L6:L10)</f>
        <v>258.46310000000017</v>
      </c>
      <c r="M5" s="54">
        <f>J5/I5*L5</f>
        <v>132.83336379762375</v>
      </c>
      <c r="N5" s="20">
        <f>I5-(L5+K5)</f>
        <v>0</v>
      </c>
      <c r="O5" s="20">
        <f>J5/I5*N5</f>
        <v>0</v>
      </c>
      <c r="P5" s="55">
        <f>H5*M5</f>
        <v>2425.5372227602638</v>
      </c>
      <c r="Q5" s="21">
        <f>O5*H5</f>
        <v>0</v>
      </c>
      <c r="R5" s="21">
        <f>SUM(P6:P10)-P5</f>
        <v>6437.1624762397423</v>
      </c>
      <c r="S5" s="21">
        <f>N5*G$19-Q5</f>
        <v>0</v>
      </c>
      <c r="T5" s="21">
        <f>R5+S5</f>
        <v>6437.1624762397423</v>
      </c>
    </row>
    <row r="6" spans="1:20" x14ac:dyDescent="0.35">
      <c r="A6" s="22" t="s">
        <v>46</v>
      </c>
      <c r="B6" s="87">
        <v>200</v>
      </c>
      <c r="C6" s="22"/>
      <c r="D6" s="22"/>
      <c r="E6" s="88">
        <v>44473</v>
      </c>
      <c r="F6" s="22"/>
      <c r="G6" s="56">
        <v>34.770000000000003</v>
      </c>
      <c r="H6" s="56"/>
      <c r="I6" s="56">
        <v>287.02999999999997</v>
      </c>
      <c r="J6" s="91"/>
      <c r="K6" s="56">
        <f>I6-K4</f>
        <v>29.107999999999947</v>
      </c>
      <c r="L6" s="56"/>
      <c r="M6" s="56"/>
      <c r="N6" s="56"/>
      <c r="O6" s="56"/>
      <c r="P6" s="56">
        <f t="shared" ref="P6:P10" si="0">L6*G6</f>
        <v>0</v>
      </c>
      <c r="Q6" s="56"/>
      <c r="R6" s="56"/>
      <c r="S6" s="56"/>
      <c r="T6" s="56"/>
    </row>
    <row r="7" spans="1:20" x14ac:dyDescent="0.35">
      <c r="A7" s="22" t="s">
        <v>46</v>
      </c>
      <c r="B7" s="87">
        <v>216</v>
      </c>
      <c r="C7" s="22"/>
      <c r="D7" s="22"/>
      <c r="E7" s="88">
        <v>44720</v>
      </c>
      <c r="F7" s="22"/>
      <c r="G7" s="56">
        <v>33.909999999999997</v>
      </c>
      <c r="H7" s="56"/>
      <c r="I7" s="56">
        <v>296.82</v>
      </c>
      <c r="J7" s="91"/>
      <c r="K7" s="56">
        <f>I7</f>
        <v>296.82</v>
      </c>
      <c r="L7" s="56"/>
      <c r="M7" s="56"/>
      <c r="N7" s="56"/>
      <c r="O7" s="56"/>
      <c r="P7" s="56">
        <f t="shared" si="0"/>
        <v>0</v>
      </c>
      <c r="Q7" s="56"/>
      <c r="R7" s="56"/>
      <c r="S7" s="56"/>
      <c r="T7" s="56"/>
    </row>
    <row r="8" spans="1:20" x14ac:dyDescent="0.35">
      <c r="A8" s="22" t="s">
        <v>46</v>
      </c>
      <c r="B8" s="87">
        <v>1227</v>
      </c>
      <c r="C8" s="22"/>
      <c r="D8" s="22"/>
      <c r="E8" s="88">
        <v>44831</v>
      </c>
      <c r="F8" s="22"/>
      <c r="G8" s="56">
        <v>32.26</v>
      </c>
      <c r="H8" s="56"/>
      <c r="I8" s="56">
        <v>308.74</v>
      </c>
      <c r="J8" s="91"/>
      <c r="K8" s="56">
        <f>I8</f>
        <v>308.74</v>
      </c>
      <c r="L8" s="56"/>
      <c r="M8" s="56"/>
      <c r="N8" s="56"/>
      <c r="O8" s="56"/>
      <c r="P8" s="56">
        <f t="shared" si="0"/>
        <v>0</v>
      </c>
      <c r="Q8" s="56"/>
      <c r="R8" s="56"/>
      <c r="S8" s="56"/>
      <c r="T8" s="56"/>
    </row>
    <row r="9" spans="1:20" x14ac:dyDescent="0.35">
      <c r="A9" s="22" t="s">
        <v>46</v>
      </c>
      <c r="B9" s="87">
        <v>1247</v>
      </c>
      <c r="C9" s="22"/>
      <c r="D9" s="22"/>
      <c r="E9" s="88">
        <v>45028</v>
      </c>
      <c r="F9" s="22"/>
      <c r="G9" s="56">
        <v>34.47</v>
      </c>
      <c r="H9" s="56"/>
      <c r="I9" s="56">
        <v>172.46</v>
      </c>
      <c r="J9" s="91"/>
      <c r="K9" s="56">
        <f>I9</f>
        <v>172.46</v>
      </c>
      <c r="L9" s="56"/>
      <c r="M9" s="56"/>
      <c r="N9" s="56"/>
      <c r="O9" s="56"/>
      <c r="P9" s="56">
        <f t="shared" si="0"/>
        <v>0</v>
      </c>
      <c r="Q9" s="56"/>
      <c r="R9" s="56"/>
      <c r="S9" s="56"/>
      <c r="T9" s="56"/>
    </row>
    <row r="10" spans="1:20" x14ac:dyDescent="0.35">
      <c r="A10" s="22" t="s">
        <v>35</v>
      </c>
      <c r="B10" s="87">
        <v>1251</v>
      </c>
      <c r="C10" s="22"/>
      <c r="D10" s="22"/>
      <c r="E10" s="88">
        <v>45054</v>
      </c>
      <c r="F10" s="22"/>
      <c r="G10" s="56">
        <v>34.29</v>
      </c>
      <c r="H10" s="56"/>
      <c r="I10" s="56">
        <v>270</v>
      </c>
      <c r="J10" s="91"/>
      <c r="K10" s="56"/>
      <c r="L10" s="56">
        <f>I5-K5</f>
        <v>258.46310000000017</v>
      </c>
      <c r="M10" s="56"/>
      <c r="N10" s="56"/>
      <c r="O10" s="56"/>
      <c r="P10" s="56">
        <f t="shared" si="0"/>
        <v>8862.6996990000061</v>
      </c>
      <c r="Q10" s="56"/>
      <c r="R10" s="56"/>
      <c r="S10" s="56"/>
      <c r="T10" s="56"/>
    </row>
    <row r="11" spans="1:20" x14ac:dyDescent="0.35">
      <c r="A11" s="18" t="s">
        <v>34</v>
      </c>
      <c r="B11" s="18">
        <v>173</v>
      </c>
      <c r="C11" s="18">
        <v>17</v>
      </c>
      <c r="D11" s="18" t="s">
        <v>4</v>
      </c>
      <c r="E11" s="19">
        <v>43525</v>
      </c>
      <c r="F11" s="19">
        <v>41377</v>
      </c>
      <c r="G11" s="86">
        <v>17.05</v>
      </c>
      <c r="H11" s="21">
        <v>19.7899983277443</v>
      </c>
      <c r="I11" s="54">
        <v>168.14699999999999</v>
      </c>
      <c r="J11" s="90">
        <v>86.4482</v>
      </c>
      <c r="K11" s="18"/>
      <c r="L11" s="54">
        <f>L12</f>
        <v>11.536899999999832</v>
      </c>
      <c r="M11" s="54">
        <f>J11/I11*L11</f>
        <v>5.9313828886628102</v>
      </c>
      <c r="N11" s="20">
        <f>I11-(L11+K11)</f>
        <v>156.61010000000016</v>
      </c>
      <c r="O11" s="20">
        <f>J11/I11*N11</f>
        <v>80.51681711133719</v>
      </c>
      <c r="P11" s="55">
        <f>H11*M11</f>
        <v>117.38205744784817</v>
      </c>
      <c r="Q11" s="21">
        <f>O11*H11</f>
        <v>1593.4276759886566</v>
      </c>
      <c r="R11" s="21">
        <f>P12-P11</f>
        <v>278.21824355214608</v>
      </c>
      <c r="S11" s="21">
        <f>N11*G$19-Q11</f>
        <v>5939.5181340113504</v>
      </c>
      <c r="T11" s="21">
        <f>R11+S11</f>
        <v>6217.7363775634967</v>
      </c>
    </row>
    <row r="12" spans="1:20" x14ac:dyDescent="0.35">
      <c r="A12" s="22" t="s">
        <v>35</v>
      </c>
      <c r="B12" s="87">
        <v>1251</v>
      </c>
      <c r="C12" s="22"/>
      <c r="D12" s="22"/>
      <c r="E12" s="88">
        <v>45054</v>
      </c>
      <c r="F12" s="22"/>
      <c r="G12" s="56">
        <v>34.29</v>
      </c>
      <c r="H12" s="56"/>
      <c r="I12" s="56">
        <v>270</v>
      </c>
      <c r="J12" s="92"/>
      <c r="K12" s="24"/>
      <c r="L12" s="56">
        <f>I12-L10</f>
        <v>11.536899999999832</v>
      </c>
      <c r="M12" s="56"/>
      <c r="N12" s="56"/>
      <c r="O12" s="56"/>
      <c r="P12" s="56">
        <f>L12*G12</f>
        <v>395.60030099999426</v>
      </c>
      <c r="Q12" s="56"/>
      <c r="R12" s="56"/>
      <c r="S12" s="56"/>
      <c r="T12" s="56"/>
    </row>
    <row r="13" spans="1:20" x14ac:dyDescent="0.35">
      <c r="A13" s="18" t="s">
        <v>34</v>
      </c>
      <c r="B13" s="18">
        <v>1275</v>
      </c>
      <c r="C13" s="18">
        <v>16</v>
      </c>
      <c r="D13" s="18" t="s">
        <v>4</v>
      </c>
      <c r="E13" s="19">
        <v>45478</v>
      </c>
      <c r="F13" s="19">
        <v>41166</v>
      </c>
      <c r="G13" s="86">
        <v>49.440100000000001</v>
      </c>
      <c r="H13" s="21">
        <v>18.259999998612201</v>
      </c>
      <c r="I13" s="54">
        <v>97.849000000000004</v>
      </c>
      <c r="J13" s="90">
        <v>88.633300000000006</v>
      </c>
      <c r="K13" s="54">
        <f>K14</f>
        <v>20</v>
      </c>
      <c r="L13" s="54">
        <f>L14</f>
        <v>0</v>
      </c>
      <c r="M13" s="54">
        <f>J13/I13*L13</f>
        <v>0</v>
      </c>
      <c r="N13" s="20">
        <f>I13-(L13+K13)</f>
        <v>77.849000000000004</v>
      </c>
      <c r="O13" s="20">
        <f>J13/I13*N13</f>
        <v>70.516957472227617</v>
      </c>
      <c r="P13" s="55">
        <f>H13*M13</f>
        <v>0</v>
      </c>
      <c r="Q13" s="21">
        <f>O13*H13</f>
        <v>1287.6396433450129</v>
      </c>
      <c r="R13" s="21">
        <f>P14-P13</f>
        <v>0</v>
      </c>
      <c r="S13" s="21">
        <f>N13*G$19-Q13</f>
        <v>2456.8972566549874</v>
      </c>
      <c r="T13" s="21">
        <f>R13+S13</f>
        <v>2456.8972566549874</v>
      </c>
    </row>
    <row r="14" spans="1:20" x14ac:dyDescent="0.35">
      <c r="A14" s="22" t="s">
        <v>46</v>
      </c>
      <c r="B14" s="87">
        <v>1279</v>
      </c>
      <c r="C14" s="22"/>
      <c r="D14" s="22"/>
      <c r="E14" s="88">
        <v>45495</v>
      </c>
      <c r="F14" s="22"/>
      <c r="G14" s="56">
        <v>48.8</v>
      </c>
      <c r="H14" s="56"/>
      <c r="I14" s="56">
        <v>20</v>
      </c>
      <c r="J14" s="91"/>
      <c r="K14" s="56">
        <f>I14</f>
        <v>20</v>
      </c>
      <c r="L14" s="56"/>
      <c r="M14" s="56"/>
      <c r="N14" s="56"/>
      <c r="O14" s="56"/>
      <c r="P14" s="56">
        <f>L14*G14</f>
        <v>0</v>
      </c>
      <c r="Q14" s="56"/>
      <c r="R14" s="56"/>
      <c r="S14" s="56"/>
      <c r="T14" s="56"/>
    </row>
    <row r="15" spans="1:20" x14ac:dyDescent="0.35">
      <c r="A15" s="18" t="s">
        <v>34</v>
      </c>
      <c r="B15" s="18">
        <v>1273</v>
      </c>
      <c r="C15" s="18">
        <v>17</v>
      </c>
      <c r="D15" s="18" t="s">
        <v>4</v>
      </c>
      <c r="E15" s="19">
        <v>45356</v>
      </c>
      <c r="F15" s="19">
        <v>41377</v>
      </c>
      <c r="G15" s="54">
        <v>44.9208</v>
      </c>
      <c r="H15" s="21">
        <v>19.7899983277443</v>
      </c>
      <c r="I15" s="54">
        <v>238.36699999999999</v>
      </c>
      <c r="J15" s="93">
        <v>264.64670000000001</v>
      </c>
      <c r="K15" s="95"/>
      <c r="L15" s="54">
        <v>0</v>
      </c>
      <c r="M15" s="54">
        <f>J15/I15*L15</f>
        <v>0</v>
      </c>
      <c r="N15" s="20">
        <f t="shared" ref="N15:N18" si="1">I15-(L15+K15)</f>
        <v>238.36699999999999</v>
      </c>
      <c r="O15" s="20">
        <f t="shared" ref="O15:O18" si="2">J15/I15*N15</f>
        <v>264.64670000000001</v>
      </c>
      <c r="P15" s="55">
        <f>H15*M15</f>
        <v>0</v>
      </c>
      <c r="Q15" s="21">
        <f>O15*H15</f>
        <v>5237.3577504430477</v>
      </c>
      <c r="R15" s="21">
        <v>0</v>
      </c>
      <c r="S15" s="21">
        <f>N15*G$19-Q15</f>
        <v>6228.0949495569521</v>
      </c>
      <c r="T15" s="21">
        <f t="shared" ref="T15:T18" si="3">R15+S15</f>
        <v>6228.0949495569521</v>
      </c>
    </row>
    <row r="16" spans="1:20" x14ac:dyDescent="0.35">
      <c r="A16" s="18" t="s">
        <v>34</v>
      </c>
      <c r="B16" s="18">
        <v>1273</v>
      </c>
      <c r="C16" s="18">
        <v>27</v>
      </c>
      <c r="D16" s="18" t="s">
        <v>22</v>
      </c>
      <c r="E16" s="19">
        <v>45356</v>
      </c>
      <c r="F16" s="19">
        <v>41521</v>
      </c>
      <c r="G16" s="54">
        <v>44.9208</v>
      </c>
      <c r="H16" s="21">
        <v>17.093261768828398</v>
      </c>
      <c r="I16" s="54">
        <v>28.222999999999999</v>
      </c>
      <c r="J16" s="94">
        <v>45.477400000000003</v>
      </c>
      <c r="K16" s="54"/>
      <c r="L16" s="54">
        <v>0</v>
      </c>
      <c r="M16" s="54">
        <f>J16/I16*L16</f>
        <v>0</v>
      </c>
      <c r="N16" s="20">
        <f t="shared" si="1"/>
        <v>28.222999999999999</v>
      </c>
      <c r="O16" s="20">
        <f t="shared" si="2"/>
        <v>45.477400000000003</v>
      </c>
      <c r="P16" s="55">
        <f>H16*M16</f>
        <v>0</v>
      </c>
      <c r="Q16" s="21">
        <f>O16*H16</f>
        <v>777.3571027657166</v>
      </c>
      <c r="R16" s="21">
        <v>0</v>
      </c>
      <c r="S16" s="21">
        <f>N16*G$19-Q16</f>
        <v>580.16919723428339</v>
      </c>
      <c r="T16" s="21">
        <f t="shared" si="3"/>
        <v>580.16919723428339</v>
      </c>
    </row>
    <row r="17" spans="1:30" x14ac:dyDescent="0.35">
      <c r="A17" s="18" t="s">
        <v>34</v>
      </c>
      <c r="B17" s="18">
        <v>1275</v>
      </c>
      <c r="C17" s="18">
        <v>1253</v>
      </c>
      <c r="D17" s="18" t="s">
        <v>47</v>
      </c>
      <c r="E17" s="19">
        <v>45478</v>
      </c>
      <c r="F17" s="19">
        <v>45061</v>
      </c>
      <c r="G17" s="54">
        <v>49.440100000000001</v>
      </c>
      <c r="H17" s="21">
        <v>118.914827</v>
      </c>
      <c r="I17" s="54">
        <v>20.558</v>
      </c>
      <c r="J17" s="93">
        <v>8.4095999999999993</v>
      </c>
      <c r="K17" s="95"/>
      <c r="L17" s="54">
        <v>0</v>
      </c>
      <c r="M17" s="54">
        <f>J17/I17*L17</f>
        <v>0</v>
      </c>
      <c r="N17" s="20">
        <f t="shared" si="1"/>
        <v>20.558</v>
      </c>
      <c r="O17" s="20">
        <f t="shared" si="2"/>
        <v>8.4095999999999993</v>
      </c>
      <c r="P17" s="55">
        <f>H17*M17</f>
        <v>0</v>
      </c>
      <c r="Q17" s="21">
        <f>O17*H17</f>
        <v>1000.0261291392</v>
      </c>
      <c r="R17" s="21">
        <v>0</v>
      </c>
      <c r="S17" s="21">
        <f>N17*G$19-Q17</f>
        <v>-11.186329139199984</v>
      </c>
      <c r="T17" s="21">
        <f t="shared" si="3"/>
        <v>-11.186329139199984</v>
      </c>
    </row>
    <row r="18" spans="1:30" x14ac:dyDescent="0.35">
      <c r="A18" s="18" t="s">
        <v>34</v>
      </c>
      <c r="B18" s="18">
        <v>1275</v>
      </c>
      <c r="C18" s="18">
        <v>1254</v>
      </c>
      <c r="D18" s="18" t="s">
        <v>47</v>
      </c>
      <c r="E18" s="19">
        <v>45478</v>
      </c>
      <c r="F18" s="19">
        <v>45069</v>
      </c>
      <c r="G18" s="54">
        <v>49.440100000000001</v>
      </c>
      <c r="H18" s="21">
        <v>120.3180407</v>
      </c>
      <c r="I18" s="54">
        <v>182.863</v>
      </c>
      <c r="J18" s="93">
        <v>74.801699999999997</v>
      </c>
      <c r="K18" s="95"/>
      <c r="L18" s="54">
        <v>0</v>
      </c>
      <c r="M18" s="54">
        <f>J18/I18*L18</f>
        <v>0</v>
      </c>
      <c r="N18" s="20">
        <f t="shared" si="1"/>
        <v>182.863</v>
      </c>
      <c r="O18" s="20">
        <f t="shared" si="2"/>
        <v>74.801699999999997</v>
      </c>
      <c r="P18" s="55">
        <f>H18*M18</f>
        <v>0</v>
      </c>
      <c r="Q18" s="21">
        <f>O18*H18</f>
        <v>8999.9939850291903</v>
      </c>
      <c r="R18" s="21">
        <v>0</v>
      </c>
      <c r="S18" s="21">
        <f>N18*G$19-Q18</f>
        <v>-204.28368502918966</v>
      </c>
      <c r="T18" s="21">
        <f t="shared" si="3"/>
        <v>-204.28368502918966</v>
      </c>
    </row>
    <row r="19" spans="1:30" x14ac:dyDescent="0.35">
      <c r="A19" s="101" t="s">
        <v>10</v>
      </c>
      <c r="B19" s="98"/>
      <c r="C19" s="98"/>
      <c r="D19" s="99"/>
      <c r="E19" s="98"/>
      <c r="F19" s="98"/>
      <c r="G19" s="99">
        <f>'27-Global Tech EU'!E12</f>
        <v>48.1</v>
      </c>
      <c r="H19" s="98"/>
      <c r="I19" s="98"/>
      <c r="J19" s="98"/>
      <c r="K19" s="100"/>
      <c r="L19" s="100"/>
      <c r="M19" s="98"/>
      <c r="N19" s="100">
        <f>SUM(N2:N18)</f>
        <v>704.47010000000023</v>
      </c>
      <c r="O19" s="99"/>
      <c r="P19" s="99"/>
      <c r="Q19" s="99">
        <f>SUM(Q2:Q18)</f>
        <v>18895.802286710823</v>
      </c>
      <c r="R19" s="99">
        <f>SUM(R2:R18)</f>
        <v>6715.3807197918886</v>
      </c>
      <c r="S19" s="99">
        <f>SUM(S2:S18)</f>
        <v>14989.209523289182</v>
      </c>
      <c r="T19" s="99">
        <f>SUM(T2:T18)</f>
        <v>21704.590243081075</v>
      </c>
    </row>
    <row r="20" spans="1:30" s="12" customFormat="1" ht="14.5" customHeight="1" thickBot="1" x14ac:dyDescent="0.4">
      <c r="AA20" s="57"/>
      <c r="AD20" s="57"/>
    </row>
    <row r="21" spans="1:30" s="12" customFormat="1" ht="15" thickBot="1" x14ac:dyDescent="0.4">
      <c r="O21" s="59" t="s">
        <v>49</v>
      </c>
      <c r="P21" s="60"/>
      <c r="S21" s="103" t="s">
        <v>65</v>
      </c>
      <c r="T21" s="104">
        <f>+T15+T16</f>
        <v>6808.2641467912354</v>
      </c>
      <c r="AA21" s="57"/>
      <c r="AD21" s="57"/>
    </row>
    <row r="22" spans="1:30" s="12" customFormat="1" ht="15" thickBot="1" x14ac:dyDescent="0.4">
      <c r="O22" s="61" t="s">
        <v>52</v>
      </c>
      <c r="P22" s="62">
        <f>SUM(R2:R11)</f>
        <v>6715.3807197918886</v>
      </c>
      <c r="S22" s="105" t="s">
        <v>66</v>
      </c>
      <c r="T22" s="106">
        <f>+T18+T17+T13</f>
        <v>2241.4272424865976</v>
      </c>
      <c r="AA22" s="57"/>
      <c r="AD22" s="57"/>
    </row>
    <row r="23" spans="1:30" s="12" customFormat="1" ht="15" thickBot="1" x14ac:dyDescent="0.4">
      <c r="O23" s="61" t="s">
        <v>11</v>
      </c>
      <c r="P23" s="62">
        <f>SUM(S2:S11)</f>
        <v>5939.5181340113504</v>
      </c>
      <c r="AA23" s="57"/>
      <c r="AD23" s="57"/>
    </row>
    <row r="24" spans="1:30" ht="15" thickBot="1" x14ac:dyDescent="0.4">
      <c r="F24" s="12"/>
      <c r="O24" s="63" t="s">
        <v>32</v>
      </c>
      <c r="P24" s="64">
        <f>SUM(P22:P23)</f>
        <v>12654.898853803239</v>
      </c>
      <c r="Y24" s="12"/>
    </row>
    <row r="25" spans="1:30" ht="15" thickBot="1" x14ac:dyDescent="0.4">
      <c r="F25" s="12"/>
      <c r="J25" s="12"/>
      <c r="K25" s="12"/>
      <c r="L25" s="12"/>
    </row>
    <row r="26" spans="1:30" ht="15" thickBot="1" x14ac:dyDescent="0.4">
      <c r="F26" s="12"/>
      <c r="J26" s="12"/>
      <c r="K26" s="12"/>
      <c r="L26" s="12"/>
      <c r="O26" s="82"/>
      <c r="P26" s="84" t="s">
        <v>48</v>
      </c>
      <c r="Q26" s="83"/>
    </row>
    <row r="27" spans="1:30" ht="29" x14ac:dyDescent="0.35">
      <c r="F27" s="12"/>
      <c r="J27" s="12"/>
      <c r="K27" s="12"/>
      <c r="L27" s="12"/>
      <c r="O27" s="85" t="s">
        <v>5</v>
      </c>
      <c r="P27" s="77" t="s">
        <v>50</v>
      </c>
      <c r="Q27" s="76" t="s">
        <v>51</v>
      </c>
    </row>
    <row r="28" spans="1:30" x14ac:dyDescent="0.35">
      <c r="F28" s="12"/>
      <c r="J28" s="12"/>
      <c r="K28" s="12"/>
      <c r="L28" s="12"/>
      <c r="O28" s="78">
        <v>16</v>
      </c>
      <c r="P28" s="12">
        <f>J5/I5*L10</f>
        <v>132.83336379762375</v>
      </c>
      <c r="Q28" s="74">
        <f>P28*H5</f>
        <v>2425.5372227602638</v>
      </c>
    </row>
    <row r="29" spans="1:30" ht="15" thickBot="1" x14ac:dyDescent="0.4">
      <c r="F29" s="12"/>
      <c r="J29" s="12"/>
      <c r="K29" s="12"/>
      <c r="L29" s="12"/>
      <c r="O29" s="79">
        <v>17</v>
      </c>
      <c r="P29" s="80">
        <f>J11/I11*L12</f>
        <v>5.9313828886628102</v>
      </c>
      <c r="Q29" s="81">
        <f>P29*H11</f>
        <v>117.38205744784817</v>
      </c>
    </row>
    <row r="30" spans="1:30" ht="15" thickBot="1" x14ac:dyDescent="0.4">
      <c r="J30" s="12"/>
      <c r="K30" s="12"/>
      <c r="L30" s="12"/>
      <c r="O30" s="51"/>
      <c r="P30" s="52" t="s">
        <v>60</v>
      </c>
      <c r="Q30" s="75">
        <f>SUM(Q28:Q29)</f>
        <v>2542.919280208112</v>
      </c>
    </row>
    <row r="31" spans="1:30" ht="15" thickBot="1" x14ac:dyDescent="0.4">
      <c r="J31" s="12"/>
      <c r="K31" s="12"/>
      <c r="L31" s="12"/>
      <c r="O31" s="72"/>
      <c r="P31" s="73" t="s">
        <v>61</v>
      </c>
      <c r="Q31" s="74">
        <f>'27-Global Tech EU'!F8</f>
        <v>9258.2999999999993</v>
      </c>
    </row>
    <row r="32" spans="1:30" ht="15" thickBot="1" x14ac:dyDescent="0.4">
      <c r="J32" s="12"/>
      <c r="K32" s="12"/>
      <c r="O32" s="51"/>
      <c r="P32" s="52" t="s">
        <v>59</v>
      </c>
      <c r="Q32" s="64">
        <f>Q31-Q30</f>
        <v>6715.3807197918868</v>
      </c>
    </row>
    <row r="33" spans="10:11" x14ac:dyDescent="0.35">
      <c r="J33" s="12"/>
      <c r="K33" s="12"/>
    </row>
  </sheetData>
  <pageMargins left="0.7" right="0.7" top="0.75" bottom="0.75" header="0.3" footer="0.3"/>
  <pageSetup paperSize="9" orientation="portrait" horizontalDpi="0" verticalDpi="0" r:id="rId1"/>
  <ignoredErrors>
    <ignoredError sqref="P5 P13 P1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14E9-3809-4674-908D-2CD9389C4479}">
  <sheetPr>
    <tabColor rgb="FF92D050"/>
  </sheetPr>
  <dimension ref="A1:F4"/>
  <sheetViews>
    <sheetView zoomScale="145" zoomScaleNormal="145" workbookViewId="0">
      <pane ySplit="1" topLeftCell="A2" activePane="bottomLeft" state="frozen"/>
      <selection activeCell="F5" sqref="F5"/>
      <selection pane="bottomLeft" activeCell="E3" sqref="E3"/>
    </sheetView>
  </sheetViews>
  <sheetFormatPr defaultRowHeight="14.5" x14ac:dyDescent="0.35"/>
  <cols>
    <col min="2" max="2" width="8.81640625" bestFit="1" customWidth="1"/>
    <col min="3" max="3" width="10.81640625" bestFit="1" customWidth="1"/>
    <col min="6" max="6" width="11.81640625" customWidth="1"/>
    <col min="7" max="7" width="2.6328125" customWidth="1"/>
  </cols>
  <sheetData>
    <row r="1" spans="1:6" x14ac:dyDescent="0.35">
      <c r="A1" s="46"/>
      <c r="B1" s="46"/>
      <c r="C1" s="46"/>
      <c r="D1" s="46" t="s">
        <v>2</v>
      </c>
      <c r="E1" s="46" t="s">
        <v>3</v>
      </c>
      <c r="F1" s="46" t="s">
        <v>36</v>
      </c>
    </row>
    <row r="2" spans="1:6" x14ac:dyDescent="0.35">
      <c r="A2" s="1">
        <v>1263</v>
      </c>
      <c r="B2" s="1" t="s">
        <v>57</v>
      </c>
      <c r="C2" s="3">
        <v>45209</v>
      </c>
      <c r="D2" s="1">
        <v>116.8907</v>
      </c>
      <c r="E2" s="5">
        <v>85.55</v>
      </c>
      <c r="F2" s="5">
        <v>10000</v>
      </c>
    </row>
    <row r="3" spans="1:6" x14ac:dyDescent="0.35">
      <c r="A3" s="1"/>
      <c r="B3" s="1" t="s">
        <v>10</v>
      </c>
      <c r="C3" s="3"/>
      <c r="D3" s="1">
        <v>116.8907</v>
      </c>
      <c r="E3" s="5">
        <v>89.37</v>
      </c>
      <c r="F3" s="5">
        <f>D3*E3</f>
        <v>10446.521859</v>
      </c>
    </row>
    <row r="4" spans="1:6" x14ac:dyDescent="0.35">
      <c r="E4" s="8" t="s">
        <v>9</v>
      </c>
      <c r="F4" s="4">
        <f>F3-F2</f>
        <v>446.5218590000004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F4B26-8441-4E30-983C-8CF529BC519B}">
  <sheetPr>
    <tabColor rgb="FF92D050"/>
  </sheetPr>
  <dimension ref="A1:T6"/>
  <sheetViews>
    <sheetView zoomScale="115" zoomScaleNormal="115" workbookViewId="0">
      <pane xSplit="3" ySplit="1" topLeftCell="G2" activePane="bottomRight" state="frozen"/>
      <selection activeCell="F5" sqref="F5"/>
      <selection pane="topRight" activeCell="F5" sqref="F5"/>
      <selection pane="bottomLeft" activeCell="F5" sqref="F5"/>
      <selection pane="bottomRight" activeCell="M6" sqref="M6"/>
    </sheetView>
  </sheetViews>
  <sheetFormatPr defaultRowHeight="14.5" x14ac:dyDescent="0.35"/>
  <cols>
    <col min="1" max="1" width="4.81640625" bestFit="1" customWidth="1"/>
    <col min="2" max="2" width="5.08984375" bestFit="1" customWidth="1"/>
    <col min="3" max="3" width="6.453125" bestFit="1" customWidth="1"/>
    <col min="4" max="4" width="13.1796875" bestFit="1" customWidth="1"/>
    <col min="5" max="6" width="10.81640625" style="2" customWidth="1"/>
    <col min="7" max="7" width="9" bestFit="1" customWidth="1"/>
    <col min="8" max="8" width="7.81640625" customWidth="1"/>
    <col min="9" max="10" width="9.08984375" bestFit="1" customWidth="1"/>
    <col min="11" max="11" width="7.81640625" customWidth="1"/>
    <col min="12" max="12" width="8.54296875" bestFit="1" customWidth="1"/>
    <col min="13" max="13" width="9.1796875" customWidth="1"/>
    <col min="14" max="14" width="8.54296875" customWidth="1"/>
    <col min="15" max="15" width="10.7265625" customWidth="1"/>
    <col min="16" max="16" width="11.36328125" customWidth="1"/>
    <col min="17" max="17" width="11.7265625" customWidth="1"/>
    <col min="18" max="18" width="10.453125" customWidth="1"/>
    <col min="19" max="19" width="9.81640625" customWidth="1"/>
    <col min="20" max="20" width="10.54296875" bestFit="1" customWidth="1"/>
  </cols>
  <sheetData>
    <row r="1" spans="1:20" ht="25.5" customHeight="1" x14ac:dyDescent="0.35">
      <c r="A1" s="14" t="s">
        <v>33</v>
      </c>
      <c r="B1" s="14" t="s">
        <v>6</v>
      </c>
      <c r="C1" s="7" t="s">
        <v>5</v>
      </c>
      <c r="D1" s="7" t="s">
        <v>20</v>
      </c>
      <c r="E1" s="15" t="s">
        <v>26</v>
      </c>
      <c r="F1" s="15" t="s">
        <v>7</v>
      </c>
      <c r="G1" s="17" t="s">
        <v>3</v>
      </c>
      <c r="H1" s="17" t="s">
        <v>17</v>
      </c>
      <c r="I1" s="16" t="s">
        <v>2</v>
      </c>
      <c r="J1" s="96" t="s">
        <v>13</v>
      </c>
      <c r="K1" s="7" t="s">
        <v>63</v>
      </c>
      <c r="L1" s="7" t="s">
        <v>8</v>
      </c>
      <c r="M1" s="7" t="s">
        <v>14</v>
      </c>
      <c r="N1" s="7" t="s">
        <v>15</v>
      </c>
      <c r="O1" s="7" t="s">
        <v>16</v>
      </c>
      <c r="P1" s="11" t="s">
        <v>18</v>
      </c>
      <c r="Q1" s="7" t="s">
        <v>27</v>
      </c>
      <c r="R1" s="7" t="s">
        <v>19</v>
      </c>
      <c r="S1" s="7" t="s">
        <v>62</v>
      </c>
      <c r="T1" s="7" t="s">
        <v>55</v>
      </c>
    </row>
    <row r="2" spans="1:20" x14ac:dyDescent="0.35">
      <c r="A2" t="s">
        <v>53</v>
      </c>
      <c r="B2" s="18">
        <v>1263</v>
      </c>
      <c r="C2" s="18">
        <v>1263</v>
      </c>
      <c r="D2" s="18" t="s">
        <v>64</v>
      </c>
      <c r="E2" s="19">
        <v>45209.585717592592</v>
      </c>
      <c r="F2" s="19">
        <v>45209.585717592592</v>
      </c>
      <c r="G2" s="21">
        <v>85.55</v>
      </c>
      <c r="H2" s="21">
        <v>85.55</v>
      </c>
      <c r="I2" s="18">
        <v>116.8907</v>
      </c>
      <c r="J2" s="90">
        <v>116.8907</v>
      </c>
      <c r="K2" s="18"/>
      <c r="L2" s="42">
        <f>L3</f>
        <v>0</v>
      </c>
      <c r="M2" s="42">
        <f>J2/I2*L2</f>
        <v>0</v>
      </c>
      <c r="N2" s="20">
        <f>I2-L2</f>
        <v>116.8907</v>
      </c>
      <c r="O2" s="20">
        <f>J2-M2</f>
        <v>116.8907</v>
      </c>
      <c r="P2" s="21">
        <f>$H2*M2</f>
        <v>0</v>
      </c>
      <c r="Q2" s="21">
        <f>$H2*O2</f>
        <v>9999.9993849999992</v>
      </c>
      <c r="R2" s="21">
        <f>L3*G3-P2</f>
        <v>0</v>
      </c>
      <c r="S2" s="21">
        <f>Q3-Q2</f>
        <v>446.52247400000124</v>
      </c>
      <c r="T2" s="21">
        <f>R2+S2</f>
        <v>446.52247400000124</v>
      </c>
    </row>
    <row r="3" spans="1:20" x14ac:dyDescent="0.35">
      <c r="A3" s="101" t="s">
        <v>10</v>
      </c>
      <c r="B3" s="98"/>
      <c r="C3" s="98"/>
      <c r="D3" s="99"/>
      <c r="E3" s="98"/>
      <c r="F3" s="98"/>
      <c r="G3" s="99">
        <f>'1042-DWS Floating'!E3</f>
        <v>89.37</v>
      </c>
      <c r="H3" s="98"/>
      <c r="I3" s="98"/>
      <c r="J3" s="98"/>
      <c r="K3" s="100"/>
      <c r="L3" s="100"/>
      <c r="M3" s="98"/>
      <c r="N3" s="100">
        <f>SUM(N2)</f>
        <v>116.8907</v>
      </c>
      <c r="O3" s="99"/>
      <c r="P3" s="99"/>
      <c r="Q3" s="99">
        <f>N3*G3</f>
        <v>10446.521859</v>
      </c>
      <c r="R3" s="99">
        <f>SUM(R2)</f>
        <v>0</v>
      </c>
      <c r="S3" s="99">
        <f t="shared" ref="S3:T3" si="0">SUM(S2)</f>
        <v>446.52247400000124</v>
      </c>
      <c r="T3" s="99">
        <f t="shared" si="0"/>
        <v>446.52247400000124</v>
      </c>
    </row>
    <row r="6" spans="1:20" x14ac:dyDescent="0.35">
      <c r="M6" s="13"/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28-Euro Fund</vt:lpstr>
      <vt:lpstr>Orig Vendes Reals 28</vt:lpstr>
      <vt:lpstr>1043-Global Tech US</vt:lpstr>
      <vt:lpstr>Orig Vendes Reals 1043</vt:lpstr>
      <vt:lpstr>27-Global Tech EU</vt:lpstr>
      <vt:lpstr>Orig Vendes Reals 27</vt:lpstr>
      <vt:lpstr>1042-DWS Floating</vt:lpstr>
      <vt:lpstr>Orig Vendes Reals 1042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2024-09-07T17:22:57Z</dcterms:created>
  <dcterms:modified xsi:type="dcterms:W3CDTF">2024-09-21T14:25:39Z</dcterms:modified>
</cp:coreProperties>
</file>