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8FF1D927-3846-4923-A602-60020A4C88B5}" xr6:coauthVersionLast="47" xr6:coauthVersionMax="47" xr10:uidLastSave="{00000000-0000-0000-0000-000000000000}"/>
  <bookViews>
    <workbookView xWindow="22932" yWindow="0" windowWidth="23256" windowHeight="12576" xr2:uid="{3BE38316-2729-4F6D-9D30-9A2EA6E3D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3" i="1" s="1"/>
  <c r="H24" i="1" s="1"/>
  <c r="H25" i="1" s="1"/>
  <c r="I13" i="1" l="1"/>
  <c r="I22" i="1"/>
  <c r="I23" i="1"/>
  <c r="I24" i="1"/>
  <c r="I15" i="1"/>
  <c r="H11" i="1"/>
  <c r="H12" i="1" l="1"/>
  <c r="H13" i="1" s="1"/>
  <c r="H14" i="1" l="1"/>
  <c r="H15" i="1" l="1"/>
  <c r="H16" i="1" s="1"/>
  <c r="J13" i="1" l="1"/>
  <c r="J15" i="1"/>
  <c r="H17" i="1"/>
  <c r="H18" i="1" l="1"/>
  <c r="H19" i="1" s="1"/>
  <c r="H20" i="1" s="1"/>
  <c r="H21" i="1" s="1"/>
  <c r="K15" i="1"/>
  <c r="M15" i="1" s="1"/>
  <c r="H2" i="1"/>
  <c r="L15" i="1" l="1"/>
  <c r="I19" i="1"/>
  <c r="H26" i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" i="1"/>
  <c r="H4" i="1" s="1"/>
  <c r="H5" i="1" s="1"/>
  <c r="H6" i="1" s="1"/>
  <c r="J23" i="1" l="1"/>
  <c r="J24" i="1"/>
  <c r="J19" i="1"/>
  <c r="J22" i="1"/>
  <c r="H7" i="1"/>
  <c r="H8" i="1" s="1"/>
  <c r="H9" i="1" s="1"/>
</calcChain>
</file>

<file path=xl/sharedStrings.xml><?xml version="1.0" encoding="utf-8"?>
<sst xmlns="http://schemas.openxmlformats.org/spreadsheetml/2006/main" count="43" uniqueCount="10">
  <si>
    <t>Compra</t>
  </si>
  <si>
    <t>Dividends</t>
  </si>
  <si>
    <t>Venda</t>
  </si>
  <si>
    <t>ContraSplit</t>
  </si>
  <si>
    <t>Parts</t>
  </si>
  <si>
    <t>PU</t>
  </si>
  <si>
    <t>Parts en data</t>
  </si>
  <si>
    <t>Desp</t>
  </si>
  <si>
    <t>Dividents per compra</t>
  </si>
  <si>
    <t>Parts per càlcul divid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</si>
</sst>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0\ &quot;€&quot;;[Red]\-#,##0.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8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3" fontId="1" fillId="0" borderId="0" xfId="0" applyNumberFormat="1" applyFont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0EBE-D099-434F-AF7E-F7D80ABD81FB}">
  <dimension ref="A1:M38"/>
  <sheetViews>
    <sheetView tabSelected="1" zoomScale="160" zoomScaleNormal="160"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5" bestFit="1" customWidth="1"/>
    <col min="2" max="2" width="10" bestFit="1" customWidth="1"/>
    <col min="3" max="3" width="10.7265625" bestFit="1" customWidth="1"/>
    <col min="7" max="7" width="2" customWidth="1"/>
    <col min="8" max="8" width="9.90625" style="16" customWidth="1"/>
    <col min="9" max="9" width="11.36328125" customWidth="1"/>
    <col min="10" max="10" width="11.26953125" customWidth="1"/>
  </cols>
  <sheetData>
    <row r="1" spans="1:13" ht="29" x14ac:dyDescent="0.35">
      <c r="D1" s="5" t="s">
        <v>4</v>
      </c>
      <c r="E1" s="5" t="s">
        <v>5</v>
      </c>
      <c r="F1" s="5" t="s">
        <v>7</v>
      </c>
      <c r="G1" s="5"/>
      <c r="H1" s="15" t="s">
        <v>6</v>
      </c>
      <c r="I1" s="6" t="s">
        <v>9</v>
      </c>
      <c r="J1" s="6" t="s">
        <v>8</v>
      </c>
    </row>
    <row r="2" spans="1:13" x14ac:dyDescent="0.35">
      <c r="A2" s="1">
        <v>79</v>
      </c>
      <c r="B2" s="1" t="s">
        <v>0</v>
      </c>
      <c r="C2" s="2">
        <v>41711</v>
      </c>
      <c r="D2" s="1">
        <v>925</v>
      </c>
      <c r="E2" s="3">
        <v>10.824999999999999</v>
      </c>
      <c r="F2" s="3">
        <v>15.06</v>
      </c>
      <c r="G2" s="3"/>
      <c r="H2" s="16">
        <f>D2</f>
        <v>925</v>
      </c>
    </row>
    <row r="3" spans="1:13" x14ac:dyDescent="0.35">
      <c r="A3" s="1">
        <v>80</v>
      </c>
      <c r="B3" s="1" t="s">
        <v>2</v>
      </c>
      <c r="C3" s="2">
        <v>41717</v>
      </c>
      <c r="D3" s="1">
        <v>925</v>
      </c>
      <c r="E3" s="3">
        <v>11.05</v>
      </c>
      <c r="F3" s="3">
        <v>25.32</v>
      </c>
      <c r="G3" s="3"/>
      <c r="H3" s="16">
        <f>H2-D3</f>
        <v>0</v>
      </c>
    </row>
    <row r="4" spans="1:13" x14ac:dyDescent="0.35">
      <c r="A4" s="1">
        <v>81</v>
      </c>
      <c r="B4" s="1" t="s">
        <v>0</v>
      </c>
      <c r="C4" s="2">
        <v>41830</v>
      </c>
      <c r="D4" s="1">
        <v>929</v>
      </c>
      <c r="E4" s="3">
        <v>10.74</v>
      </c>
      <c r="F4" s="3">
        <v>15.06</v>
      </c>
      <c r="G4" s="3"/>
      <c r="H4" s="16">
        <f>H3+D4</f>
        <v>929</v>
      </c>
    </row>
    <row r="5" spans="1:13" x14ac:dyDescent="0.35">
      <c r="A5" s="1">
        <v>82</v>
      </c>
      <c r="B5" s="1" t="s">
        <v>2</v>
      </c>
      <c r="C5" s="2">
        <v>41877</v>
      </c>
      <c r="D5" s="1">
        <v>929</v>
      </c>
      <c r="E5" s="3">
        <v>10.98</v>
      </c>
      <c r="F5" s="3">
        <v>15.09</v>
      </c>
      <c r="G5" s="3"/>
      <c r="H5" s="16">
        <f>H4-D5</f>
        <v>0</v>
      </c>
    </row>
    <row r="6" spans="1:13" x14ac:dyDescent="0.35">
      <c r="A6" s="1">
        <v>83</v>
      </c>
      <c r="B6" s="1" t="s">
        <v>0</v>
      </c>
      <c r="C6" s="2">
        <v>41984</v>
      </c>
      <c r="D6" s="4">
        <v>5386</v>
      </c>
      <c r="E6" s="3">
        <v>9.2676999999999996</v>
      </c>
      <c r="F6" s="3">
        <v>20.14</v>
      </c>
      <c r="G6" s="3"/>
      <c r="H6" s="16">
        <f t="shared" ref="H6:H37" si="0">H5+D6</f>
        <v>5386</v>
      </c>
    </row>
    <row r="7" spans="1:13" x14ac:dyDescent="0.35">
      <c r="A7" s="1">
        <v>84</v>
      </c>
      <c r="B7" s="1" t="s">
        <v>2</v>
      </c>
      <c r="C7" s="2">
        <v>42047</v>
      </c>
      <c r="D7" s="4">
        <v>5386</v>
      </c>
      <c r="E7" s="3">
        <v>9.0449999999999999</v>
      </c>
      <c r="F7" s="3">
        <v>20.03</v>
      </c>
      <c r="G7" s="3"/>
      <c r="H7" s="16">
        <f>H6-D7</f>
        <v>0</v>
      </c>
    </row>
    <row r="8" spans="1:13" x14ac:dyDescent="0.35">
      <c r="A8" s="1">
        <v>94</v>
      </c>
      <c r="B8" s="1" t="s">
        <v>0</v>
      </c>
      <c r="C8" s="2">
        <v>42212</v>
      </c>
      <c r="D8" s="4">
        <v>6415</v>
      </c>
      <c r="E8" s="3">
        <v>7.7939999999999996</v>
      </c>
      <c r="F8" s="3">
        <v>20.149999999999999</v>
      </c>
      <c r="G8" s="3"/>
      <c r="H8" s="16">
        <f t="shared" si="0"/>
        <v>6415</v>
      </c>
    </row>
    <row r="9" spans="1:13" x14ac:dyDescent="0.35">
      <c r="A9" s="1">
        <v>97</v>
      </c>
      <c r="B9" s="1" t="s">
        <v>2</v>
      </c>
      <c r="C9" s="2">
        <v>42214</v>
      </c>
      <c r="D9" s="4">
        <v>6415</v>
      </c>
      <c r="E9" s="3">
        <v>8.19</v>
      </c>
      <c r="F9" s="3">
        <v>20.399999999999999</v>
      </c>
      <c r="G9" s="3"/>
      <c r="H9" s="16">
        <f>H8-D9</f>
        <v>0</v>
      </c>
    </row>
    <row r="10" spans="1:13" x14ac:dyDescent="0.35">
      <c r="A10" s="1">
        <v>138</v>
      </c>
      <c r="B10" s="1" t="s">
        <v>3</v>
      </c>
      <c r="C10" s="2">
        <v>42822</v>
      </c>
      <c r="D10" s="4">
        <v>1581</v>
      </c>
      <c r="E10" s="3">
        <v>7.5910000000000002</v>
      </c>
      <c r="F10" s="3">
        <v>0</v>
      </c>
      <c r="G10" s="3"/>
      <c r="H10" s="16">
        <v>0</v>
      </c>
    </row>
    <row r="11" spans="1:13" x14ac:dyDescent="0.35">
      <c r="A11" s="1">
        <v>151</v>
      </c>
      <c r="B11" s="1" t="s">
        <v>0</v>
      </c>
      <c r="C11" s="2">
        <v>42822</v>
      </c>
      <c r="D11" s="1">
        <v>527</v>
      </c>
      <c r="E11" s="3">
        <v>22.773</v>
      </c>
      <c r="F11" s="3">
        <v>15.15</v>
      </c>
      <c r="G11" s="3"/>
      <c r="H11" s="16">
        <f t="shared" si="0"/>
        <v>527</v>
      </c>
    </row>
    <row r="12" spans="1:13" x14ac:dyDescent="0.35">
      <c r="A12" s="1">
        <v>165</v>
      </c>
      <c r="B12" s="1" t="s">
        <v>2</v>
      </c>
      <c r="C12" s="2">
        <v>43236</v>
      </c>
      <c r="D12" s="1">
        <v>527</v>
      </c>
      <c r="E12" s="3">
        <v>30.416</v>
      </c>
      <c r="F12" s="3">
        <v>27.45</v>
      </c>
      <c r="G12" s="3"/>
      <c r="H12" s="16">
        <f>H11-D12</f>
        <v>0</v>
      </c>
    </row>
    <row r="13" spans="1:13" x14ac:dyDescent="0.35">
      <c r="A13" s="1">
        <v>166</v>
      </c>
      <c r="B13" s="8" t="s">
        <v>0</v>
      </c>
      <c r="C13" s="2">
        <v>43389</v>
      </c>
      <c r="D13" s="1">
        <v>1600</v>
      </c>
      <c r="E13" s="3">
        <v>24.388000000000002</v>
      </c>
      <c r="F13" s="3">
        <v>28.51</v>
      </c>
      <c r="G13" s="1"/>
      <c r="H13" s="17">
        <f t="shared" si="0"/>
        <v>1600</v>
      </c>
      <c r="I13" s="9">
        <f>D13-D14</f>
        <v>952</v>
      </c>
      <c r="J13" s="12">
        <f>E$16/H$16*I13</f>
        <v>169.60813559322034</v>
      </c>
    </row>
    <row r="14" spans="1:13" x14ac:dyDescent="0.35">
      <c r="A14" s="1">
        <v>169</v>
      </c>
      <c r="B14" s="1" t="s">
        <v>2</v>
      </c>
      <c r="C14" s="2">
        <v>43458</v>
      </c>
      <c r="D14" s="1">
        <v>648</v>
      </c>
      <c r="E14" s="3">
        <v>18.260000000000002</v>
      </c>
      <c r="F14" s="3">
        <v>10.06</v>
      </c>
      <c r="G14" s="1"/>
      <c r="H14" s="17">
        <f>H13-D14</f>
        <v>952</v>
      </c>
      <c r="J14" s="13"/>
    </row>
    <row r="15" spans="1:13" x14ac:dyDescent="0.35">
      <c r="A15" s="1">
        <v>174</v>
      </c>
      <c r="B15" s="8" t="s">
        <v>0</v>
      </c>
      <c r="C15" s="2">
        <v>43550</v>
      </c>
      <c r="D15" s="1">
        <v>700</v>
      </c>
      <c r="E15" s="3">
        <v>18.027999999999999</v>
      </c>
      <c r="F15" s="3">
        <v>10.06</v>
      </c>
      <c r="G15" s="1"/>
      <c r="H15" s="17">
        <f t="shared" si="0"/>
        <v>1652</v>
      </c>
      <c r="I15" s="9">
        <f>D15</f>
        <v>700</v>
      </c>
      <c r="J15" s="12">
        <f>E$16/H$16*I15</f>
        <v>124.71186440677965</v>
      </c>
      <c r="K15">
        <f>H17</f>
        <v>400</v>
      </c>
      <c r="L15" s="13">
        <f>J15/D15*K15</f>
        <v>71.263922518159802</v>
      </c>
      <c r="M15" s="7">
        <f>F15/D15*K15</f>
        <v>5.7485714285714282</v>
      </c>
    </row>
    <row r="16" spans="1:13" x14ac:dyDescent="0.35">
      <c r="A16" s="1">
        <v>176</v>
      </c>
      <c r="B16" s="8" t="s">
        <v>1</v>
      </c>
      <c r="C16" s="2">
        <v>43629</v>
      </c>
      <c r="D16" s="1">
        <v>0</v>
      </c>
      <c r="E16" s="3">
        <v>294.32</v>
      </c>
      <c r="F16" s="3">
        <v>0</v>
      </c>
      <c r="G16" s="1"/>
      <c r="H16" s="17">
        <f t="shared" si="0"/>
        <v>1652</v>
      </c>
      <c r="J16" s="13"/>
    </row>
    <row r="17" spans="1:13" x14ac:dyDescent="0.35">
      <c r="A17" s="1">
        <v>177</v>
      </c>
      <c r="B17" s="1" t="s">
        <v>2</v>
      </c>
      <c r="C17" s="2">
        <v>43797</v>
      </c>
      <c r="D17" s="1">
        <v>1252</v>
      </c>
      <c r="E17" s="3">
        <v>15.624000000000001</v>
      </c>
      <c r="F17" s="3">
        <v>10.06</v>
      </c>
      <c r="G17" s="1"/>
      <c r="H17" s="17">
        <f>H16-D17</f>
        <v>400</v>
      </c>
      <c r="J17" s="13"/>
    </row>
    <row r="18" spans="1:13" x14ac:dyDescent="0.35">
      <c r="A18" s="1">
        <v>178</v>
      </c>
      <c r="B18" s="1" t="s">
        <v>0</v>
      </c>
      <c r="C18" s="2">
        <v>43802</v>
      </c>
      <c r="D18" s="1">
        <v>500</v>
      </c>
      <c r="E18" s="3">
        <v>15.32</v>
      </c>
      <c r="F18" s="3">
        <v>10.06</v>
      </c>
      <c r="G18" s="1"/>
      <c r="H18" s="17">
        <f>H17+D18</f>
        <v>900</v>
      </c>
      <c r="J18" s="13"/>
      <c r="L18" s="13"/>
      <c r="M18" s="7"/>
    </row>
    <row r="19" spans="1:13" x14ac:dyDescent="0.35">
      <c r="A19" s="1">
        <v>191</v>
      </c>
      <c r="B19" s="10" t="s">
        <v>0</v>
      </c>
      <c r="C19" s="2">
        <v>43802</v>
      </c>
      <c r="D19" s="1">
        <v>660</v>
      </c>
      <c r="E19" s="3">
        <v>15.31</v>
      </c>
      <c r="F19" s="3">
        <v>10.17</v>
      </c>
      <c r="G19" s="1"/>
      <c r="H19" s="17">
        <f t="shared" ref="H19:H24" si="1">H18+D19</f>
        <v>1560</v>
      </c>
      <c r="I19" s="10">
        <f>H21</f>
        <v>400</v>
      </c>
      <c r="J19" s="14">
        <f>E$25/H$25*I19</f>
        <v>98.351578947368424</v>
      </c>
      <c r="L19" s="13"/>
      <c r="M19" s="7"/>
    </row>
    <row r="20" spans="1:13" x14ac:dyDescent="0.35">
      <c r="A20" s="1">
        <v>190</v>
      </c>
      <c r="B20" s="1" t="s">
        <v>0</v>
      </c>
      <c r="C20" s="2">
        <v>43802</v>
      </c>
      <c r="D20" s="1">
        <v>92</v>
      </c>
      <c r="E20" s="3">
        <v>15.32</v>
      </c>
      <c r="F20" s="3">
        <v>5.0599999999999996</v>
      </c>
      <c r="G20" s="1"/>
      <c r="H20" s="17">
        <f t="shared" si="1"/>
        <v>1652</v>
      </c>
      <c r="J20" s="13"/>
      <c r="L20" s="13"/>
      <c r="M20" s="7"/>
    </row>
    <row r="21" spans="1:13" x14ac:dyDescent="0.35">
      <c r="A21" s="1">
        <v>179</v>
      </c>
      <c r="B21" s="1" t="s">
        <v>2</v>
      </c>
      <c r="C21" s="2">
        <v>43872</v>
      </c>
      <c r="D21" s="1">
        <v>1252</v>
      </c>
      <c r="E21" s="3">
        <v>16.611999999999998</v>
      </c>
      <c r="F21" s="3">
        <v>16.54</v>
      </c>
      <c r="G21" s="1"/>
      <c r="H21" s="17">
        <f>H20-D21</f>
        <v>400</v>
      </c>
      <c r="J21" s="13"/>
      <c r="L21" s="13"/>
      <c r="M21" s="13"/>
    </row>
    <row r="22" spans="1:13" x14ac:dyDescent="0.35">
      <c r="A22" s="1">
        <v>193</v>
      </c>
      <c r="B22" s="10" t="s">
        <v>0</v>
      </c>
      <c r="C22" s="2">
        <v>43893</v>
      </c>
      <c r="D22" s="1">
        <v>433</v>
      </c>
      <c r="E22" s="3">
        <v>13.29</v>
      </c>
      <c r="F22" s="3">
        <v>8.06</v>
      </c>
      <c r="G22" s="1"/>
      <c r="H22" s="17">
        <f t="shared" si="1"/>
        <v>833</v>
      </c>
      <c r="I22" s="11">
        <f>D22</f>
        <v>433</v>
      </c>
      <c r="J22" s="14">
        <f>E$25/H$25*I22</f>
        <v>106.46558421052632</v>
      </c>
    </row>
    <row r="23" spans="1:13" x14ac:dyDescent="0.35">
      <c r="A23" s="1">
        <v>192</v>
      </c>
      <c r="B23" s="10" t="s">
        <v>0</v>
      </c>
      <c r="C23" s="2">
        <v>43893</v>
      </c>
      <c r="D23" s="1">
        <v>500</v>
      </c>
      <c r="E23" s="3">
        <v>13.28</v>
      </c>
      <c r="F23" s="3">
        <v>10.06</v>
      </c>
      <c r="G23" s="1"/>
      <c r="H23" s="17">
        <f t="shared" si="1"/>
        <v>1333</v>
      </c>
      <c r="I23" s="11">
        <f>D23</f>
        <v>500</v>
      </c>
      <c r="J23" s="14">
        <f>E$25/H$25*I23</f>
        <v>122.93947368421053</v>
      </c>
    </row>
    <row r="24" spans="1:13" x14ac:dyDescent="0.35">
      <c r="A24" s="1">
        <v>182</v>
      </c>
      <c r="B24" s="10" t="s">
        <v>0</v>
      </c>
      <c r="C24" s="2">
        <v>43893</v>
      </c>
      <c r="D24" s="1">
        <v>567</v>
      </c>
      <c r="E24" s="3">
        <v>13.28</v>
      </c>
      <c r="F24" s="3">
        <v>10.17</v>
      </c>
      <c r="G24" s="1"/>
      <c r="H24" s="17">
        <f t="shared" si="1"/>
        <v>1900</v>
      </c>
      <c r="I24" s="11">
        <f>D24</f>
        <v>567</v>
      </c>
      <c r="J24" s="14">
        <f>E$25/H$25*I24</f>
        <v>139.41336315789474</v>
      </c>
    </row>
    <row r="25" spans="1:13" x14ac:dyDescent="0.35">
      <c r="A25" s="1">
        <v>195</v>
      </c>
      <c r="B25" s="10" t="s">
        <v>1</v>
      </c>
      <c r="C25" s="2">
        <v>44362</v>
      </c>
      <c r="D25" s="1">
        <v>0</v>
      </c>
      <c r="E25" s="3">
        <v>467.17</v>
      </c>
      <c r="F25" s="3">
        <v>0</v>
      </c>
      <c r="G25" s="1"/>
      <c r="H25" s="17">
        <f>H24+D25</f>
        <v>1900</v>
      </c>
      <c r="J25" s="7"/>
    </row>
    <row r="26" spans="1:13" x14ac:dyDescent="0.35">
      <c r="A26" s="1">
        <v>206</v>
      </c>
      <c r="B26" s="1" t="s">
        <v>2</v>
      </c>
      <c r="C26" s="2">
        <v>44559</v>
      </c>
      <c r="D26" s="1">
        <v>54</v>
      </c>
      <c r="E26" s="3">
        <v>28.6</v>
      </c>
      <c r="F26" s="3">
        <v>0.61</v>
      </c>
      <c r="G26" s="1"/>
      <c r="H26" s="17">
        <f>H25-D26</f>
        <v>1846</v>
      </c>
    </row>
    <row r="27" spans="1:13" x14ac:dyDescent="0.35">
      <c r="A27" s="1">
        <v>207</v>
      </c>
      <c r="B27" s="1" t="s">
        <v>2</v>
      </c>
      <c r="C27" s="2">
        <v>44559</v>
      </c>
      <c r="D27" s="1">
        <v>846</v>
      </c>
      <c r="E27" s="3">
        <v>28.6</v>
      </c>
      <c r="F27" s="3">
        <v>9.56</v>
      </c>
      <c r="G27" s="1"/>
      <c r="H27" s="17">
        <f t="shared" ref="H27:H35" si="2">H26-D27</f>
        <v>1000</v>
      </c>
    </row>
    <row r="28" spans="1:13" x14ac:dyDescent="0.35">
      <c r="A28" s="1">
        <v>208</v>
      </c>
      <c r="B28" s="1" t="s">
        <v>2</v>
      </c>
      <c r="C28" s="2">
        <v>44572</v>
      </c>
      <c r="D28" s="1">
        <v>28</v>
      </c>
      <c r="E28" s="3">
        <v>30.7</v>
      </c>
      <c r="F28" s="3">
        <v>0.3</v>
      </c>
      <c r="G28" s="1"/>
      <c r="H28" s="17">
        <f t="shared" si="2"/>
        <v>972</v>
      </c>
    </row>
    <row r="29" spans="1:13" x14ac:dyDescent="0.35">
      <c r="A29" s="1">
        <v>209</v>
      </c>
      <c r="B29" s="1" t="s">
        <v>2</v>
      </c>
      <c r="C29" s="2">
        <v>44572</v>
      </c>
      <c r="D29" s="1">
        <v>44</v>
      </c>
      <c r="E29" s="3">
        <v>30.7</v>
      </c>
      <c r="F29" s="3">
        <v>0.48</v>
      </c>
      <c r="G29" s="1"/>
      <c r="H29" s="17">
        <f t="shared" si="2"/>
        <v>928</v>
      </c>
    </row>
    <row r="30" spans="1:13" x14ac:dyDescent="0.35">
      <c r="A30" s="1">
        <v>210</v>
      </c>
      <c r="B30" s="1" t="s">
        <v>2</v>
      </c>
      <c r="C30" s="2">
        <v>44572</v>
      </c>
      <c r="D30" s="1">
        <v>29</v>
      </c>
      <c r="E30" s="3">
        <v>30.7</v>
      </c>
      <c r="F30" s="3">
        <v>0.31</v>
      </c>
      <c r="G30" s="3"/>
      <c r="H30" s="16">
        <f t="shared" si="2"/>
        <v>899</v>
      </c>
    </row>
    <row r="31" spans="1:13" x14ac:dyDescent="0.35">
      <c r="A31" s="1">
        <v>211</v>
      </c>
      <c r="B31" s="1" t="s">
        <v>2</v>
      </c>
      <c r="C31" s="2">
        <v>44572</v>
      </c>
      <c r="D31" s="1">
        <v>84</v>
      </c>
      <c r="E31" s="3">
        <v>30.7</v>
      </c>
      <c r="F31" s="3">
        <v>0.91</v>
      </c>
      <c r="G31" s="3"/>
      <c r="H31" s="16">
        <f t="shared" si="2"/>
        <v>815</v>
      </c>
    </row>
    <row r="32" spans="1:13" x14ac:dyDescent="0.35">
      <c r="A32" s="1">
        <v>212</v>
      </c>
      <c r="B32" s="1" t="s">
        <v>2</v>
      </c>
      <c r="C32" s="2">
        <v>44572</v>
      </c>
      <c r="D32" s="1">
        <v>150</v>
      </c>
      <c r="E32" s="3">
        <v>30.7</v>
      </c>
      <c r="F32" s="3">
        <v>1.63</v>
      </c>
      <c r="G32" s="3"/>
      <c r="H32" s="16">
        <f t="shared" si="2"/>
        <v>665</v>
      </c>
    </row>
    <row r="33" spans="1:8" x14ac:dyDescent="0.35">
      <c r="A33" s="1">
        <v>213</v>
      </c>
      <c r="B33" s="1" t="s">
        <v>2</v>
      </c>
      <c r="C33" s="2">
        <v>44572</v>
      </c>
      <c r="D33" s="1">
        <v>447</v>
      </c>
      <c r="E33" s="3">
        <v>30.7</v>
      </c>
      <c r="F33" s="3">
        <v>4.84</v>
      </c>
      <c r="G33" s="3"/>
      <c r="H33" s="16">
        <f t="shared" si="2"/>
        <v>218</v>
      </c>
    </row>
    <row r="34" spans="1:8" x14ac:dyDescent="0.35">
      <c r="A34" s="1">
        <v>214</v>
      </c>
      <c r="B34" s="1" t="s">
        <v>2</v>
      </c>
      <c r="C34" s="2">
        <v>44572</v>
      </c>
      <c r="D34" s="1">
        <v>72</v>
      </c>
      <c r="E34" s="3">
        <v>30.7</v>
      </c>
      <c r="F34" s="3">
        <v>0.78</v>
      </c>
      <c r="G34" s="3"/>
      <c r="H34" s="16">
        <f t="shared" si="2"/>
        <v>146</v>
      </c>
    </row>
    <row r="35" spans="1:8" x14ac:dyDescent="0.35">
      <c r="A35" s="1">
        <v>215</v>
      </c>
      <c r="B35" s="1" t="s">
        <v>2</v>
      </c>
      <c r="C35" s="2">
        <v>44572</v>
      </c>
      <c r="D35" s="1">
        <v>146</v>
      </c>
      <c r="E35" s="3">
        <v>30.7</v>
      </c>
      <c r="F35" s="3">
        <v>1.58</v>
      </c>
      <c r="G35" s="3"/>
      <c r="H35" s="16">
        <f t="shared" si="2"/>
        <v>0</v>
      </c>
    </row>
    <row r="36" spans="1:8" x14ac:dyDescent="0.35">
      <c r="A36" s="1">
        <v>1281</v>
      </c>
      <c r="B36" s="1" t="s">
        <v>0</v>
      </c>
      <c r="C36" s="2">
        <v>45505</v>
      </c>
      <c r="D36" s="1">
        <v>579</v>
      </c>
      <c r="E36" s="3">
        <v>20.260000000000002</v>
      </c>
      <c r="F36" s="3">
        <v>11.4</v>
      </c>
      <c r="G36" s="3"/>
      <c r="H36" s="16">
        <f t="shared" si="0"/>
        <v>579</v>
      </c>
    </row>
    <row r="37" spans="1:8" x14ac:dyDescent="0.35">
      <c r="A37" s="1">
        <v>1282</v>
      </c>
      <c r="B37" s="1" t="s">
        <v>0</v>
      </c>
      <c r="C37" s="2">
        <v>45505</v>
      </c>
      <c r="D37" s="1">
        <v>411</v>
      </c>
      <c r="E37" s="3">
        <v>20.27</v>
      </c>
      <c r="F37" s="3">
        <v>8.1</v>
      </c>
      <c r="G37" s="3"/>
      <c r="H37" s="16">
        <f t="shared" si="0"/>
        <v>990</v>
      </c>
    </row>
    <row r="38" spans="1:8" x14ac:dyDescent="0.35">
      <c r="A38" s="1">
        <v>1285</v>
      </c>
      <c r="B38" s="1" t="s">
        <v>2</v>
      </c>
      <c r="C38" s="2">
        <v>45523</v>
      </c>
      <c r="D38" s="1">
        <v>990</v>
      </c>
      <c r="E38" s="3">
        <v>20.56</v>
      </c>
      <c r="F38" s="3">
        <v>9.89</v>
      </c>
      <c r="G38" s="3"/>
      <c r="H38" s="16">
        <f>H37-D38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2024-09-02T06:31:49Z</dcterms:created>
  <dcterms:modified xsi:type="dcterms:W3CDTF">2024-09-15T16:36:41Z</dcterms:modified>
</cp:coreProperties>
</file>