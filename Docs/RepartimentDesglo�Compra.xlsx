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25725"/>
</workbook>
</file>

<file path=xl/calcChain.xml><?xml version="1.0" encoding="utf-8"?>
<calcChain xmlns="http://schemas.openxmlformats.org/spreadsheetml/2006/main">
  <c r="P20" i="7"/>
  <c r="P19"/>
  <c r="P18"/>
  <c r="O19"/>
  <c r="O18"/>
  <c r="N11"/>
  <c r="O13"/>
  <c r="P13" s="1"/>
  <c r="O12"/>
  <c r="P12" s="1"/>
  <c r="N3"/>
  <c r="L198" i="5"/>
  <c r="K198"/>
  <c r="J23" i="6"/>
  <c r="I23"/>
  <c r="H23"/>
  <c r="F27"/>
  <c r="F28"/>
  <c r="F26"/>
  <c r="F25"/>
  <c r="F23"/>
  <c r="E23"/>
  <c r="E24"/>
  <c r="E25"/>
  <c r="E26"/>
  <c r="E27"/>
  <c r="E28"/>
  <c r="E22"/>
  <c r="C18"/>
  <c r="B18"/>
  <c r="C17"/>
  <c r="B17"/>
  <c r="R195" i="5"/>
  <c r="Q195"/>
  <c r="P195"/>
  <c r="O195"/>
  <c r="R194"/>
  <c r="Q194"/>
  <c r="P194"/>
  <c r="O194"/>
  <c r="R193"/>
  <c r="Q193"/>
  <c r="P193"/>
  <c r="O193"/>
  <c r="R192"/>
  <c r="Q192"/>
  <c r="P192"/>
  <c r="O192"/>
  <c r="R191"/>
  <c r="Q191"/>
  <c r="P191"/>
  <c r="O191"/>
  <c r="R190"/>
  <c r="Q190"/>
  <c r="P190"/>
  <c r="O190"/>
  <c r="R189"/>
  <c r="Q189"/>
  <c r="P189"/>
  <c r="O189"/>
  <c r="R188"/>
  <c r="Q188"/>
  <c r="P188"/>
  <c r="O188"/>
  <c r="R187"/>
  <c r="Q187"/>
  <c r="P187"/>
  <c r="O187"/>
  <c r="R186"/>
  <c r="Q186"/>
  <c r="P186"/>
  <c r="O186"/>
  <c r="R185"/>
  <c r="Q185"/>
  <c r="P185"/>
  <c r="O185"/>
  <c r="R184"/>
  <c r="Q184"/>
  <c r="P184"/>
  <c r="O184"/>
  <c r="R183"/>
  <c r="Q183"/>
  <c r="P183"/>
  <c r="O183"/>
  <c r="R182"/>
  <c r="Q182"/>
  <c r="P182"/>
  <c r="O182"/>
  <c r="R181"/>
  <c r="Q181"/>
  <c r="P181"/>
  <c r="O181"/>
  <c r="R180"/>
  <c r="Q180"/>
  <c r="P180"/>
  <c r="O180"/>
  <c r="R179"/>
  <c r="Q179"/>
  <c r="P179"/>
  <c r="O179"/>
  <c r="R178"/>
  <c r="Q178"/>
  <c r="P178"/>
  <c r="O178"/>
  <c r="R177"/>
  <c r="Q177"/>
  <c r="P177"/>
  <c r="O177"/>
  <c r="R176"/>
  <c r="Q176"/>
  <c r="P176"/>
  <c r="O176"/>
  <c r="R175"/>
  <c r="Q175"/>
  <c r="P175"/>
  <c r="O175"/>
  <c r="R174"/>
  <c r="Q174"/>
  <c r="P174"/>
  <c r="O174"/>
  <c r="R173"/>
  <c r="Q173"/>
  <c r="P173"/>
  <c r="O173"/>
  <c r="R172"/>
  <c r="Q172"/>
  <c r="P172"/>
  <c r="O172"/>
  <c r="R171"/>
  <c r="Q171"/>
  <c r="P171"/>
  <c r="O171"/>
  <c r="R170"/>
  <c r="Q170"/>
  <c r="P170"/>
  <c r="O170"/>
  <c r="R169"/>
  <c r="Q169"/>
  <c r="P169"/>
  <c r="O169"/>
  <c r="R168"/>
  <c r="Q168"/>
  <c r="P168"/>
  <c r="O168"/>
  <c r="R167"/>
  <c r="Q167"/>
  <c r="P167"/>
  <c r="O167"/>
  <c r="R166"/>
  <c r="Q166"/>
  <c r="P166"/>
  <c r="O166"/>
  <c r="R165"/>
  <c r="Q165"/>
  <c r="P165"/>
  <c r="O165"/>
  <c r="R164"/>
  <c r="Q164"/>
  <c r="P164"/>
  <c r="O164"/>
  <c r="R163"/>
  <c r="Q163"/>
  <c r="P163"/>
  <c r="O163"/>
  <c r="R162"/>
  <c r="Q162"/>
  <c r="P162"/>
  <c r="O162"/>
  <c r="R161"/>
  <c r="Q161"/>
  <c r="P161"/>
  <c r="O161"/>
  <c r="R160"/>
  <c r="Q160"/>
  <c r="P160"/>
  <c r="O160"/>
  <c r="R159"/>
  <c r="Q159"/>
  <c r="P159"/>
  <c r="O159"/>
  <c r="R158"/>
  <c r="Q158"/>
  <c r="P158"/>
  <c r="O158"/>
  <c r="R157"/>
  <c r="Q157"/>
  <c r="P157"/>
  <c r="O157"/>
  <c r="R156"/>
  <c r="Q156"/>
  <c r="P156"/>
  <c r="O156"/>
  <c r="R155"/>
  <c r="Q155"/>
  <c r="P155"/>
  <c r="O155"/>
  <c r="R154"/>
  <c r="Q154"/>
  <c r="P154"/>
  <c r="O154"/>
  <c r="R153"/>
  <c r="Q153"/>
  <c r="P153"/>
  <c r="O153"/>
  <c r="R152"/>
  <c r="Q152"/>
  <c r="P152"/>
  <c r="O152"/>
  <c r="R151"/>
  <c r="Q151"/>
  <c r="P151"/>
  <c r="O151"/>
  <c r="R150"/>
  <c r="Q150"/>
  <c r="P150"/>
  <c r="O150"/>
  <c r="R149"/>
  <c r="Q149"/>
  <c r="P149"/>
  <c r="O149"/>
  <c r="R148"/>
  <c r="Q148"/>
  <c r="P148"/>
  <c r="O148"/>
  <c r="R147"/>
  <c r="Q147"/>
  <c r="P147"/>
  <c r="O147"/>
  <c r="R146"/>
  <c r="Q146"/>
  <c r="P146"/>
  <c r="O146"/>
  <c r="R145"/>
  <c r="Q145"/>
  <c r="P145"/>
  <c r="O145"/>
  <c r="R144"/>
  <c r="Q144"/>
  <c r="P144"/>
  <c r="O144"/>
  <c r="R143"/>
  <c r="Q143"/>
  <c r="P143"/>
  <c r="O143"/>
  <c r="R142"/>
  <c r="Q142"/>
  <c r="P142"/>
  <c r="O142"/>
  <c r="R141"/>
  <c r="Q141"/>
  <c r="P141"/>
  <c r="O141"/>
  <c r="R140"/>
  <c r="Q140"/>
  <c r="P140"/>
  <c r="O140"/>
  <c r="R139"/>
  <c r="Q139"/>
  <c r="P139"/>
  <c r="O139"/>
  <c r="R138"/>
  <c r="Q138"/>
  <c r="P138"/>
  <c r="O138"/>
  <c r="R137"/>
  <c r="Q137"/>
  <c r="P137"/>
  <c r="O137"/>
  <c r="R136"/>
  <c r="Q136"/>
  <c r="P136"/>
  <c r="O136"/>
  <c r="R135"/>
  <c r="Q135"/>
  <c r="P135"/>
  <c r="O135"/>
  <c r="R134"/>
  <c r="Q134"/>
  <c r="P134"/>
  <c r="O134"/>
  <c r="R133"/>
  <c r="Q133"/>
  <c r="P133"/>
  <c r="O133"/>
  <c r="R132"/>
  <c r="Q132"/>
  <c r="P132"/>
  <c r="O132"/>
  <c r="R131"/>
  <c r="Q131"/>
  <c r="P131"/>
  <c r="O131"/>
  <c r="R130"/>
  <c r="Q130"/>
  <c r="P130"/>
  <c r="O130"/>
  <c r="R129"/>
  <c r="Q129"/>
  <c r="P129"/>
  <c r="O129"/>
  <c r="R128"/>
  <c r="Q128"/>
  <c r="P128"/>
  <c r="O128"/>
  <c r="R127"/>
  <c r="Q127"/>
  <c r="P127"/>
  <c r="O127"/>
  <c r="R126"/>
  <c r="Q126"/>
  <c r="P126"/>
  <c r="O126"/>
  <c r="R125"/>
  <c r="Q125"/>
  <c r="P125"/>
  <c r="O125"/>
  <c r="R124"/>
  <c r="Q124"/>
  <c r="P124"/>
  <c r="O124"/>
  <c r="R123"/>
  <c r="Q123"/>
  <c r="P123"/>
  <c r="O123"/>
  <c r="R122"/>
  <c r="Q122"/>
  <c r="P122"/>
  <c r="O122"/>
  <c r="R121"/>
  <c r="Q121"/>
  <c r="P121"/>
  <c r="O121"/>
  <c r="R120"/>
  <c r="Q120"/>
  <c r="P120"/>
  <c r="O120"/>
  <c r="R119"/>
  <c r="Q119"/>
  <c r="P119"/>
  <c r="O119"/>
  <c r="R118"/>
  <c r="Q118"/>
  <c r="P118"/>
  <c r="O118"/>
  <c r="R117"/>
  <c r="Q117"/>
  <c r="P117"/>
  <c r="O117"/>
  <c r="R116"/>
  <c r="Q116"/>
  <c r="P116"/>
  <c r="O116"/>
  <c r="R115"/>
  <c r="Q115"/>
  <c r="P115"/>
  <c r="O115"/>
  <c r="R114"/>
  <c r="Q114"/>
  <c r="P114"/>
  <c r="O114"/>
  <c r="R113"/>
  <c r="Q113"/>
  <c r="P113"/>
  <c r="O113"/>
  <c r="R112"/>
  <c r="Q112"/>
  <c r="P112"/>
  <c r="O112"/>
  <c r="R111"/>
  <c r="Q111"/>
  <c r="P111"/>
  <c r="O111"/>
  <c r="R110"/>
  <c r="Q110"/>
  <c r="P110"/>
  <c r="O110"/>
  <c r="R109"/>
  <c r="Q109"/>
  <c r="P109"/>
  <c r="O109"/>
  <c r="R108"/>
  <c r="Q108"/>
  <c r="P108"/>
  <c r="O108"/>
  <c r="R107"/>
  <c r="Q107"/>
  <c r="P107"/>
  <c r="O107"/>
  <c r="R106"/>
  <c r="Q106"/>
  <c r="P106"/>
  <c r="O106"/>
  <c r="R105"/>
  <c r="Q105"/>
  <c r="P105"/>
  <c r="O105"/>
  <c r="R104"/>
  <c r="Q104"/>
  <c r="P104"/>
  <c r="O104"/>
  <c r="R103"/>
  <c r="Q103"/>
  <c r="P103"/>
  <c r="O103"/>
  <c r="R102"/>
  <c r="Q102"/>
  <c r="P102"/>
  <c r="O102"/>
  <c r="R96"/>
  <c r="Q96"/>
  <c r="P96"/>
  <c r="O96"/>
  <c r="R95"/>
  <c r="Q95"/>
  <c r="P95"/>
  <c r="O95"/>
  <c r="R94"/>
  <c r="Q94"/>
  <c r="P94"/>
  <c r="O94"/>
  <c r="R93"/>
  <c r="Q93"/>
  <c r="P93"/>
  <c r="O93"/>
  <c r="R92"/>
  <c r="Q92"/>
  <c r="P92"/>
  <c r="O92"/>
  <c r="R91"/>
  <c r="Q91"/>
  <c r="P91"/>
  <c r="O91"/>
  <c r="R90"/>
  <c r="Q90"/>
  <c r="P90"/>
  <c r="O90"/>
  <c r="R89"/>
  <c r="Q89"/>
  <c r="P89"/>
  <c r="O89"/>
  <c r="R88"/>
  <c r="Q88"/>
  <c r="P88"/>
  <c r="O88"/>
  <c r="R87"/>
  <c r="Q87"/>
  <c r="P87"/>
  <c r="O87"/>
  <c r="R86"/>
  <c r="Q86"/>
  <c r="P86"/>
  <c r="O86"/>
  <c r="R85"/>
  <c r="Q85"/>
  <c r="P85"/>
  <c r="O85"/>
  <c r="R84"/>
  <c r="Q84"/>
  <c r="P84"/>
  <c r="O84"/>
  <c r="R83"/>
  <c r="Q83"/>
  <c r="P83"/>
  <c r="O83"/>
  <c r="R82"/>
  <c r="Q82"/>
  <c r="P82"/>
  <c r="O82"/>
  <c r="R81"/>
  <c r="Q81"/>
  <c r="P81"/>
  <c r="O81"/>
  <c r="R80"/>
  <c r="Q80"/>
  <c r="P80"/>
  <c r="O80"/>
  <c r="R79"/>
  <c r="Q79"/>
  <c r="P79"/>
  <c r="O79"/>
  <c r="R78"/>
  <c r="Q78"/>
  <c r="P78"/>
  <c r="O78"/>
  <c r="R77"/>
  <c r="Q77"/>
  <c r="P77"/>
  <c r="O77"/>
  <c r="R76"/>
  <c r="Q76"/>
  <c r="P76"/>
  <c r="O76"/>
  <c r="R75"/>
  <c r="Q75"/>
  <c r="P75"/>
  <c r="O75"/>
  <c r="R74"/>
  <c r="Q74"/>
  <c r="P74"/>
  <c r="O74"/>
  <c r="R73"/>
  <c r="Q73"/>
  <c r="P73"/>
  <c r="O73"/>
  <c r="R72"/>
  <c r="Q72"/>
  <c r="P72"/>
  <c r="O72"/>
  <c r="R71"/>
  <c r="Q71"/>
  <c r="P71"/>
  <c r="O71"/>
  <c r="R70"/>
  <c r="Q70"/>
  <c r="P70"/>
  <c r="O70"/>
  <c r="R69"/>
  <c r="Q69"/>
  <c r="P69"/>
  <c r="O69"/>
  <c r="R68"/>
  <c r="Q68"/>
  <c r="P68"/>
  <c r="O68"/>
  <c r="R67"/>
  <c r="Q67"/>
  <c r="P67"/>
  <c r="O67"/>
  <c r="R66"/>
  <c r="Q66"/>
  <c r="P66"/>
  <c r="O66"/>
  <c r="R65"/>
  <c r="Q65"/>
  <c r="P65"/>
  <c r="O65"/>
  <c r="R64"/>
  <c r="Q64"/>
  <c r="P64"/>
  <c r="O64"/>
  <c r="R63"/>
  <c r="Q63"/>
  <c r="P63"/>
  <c r="O63"/>
  <c r="R62"/>
  <c r="Q62"/>
  <c r="P62"/>
  <c r="O62"/>
  <c r="R61"/>
  <c r="Q61"/>
  <c r="P61"/>
  <c r="O61"/>
  <c r="R60"/>
  <c r="Q60"/>
  <c r="P60"/>
  <c r="O60"/>
  <c r="R59"/>
  <c r="Q59"/>
  <c r="P59"/>
  <c r="O59"/>
  <c r="R58"/>
  <c r="Q58"/>
  <c r="P58"/>
  <c r="O58"/>
  <c r="R57"/>
  <c r="Q57"/>
  <c r="P57"/>
  <c r="O57"/>
  <c r="R56"/>
  <c r="Q56"/>
  <c r="P56"/>
  <c r="O56"/>
  <c r="R55"/>
  <c r="Q55"/>
  <c r="P55"/>
  <c r="O55"/>
  <c r="R54"/>
  <c r="Q54"/>
  <c r="P54"/>
  <c r="O54"/>
  <c r="R53"/>
  <c r="Q53"/>
  <c r="P53"/>
  <c r="O53"/>
  <c r="R52"/>
  <c r="Q52"/>
  <c r="P52"/>
  <c r="O52"/>
  <c r="R51"/>
  <c r="Q51"/>
  <c r="P51"/>
  <c r="O51"/>
  <c r="R50"/>
  <c r="Q50"/>
  <c r="P50"/>
  <c r="O50"/>
  <c r="R49"/>
  <c r="Q49"/>
  <c r="P49"/>
  <c r="O49"/>
  <c r="R48"/>
  <c r="Q48"/>
  <c r="P48"/>
  <c r="O48"/>
  <c r="R47"/>
  <c r="Q47"/>
  <c r="P47"/>
  <c r="O47"/>
  <c r="R46"/>
  <c r="Q46"/>
  <c r="P46"/>
  <c r="O46"/>
  <c r="R45"/>
  <c r="Q45"/>
  <c r="P45"/>
  <c r="O45"/>
  <c r="R44"/>
  <c r="Q44"/>
  <c r="P44"/>
  <c r="O44"/>
  <c r="R43"/>
  <c r="Q43"/>
  <c r="P43"/>
  <c r="O43"/>
  <c r="R42"/>
  <c r="Q42"/>
  <c r="P42"/>
  <c r="O42"/>
  <c r="R41"/>
  <c r="Q41"/>
  <c r="P41"/>
  <c r="O41"/>
  <c r="R40"/>
  <c r="Q40"/>
  <c r="P40"/>
  <c r="O40"/>
  <c r="R39"/>
  <c r="Q39"/>
  <c r="P39"/>
  <c r="O39"/>
  <c r="R38"/>
  <c r="Q38"/>
  <c r="P38"/>
  <c r="O38"/>
  <c r="R37"/>
  <c r="Q37"/>
  <c r="P37"/>
  <c r="O37"/>
  <c r="R36"/>
  <c r="Q36"/>
  <c r="P36"/>
  <c r="O36"/>
  <c r="R35"/>
  <c r="Q35"/>
  <c r="P35"/>
  <c r="O35"/>
  <c r="R34"/>
  <c r="Q34"/>
  <c r="P34"/>
  <c r="O34"/>
  <c r="R33"/>
  <c r="Q33"/>
  <c r="P33"/>
  <c r="O33"/>
  <c r="R32"/>
  <c r="Q32"/>
  <c r="P32"/>
  <c r="O32"/>
  <c r="R31"/>
  <c r="Q31"/>
  <c r="P31"/>
  <c r="O31"/>
  <c r="R30"/>
  <c r="Q30"/>
  <c r="P30"/>
  <c r="O30"/>
  <c r="R29"/>
  <c r="Q29"/>
  <c r="P29"/>
  <c r="O29"/>
  <c r="R28"/>
  <c r="Q28"/>
  <c r="P28"/>
  <c r="O28"/>
  <c r="R27"/>
  <c r="Q27"/>
  <c r="P27"/>
  <c r="O27"/>
  <c r="R26"/>
  <c r="Q26"/>
  <c r="P26"/>
  <c r="O26"/>
  <c r="R25"/>
  <c r="Q25"/>
  <c r="P25"/>
  <c r="O25"/>
  <c r="R24"/>
  <c r="Q24"/>
  <c r="P24"/>
  <c r="O24"/>
  <c r="R23"/>
  <c r="Q23"/>
  <c r="P23"/>
  <c r="O23"/>
  <c r="R22"/>
  <c r="Q22"/>
  <c r="P22"/>
  <c r="O22"/>
  <c r="R21"/>
  <c r="Q21"/>
  <c r="P21"/>
  <c r="O21"/>
  <c r="R20"/>
  <c r="Q20"/>
  <c r="P20"/>
  <c r="O20"/>
  <c r="R19"/>
  <c r="Q19"/>
  <c r="P19"/>
  <c r="O19"/>
  <c r="R18"/>
  <c r="Q18"/>
  <c r="P18"/>
  <c r="O18"/>
  <c r="R17"/>
  <c r="Q17"/>
  <c r="P17"/>
  <c r="O17"/>
  <c r="R16"/>
  <c r="Q16"/>
  <c r="P16"/>
  <c r="O16"/>
  <c r="R15"/>
  <c r="Q15"/>
  <c r="P15"/>
  <c r="O15"/>
  <c r="R14"/>
  <c r="Q14"/>
  <c r="P14"/>
  <c r="O14"/>
  <c r="R13"/>
  <c r="Q13"/>
  <c r="P13"/>
  <c r="O13"/>
  <c r="R12"/>
  <c r="Q12"/>
  <c r="P12"/>
  <c r="O12"/>
  <c r="R11"/>
  <c r="Q11"/>
  <c r="P11"/>
  <c r="O11"/>
  <c r="R10"/>
  <c r="Q10"/>
  <c r="P10"/>
  <c r="O10"/>
  <c r="R9"/>
  <c r="Q9"/>
  <c r="P9"/>
  <c r="O9"/>
  <c r="R8"/>
  <c r="Q8"/>
  <c r="P8"/>
  <c r="O8"/>
  <c r="R7"/>
  <c r="Q7"/>
  <c r="P7"/>
  <c r="O7"/>
  <c r="R6"/>
  <c r="Q6"/>
  <c r="P6"/>
  <c r="O6"/>
  <c r="R5"/>
  <c r="Q5"/>
  <c r="P5"/>
  <c r="O5"/>
  <c r="R4"/>
  <c r="Q4"/>
  <c r="P4"/>
  <c r="O4"/>
  <c r="R3"/>
  <c r="Q3"/>
  <c r="P3"/>
  <c r="O3"/>
  <c r="R2"/>
  <c r="Q2"/>
  <c r="P2"/>
  <c r="O2"/>
  <c r="P101"/>
  <c r="Q101"/>
  <c r="R101"/>
  <c r="O101"/>
  <c r="E197"/>
  <c r="D197"/>
  <c r="L98"/>
  <c r="K98"/>
  <c r="E98"/>
  <c r="D98"/>
  <c r="L197"/>
  <c r="K197"/>
  <c r="G49" i="4"/>
  <c r="F49"/>
  <c r="G48"/>
  <c r="F48"/>
  <c r="G47"/>
  <c r="F47"/>
  <c r="F43"/>
  <c r="F44"/>
  <c r="F45"/>
  <c r="G45"/>
  <c r="G44"/>
  <c r="G43"/>
  <c r="F39"/>
  <c r="F40"/>
  <c r="F41"/>
  <c r="F33"/>
  <c r="F37"/>
  <c r="F26"/>
  <c r="F19"/>
  <c r="F9"/>
  <c r="F27" s="1"/>
  <c r="H19" i="3"/>
  <c r="H18"/>
  <c r="H17"/>
  <c r="F3"/>
  <c r="F8"/>
  <c r="G12"/>
  <c r="I12"/>
  <c r="H12"/>
  <c r="F4" s="1"/>
  <c r="K4" i="2"/>
  <c r="L15"/>
  <c r="L13"/>
  <c r="I17"/>
  <c r="F17"/>
  <c r="F16"/>
  <c r="F33"/>
  <c r="F32"/>
  <c r="F31"/>
  <c r="F30"/>
  <c r="H3"/>
  <c r="H4" s="1"/>
  <c r="H5" s="1"/>
  <c r="H6" s="1"/>
  <c r="K9"/>
  <c r="H17"/>
  <c r="F15"/>
  <c r="F14"/>
  <c r="F13"/>
  <c r="F11"/>
  <c r="F20"/>
  <c r="F21" s="1"/>
  <c r="F22" s="1"/>
  <c r="F23" s="1"/>
  <c r="F24" s="1"/>
  <c r="F25" s="1"/>
  <c r="F3"/>
  <c r="F4" s="1"/>
  <c r="F5" s="1"/>
  <c r="F6" s="1"/>
  <c r="R21" i="1"/>
  <c r="R20"/>
  <c r="R19"/>
  <c r="N19"/>
  <c r="N20" s="1"/>
  <c r="Q22"/>
  <c r="P21"/>
  <c r="O20"/>
  <c r="O21" s="1"/>
  <c r="L21"/>
  <c r="I20"/>
  <c r="H20"/>
  <c r="L20" s="1"/>
  <c r="H19"/>
  <c r="E24"/>
  <c r="N9"/>
  <c r="O9"/>
  <c r="P9"/>
  <c r="Q9"/>
  <c r="R9"/>
  <c r="M9"/>
  <c r="R12" s="1"/>
  <c r="B6"/>
  <c r="P15" i="7" l="1"/>
  <c r="N4"/>
  <c r="N5" s="1"/>
  <c r="N6" s="1"/>
  <c r="N7" s="1"/>
  <c r="N12"/>
  <c r="N13" s="1"/>
  <c r="Q197" i="5"/>
  <c r="R197"/>
  <c r="L99"/>
  <c r="K99"/>
  <c r="G17" i="3"/>
  <c r="G19"/>
  <c r="G18"/>
  <c r="K12"/>
  <c r="H20"/>
  <c r="H21" i="1"/>
  <c r="I21" s="1"/>
  <c r="L19"/>
  <c r="L22" s="1"/>
  <c r="N12"/>
  <c r="K19"/>
  <c r="K20" s="1"/>
  <c r="I19"/>
  <c r="F26" i="2"/>
  <c r="F27" s="1"/>
  <c r="F28" s="1"/>
  <c r="O12" i="1"/>
  <c r="P12"/>
  <c r="Q12"/>
  <c r="F15" i="3" l="1"/>
  <c r="G20" s="1"/>
</calcChain>
</file>

<file path=xl/sharedStrings.xml><?xml version="1.0" encoding="utf-8"?>
<sst xmlns="http://schemas.openxmlformats.org/spreadsheetml/2006/main" count="632" uniqueCount="378">
  <si>
    <t>c1</t>
  </si>
  <si>
    <t>c2</t>
  </si>
  <si>
    <t>c3</t>
  </si>
  <si>
    <t>V1</t>
  </si>
  <si>
    <t>dc1</t>
  </si>
  <si>
    <t>dc2</t>
  </si>
  <si>
    <t>dc3</t>
  </si>
  <si>
    <t>vAnt</t>
  </si>
  <si>
    <t>Parts</t>
  </si>
  <si>
    <t>Parts Util</t>
  </si>
  <si>
    <t>Només una compra, utilitzo part de les participacions del primer desgloç i part de les del ultim</t>
  </si>
  <si>
    <t>-----&gt;</t>
  </si>
  <si>
    <t>Parts Util Abans</t>
  </si>
  <si>
    <t>Parts queden en cartera</t>
  </si>
  <si>
    <t>16-DWS Aktien Strategie Deutschland</t>
  </si>
  <si>
    <t>Id</t>
  </si>
  <si>
    <t>Mov Compra Id</t>
  </si>
  <si>
    <t>Mov Compra Id Orig</t>
  </si>
  <si>
    <t>Parts Orig</t>
  </si>
  <si>
    <t>Compra</t>
  </si>
  <si>
    <t>Venda</t>
  </si>
  <si>
    <t>Cartera</t>
  </si>
  <si>
    <t>Utilit en venda 172</t>
  </si>
  <si>
    <t>Traspàs C</t>
  </si>
  <si>
    <t>Traspàs V</t>
  </si>
  <si>
    <t>5-Deutschland</t>
  </si>
  <si>
    <t>Id compra</t>
  </si>
  <si>
    <t>Id comp Orig</t>
  </si>
  <si>
    <t>c</t>
  </si>
  <si>
    <t>v</t>
  </si>
  <si>
    <t>3-Asian Smaller Companies Fund</t>
  </si>
  <si>
    <t>double</t>
  </si>
  <si>
    <t>DesgloçCompra Id=20 Set Parts=137,0773</t>
  </si>
  <si>
    <t>La suma de participacions de totes les compres reals a de ser igual a la suma de les parts originals en cartera més la suma de les vendes reals.</t>
  </si>
  <si>
    <t>Traspas V</t>
  </si>
  <si>
    <t>Traspas C</t>
  </si>
  <si>
    <t>cAnt</t>
  </si>
  <si>
    <t>Parts disp</t>
  </si>
  <si>
    <t>Id orig</t>
  </si>
  <si>
    <t>A</t>
  </si>
  <si>
    <t>B</t>
  </si>
  <si>
    <t>C</t>
  </si>
  <si>
    <t>D</t>
  </si>
  <si>
    <t>E</t>
  </si>
  <si>
    <t>0x000000000064BD14</t>
  </si>
  <si>
    <t>NULL</t>
  </si>
  <si>
    <t>0x000000000064BD13</t>
  </si>
  <si>
    <t>0x000000000064BD12</t>
  </si>
  <si>
    <t>0x000000000064CCB4</t>
  </si>
  <si>
    <t>0x000000000064CCB3</t>
  </si>
  <si>
    <t>0x000000000064CCB2</t>
  </si>
  <si>
    <t>Parts orig</t>
  </si>
  <si>
    <t>Vell</t>
  </si>
  <si>
    <t>Nou</t>
  </si>
  <si>
    <t>Prod</t>
  </si>
  <si>
    <t>Mov</t>
  </si>
  <si>
    <t>IdVenda</t>
  </si>
  <si>
    <t>Data</t>
  </si>
  <si>
    <t>PU Orig</t>
  </si>
  <si>
    <t>PU</t>
  </si>
  <si>
    <t>Traspàs a: DWS AKTIEN STRAT DEUTSCHLAND.</t>
  </si>
  <si>
    <t>0x00000000003A80B5</t>
  </si>
  <si>
    <t>0x00000000004BA731</t>
  </si>
  <si>
    <t>0x00000000004BA732</t>
  </si>
  <si>
    <t>IdCompra</t>
  </si>
  <si>
    <t>Id Orig</t>
  </si>
  <si>
    <t>0x000000000064EBF7</t>
  </si>
  <si>
    <t>0x000000000064EBF6</t>
  </si>
  <si>
    <t>0x000000000064EBFD</t>
  </si>
  <si>
    <t>0x000000000064EBFC</t>
  </si>
  <si>
    <t>0x0000000000483C3D</t>
  </si>
  <si>
    <t>0x0000000000483C3E</t>
  </si>
  <si>
    <t>0x0000000000483C3F</t>
  </si>
  <si>
    <t>0x0000000000483C40</t>
  </si>
  <si>
    <t>0x0000000000483C41</t>
  </si>
  <si>
    <t>0x0000000000483C42</t>
  </si>
  <si>
    <t>0x0000000000483C43</t>
  </si>
  <si>
    <t>0x0000000000483C44</t>
  </si>
  <si>
    <t>0x0000000000483C45</t>
  </si>
  <si>
    <t>0x0000000000483C46</t>
  </si>
  <si>
    <t>0x0000000000483C47</t>
  </si>
  <si>
    <t>0x0000000000483C48</t>
  </si>
  <si>
    <t>0x0000000000483C49</t>
  </si>
  <si>
    <t>0x0000000000483C4A</t>
  </si>
  <si>
    <t>0x0000000000483C4B</t>
  </si>
  <si>
    <t>0x0000000000483C4C</t>
  </si>
  <si>
    <t>0x0000000000483C4D</t>
  </si>
  <si>
    <t>0x0000000000483C4E</t>
  </si>
  <si>
    <t>0x0000000000483C4F</t>
  </si>
  <si>
    <t>0x0000000000483C50</t>
  </si>
  <si>
    <t>0x0000000000483C51</t>
  </si>
  <si>
    <t>0x0000000000483C52</t>
  </si>
  <si>
    <t>0x0000000000483C53</t>
  </si>
  <si>
    <t>0x0000000000648E31</t>
  </si>
  <si>
    <t>0x0000000000483C55</t>
  </si>
  <si>
    <t>0x0000000000483C56</t>
  </si>
  <si>
    <t>0x0000000000483C57</t>
  </si>
  <si>
    <t>0x0000000000483C58</t>
  </si>
  <si>
    <t>0x0000000000483C59</t>
  </si>
  <si>
    <t>0x0000000000483C5A</t>
  </si>
  <si>
    <t>0x0000000000483C5B</t>
  </si>
  <si>
    <t>0x0000000000483C5C</t>
  </si>
  <si>
    <t>0x0000000000483C5D</t>
  </si>
  <si>
    <t>0x0000000000483C5E</t>
  </si>
  <si>
    <t>0x0000000000483C5F</t>
  </si>
  <si>
    <t>0x0000000000483C60</t>
  </si>
  <si>
    <t>0x0000000000483C61</t>
  </si>
  <si>
    <t>0x0000000000649DD1</t>
  </si>
  <si>
    <t>0x0000000000483C63</t>
  </si>
  <si>
    <t>0x0000000000483C64</t>
  </si>
  <si>
    <t>0x0000000000483C65</t>
  </si>
  <si>
    <t>0x0000000000483C66</t>
  </si>
  <si>
    <t>0x0000000000483C67</t>
  </si>
  <si>
    <t>0x0000000000483C68</t>
  </si>
  <si>
    <t>0x0000000000483C69</t>
  </si>
  <si>
    <t>0x0000000000483C6A</t>
  </si>
  <si>
    <t>0x0000000000483C6B</t>
  </si>
  <si>
    <t>0x0000000000483C6C</t>
  </si>
  <si>
    <t>0x0000000000483C6D</t>
  </si>
  <si>
    <t>0x0000000000483C6E</t>
  </si>
  <si>
    <t>0x0000000000483C6F</t>
  </si>
  <si>
    <t>0x0000000000483C70</t>
  </si>
  <si>
    <t>0x0000000000483C71</t>
  </si>
  <si>
    <t>0x0000000000483C72</t>
  </si>
  <si>
    <t>0x0000000000483C73</t>
  </si>
  <si>
    <t>0x0000000000483C74</t>
  </si>
  <si>
    <t>0x0000000000483C75</t>
  </si>
  <si>
    <t>0x0000000000483C76</t>
  </si>
  <si>
    <t>0x0000000000483C77</t>
  </si>
  <si>
    <t>0x0000000000483C78</t>
  </si>
  <si>
    <t>0x0000000000483C79</t>
  </si>
  <si>
    <t>0x0000000000483C7A</t>
  </si>
  <si>
    <t>0x0000000000483C7B</t>
  </si>
  <si>
    <t>0x0000000000483C7C</t>
  </si>
  <si>
    <t>0x0000000000483C7D</t>
  </si>
  <si>
    <t>0x0000000000483C7E</t>
  </si>
  <si>
    <t>0x0000000000483C7F</t>
  </si>
  <si>
    <t>0x0000000000483C80</t>
  </si>
  <si>
    <t>0x0000000000483C81</t>
  </si>
  <si>
    <t>0x0000000000483C82</t>
  </si>
  <si>
    <t>0x0000000000483C83</t>
  </si>
  <si>
    <t>0x0000000000483C84</t>
  </si>
  <si>
    <t>0x0000000000483C85</t>
  </si>
  <si>
    <t>0x00000000004E3774</t>
  </si>
  <si>
    <t>0x0000000000483C87</t>
  </si>
  <si>
    <t>0x0000000000483C88</t>
  </si>
  <si>
    <t>0x0000000000483C89</t>
  </si>
  <si>
    <t>0x0000000000483C8B</t>
  </si>
  <si>
    <t>0x0000000000483C8C</t>
  </si>
  <si>
    <t>0x0000000000483C8D</t>
  </si>
  <si>
    <t>0x0000000000483C8E</t>
  </si>
  <si>
    <t>0x0000000000483C8F</t>
  </si>
  <si>
    <t>0x0000000000483C90</t>
  </si>
  <si>
    <t>0x0000000000483C91</t>
  </si>
  <si>
    <t>0x00000000004AEBB4</t>
  </si>
  <si>
    <t>0x00000000004AEBB5</t>
  </si>
  <si>
    <t>0x00000000004C9193</t>
  </si>
  <si>
    <t>0x00000000005309D3</t>
  </si>
  <si>
    <t>0x000000000056B353</t>
  </si>
  <si>
    <t>0x00000000005AE973</t>
  </si>
  <si>
    <t>0x00000000005AE976</t>
  </si>
  <si>
    <t>0x00000000005AE979</t>
  </si>
  <si>
    <t>Mov Id</t>
  </si>
  <si>
    <t>Mov Id Orig</t>
  </si>
  <si>
    <t>0x00000000004B87F6</t>
  </si>
  <si>
    <t>0x00000000004B87F7</t>
  </si>
  <si>
    <t>0x00000000004B87F8</t>
  </si>
  <si>
    <t>0x000000000064AD76</t>
  </si>
  <si>
    <t>0x000000000064AD77</t>
  </si>
  <si>
    <t>0x000000000064AD78</t>
  </si>
  <si>
    <t>0x000000000064AD79</t>
  </si>
  <si>
    <t>0x000000000064AD7A</t>
  </si>
  <si>
    <t>0x000000000064AD7B</t>
  </si>
  <si>
    <t>0x000000000064AD7C</t>
  </si>
  <si>
    <t>0x000000000064AD7D</t>
  </si>
  <si>
    <t>0x000000000064AD7E</t>
  </si>
  <si>
    <t>0x000000000064AD7F</t>
  </si>
  <si>
    <t>0x000000000064AD80</t>
  </si>
  <si>
    <t>0x000000000064AD81</t>
  </si>
  <si>
    <t>0x000000000064AD82</t>
  </si>
  <si>
    <t>0x000000000064AD83</t>
  </si>
  <si>
    <t>0x000000000064AD84</t>
  </si>
  <si>
    <t>0x000000000064AD85</t>
  </si>
  <si>
    <t>0x000000000064AD86</t>
  </si>
  <si>
    <t>0x000000000064AD87</t>
  </si>
  <si>
    <t>0x000000000064AD88</t>
  </si>
  <si>
    <t>0x000000000064AD89</t>
  </si>
  <si>
    <t>0x000000000064AD8A</t>
  </si>
  <si>
    <t>0x000000000064AD8B</t>
  </si>
  <si>
    <t>0x000000000064AD8C</t>
  </si>
  <si>
    <t>0x000000000064AD8D</t>
  </si>
  <si>
    <t>0x000000000064AD8E</t>
  </si>
  <si>
    <t>0x000000000064AD8F</t>
  </si>
  <si>
    <t>0x000000000064AD90</t>
  </si>
  <si>
    <t>0x000000000064AD91</t>
  </si>
  <si>
    <t>0x000000000064AD92</t>
  </si>
  <si>
    <t>0x000000000064AD93</t>
  </si>
  <si>
    <t>0x000000000064AD94</t>
  </si>
  <si>
    <t>0x000000000064AD95</t>
  </si>
  <si>
    <t>0x000000000064AD96</t>
  </si>
  <si>
    <t>0x000000000064AD97</t>
  </si>
  <si>
    <t>0x000000000064AD98</t>
  </si>
  <si>
    <t>0x000000000064AD99</t>
  </si>
  <si>
    <t>0x000000000064AD9A</t>
  </si>
  <si>
    <t>0x000000000064AD9B</t>
  </si>
  <si>
    <t>0x000000000064AD9C</t>
  </si>
  <si>
    <t>0x000000000064AD9D</t>
  </si>
  <si>
    <t>0x000000000064AD9E</t>
  </si>
  <si>
    <t>0x000000000064AD9F</t>
  </si>
  <si>
    <t>0x000000000064ADA0</t>
  </si>
  <si>
    <t>0x000000000064ADA1</t>
  </si>
  <si>
    <t>0x000000000064ADA2</t>
  </si>
  <si>
    <t>0x000000000064ADA3</t>
  </si>
  <si>
    <t>0x000000000064ADA4</t>
  </si>
  <si>
    <t>0x000000000064ADA5</t>
  </si>
  <si>
    <t>0x000000000064ADA6</t>
  </si>
  <si>
    <t>0x000000000064ADA7</t>
  </si>
  <si>
    <t>0x000000000064ADA8</t>
  </si>
  <si>
    <t>0x000000000064ADA9</t>
  </si>
  <si>
    <t>0x000000000064ADAA</t>
  </si>
  <si>
    <t>0x000000000064ADAB</t>
  </si>
  <si>
    <t>0x000000000064ADAC</t>
  </si>
  <si>
    <t>0x000000000064ADAD</t>
  </si>
  <si>
    <t>0x000000000064ADAE</t>
  </si>
  <si>
    <t>0x000000000064ADAF</t>
  </si>
  <si>
    <t>0x000000000064ADB0</t>
  </si>
  <si>
    <t>0x000000000064ADB1</t>
  </si>
  <si>
    <t>0x000000000064ADB2</t>
  </si>
  <si>
    <t>0x000000000064ADB3</t>
  </si>
  <si>
    <t>0x000000000064ADB4</t>
  </si>
  <si>
    <t>0x000000000064ADB5</t>
  </si>
  <si>
    <t>0x000000000064ADB6</t>
  </si>
  <si>
    <t>0x000000000064ADB7</t>
  </si>
  <si>
    <t>0x000000000064ADB8</t>
  </si>
  <si>
    <t>0x000000000064ADB9</t>
  </si>
  <si>
    <t>0x000000000064ADBA</t>
  </si>
  <si>
    <t>0x000000000064ADBB</t>
  </si>
  <si>
    <t>0x000000000064ADBC</t>
  </si>
  <si>
    <t>0x000000000064ADBD</t>
  </si>
  <si>
    <t>0x000000000064ADBE</t>
  </si>
  <si>
    <t>0x000000000064ADBF</t>
  </si>
  <si>
    <t>0x000000000064ADC0</t>
  </si>
  <si>
    <t>0x000000000064ADC1</t>
  </si>
  <si>
    <t>0x000000000064ADC2</t>
  </si>
  <si>
    <t>0x000000000064ADC3</t>
  </si>
  <si>
    <t>0x000000000064ADC4</t>
  </si>
  <si>
    <t>0x000000000064ADC5</t>
  </si>
  <si>
    <t>0x000000000064ADC6</t>
  </si>
  <si>
    <t>0x000000000064ADC7</t>
  </si>
  <si>
    <t>0x000000000064ADC8</t>
  </si>
  <si>
    <t>0x000000000064ADC9</t>
  </si>
  <si>
    <t>0x000000000064ADCA</t>
  </si>
  <si>
    <t>0x000000000064ADCB</t>
  </si>
  <si>
    <t>0x000000000064ADCC</t>
  </si>
  <si>
    <t>0x000000000064ADCD</t>
  </si>
  <si>
    <t>0x000000000064ADCE</t>
  </si>
  <si>
    <t>0x000000000064ADCF</t>
  </si>
  <si>
    <t>0x000000000064ADD0</t>
  </si>
  <si>
    <t>0x000000000064ADD1</t>
  </si>
  <si>
    <t>0x000000000064ADD2</t>
  </si>
  <si>
    <t>0x000000000064ADD3</t>
  </si>
  <si>
    <t>0x000000000064ADD4</t>
  </si>
  <si>
    <t>0x000000000064ADD5</t>
  </si>
  <si>
    <t>0x000000000064ADD6</t>
  </si>
  <si>
    <t>0x000000000064ADD7</t>
  </si>
  <si>
    <t>0x000000000064ADD8</t>
  </si>
  <si>
    <t>0x000000000064ADD9</t>
  </si>
  <si>
    <t>0x000000000064ADDA</t>
  </si>
  <si>
    <t>0x000000000064ADDB</t>
  </si>
  <si>
    <t>0x000000000064ADDC</t>
  </si>
  <si>
    <t>0x000000000064ADDD</t>
  </si>
  <si>
    <t>0x000000000064ADDE</t>
  </si>
  <si>
    <t>0x000000000064ADDF</t>
  </si>
  <si>
    <t>0x000000000064ADE0</t>
  </si>
  <si>
    <t>0x000000000064ADE1</t>
  </si>
  <si>
    <t>0x000000000064ADE2</t>
  </si>
  <si>
    <t>0x000000000064ADE3</t>
  </si>
  <si>
    <t>0x000000000064ADE4</t>
  </si>
  <si>
    <t>0x000000000064ADE5</t>
  </si>
  <si>
    <t>0x000000000064ADE6</t>
  </si>
  <si>
    <t>0x000000000064ADE7</t>
  </si>
  <si>
    <t>0x000000000064ADE8</t>
  </si>
  <si>
    <t>0x000000000064ADE9</t>
  </si>
  <si>
    <t>0x000000000064ADEA</t>
  </si>
  <si>
    <t>0x000000000064ADEB</t>
  </si>
  <si>
    <t>0x000000000064ADEC</t>
  </si>
  <si>
    <t>0x000000000064ADED</t>
  </si>
  <si>
    <t>0x000000000064ADEE</t>
  </si>
  <si>
    <t>0x000000000064ADEF</t>
  </si>
  <si>
    <t>0x000000000064ADF0</t>
  </si>
  <si>
    <t>0x000000000064ADF1</t>
  </si>
  <si>
    <t>0x000000000064ADF2</t>
  </si>
  <si>
    <t>0x000000000064ADF3</t>
  </si>
  <si>
    <t>0x000000000064ADF4</t>
  </si>
  <si>
    <t>0x000000000064ADF5</t>
  </si>
  <si>
    <t>0x000000000064ADF6</t>
  </si>
  <si>
    <t>0x000000000064ADF7</t>
  </si>
  <si>
    <t>0x000000000064ADF8</t>
  </si>
  <si>
    <t>0x000000000064ADF9</t>
  </si>
  <si>
    <t>0x000000000064ADFA</t>
  </si>
  <si>
    <t>0x000000000064ADFB</t>
  </si>
  <si>
    <t>0x000000000064ADFC</t>
  </si>
  <si>
    <t>0x000000000064ADFD</t>
  </si>
  <si>
    <t>0x000000000064ADFE</t>
  </si>
  <si>
    <t>0x000000000064ADFF</t>
  </si>
  <si>
    <t>0x000000000064AE01</t>
  </si>
  <si>
    <t>0x000000000064AE02</t>
  </si>
  <si>
    <t>0x000000000064AE03</t>
  </si>
  <si>
    <t>0x000000000064AE04</t>
  </si>
  <si>
    <t>0x000000000064AE05</t>
  </si>
  <si>
    <t>0x000000000064AE06</t>
  </si>
  <si>
    <t>0x000000000064AE07</t>
  </si>
  <si>
    <t>0x000000000064AE08</t>
  </si>
  <si>
    <t>0x000000000064AE09</t>
  </si>
  <si>
    <t>0x000000000064AE0A</t>
  </si>
  <si>
    <t>0x000000000064AE0B</t>
  </si>
  <si>
    <t>0x000000000064AE0C</t>
  </si>
  <si>
    <t>0x000000000064AE0D</t>
  </si>
  <si>
    <t>0x000000000064AE0E</t>
  </si>
  <si>
    <t>0x000000000064AE0F</t>
  </si>
  <si>
    <t>0x000000000064AE10</t>
  </si>
  <si>
    <t>0x000000000064AE11</t>
  </si>
  <si>
    <t>0x000000000064AE12</t>
  </si>
  <si>
    <t>0x000000000064AE13</t>
  </si>
  <si>
    <t>0x000000000064AE14</t>
  </si>
  <si>
    <t>0x000000000064AE15</t>
  </si>
  <si>
    <t>0x000000000064AE16</t>
  </si>
  <si>
    <t>0x000000000064AE17</t>
  </si>
  <si>
    <t>0x000000000064AE18</t>
  </si>
  <si>
    <t>0x000000000064AE19</t>
  </si>
  <si>
    <t>0x000000000064AE1A</t>
  </si>
  <si>
    <t>0x000000000064AE1B</t>
  </si>
  <si>
    <t>0x000000000064AE1C</t>
  </si>
  <si>
    <t>0x000000000064AE1D</t>
  </si>
  <si>
    <t>0x000000000064AE1E</t>
  </si>
  <si>
    <t>0x000000000064AE1F</t>
  </si>
  <si>
    <t>0x000000000064AE20</t>
  </si>
  <si>
    <t>0x000000000064AE21</t>
  </si>
  <si>
    <t>0x000000000064AE22</t>
  </si>
  <si>
    <t>0x000000000064AE23</t>
  </si>
  <si>
    <t>0x000000000064AE24</t>
  </si>
  <si>
    <t>0x000000000064AE25</t>
  </si>
  <si>
    <t>0x000000000064AE26</t>
  </si>
  <si>
    <t>0x000000000064AE27</t>
  </si>
  <si>
    <t>0x000000000064AE28</t>
  </si>
  <si>
    <t>0x000000000064AE29</t>
  </si>
  <si>
    <t>0x000000000064AE2A</t>
  </si>
  <si>
    <t>0x000000000064AE2B</t>
  </si>
  <si>
    <t>0x000000000064AE2C</t>
  </si>
  <si>
    <t>0x000000000064AE2D</t>
  </si>
  <si>
    <t>0x000000000064AE2E</t>
  </si>
  <si>
    <t>0x000000000064AE2F</t>
  </si>
  <si>
    <t>MovId=40. MovId=31. MovOrigId=15. PartsMov:39.354. PartsMovOrig:679.64</t>
  </si>
  <si>
    <t>MovId=41. MovId=31. MovOrigId=16. PartsMov:76.9523. PartsMovOrig:547.6451</t>
  </si>
  <si>
    <t>MovId=24. MovId=26. MovOrigId=17. PartsMov:0.347100000000012. PartsMovOrig:2.55901654103204</t>
  </si>
  <si>
    <t>MovId=42. MovId=31. MovOrigId=17. PartsMov:141.6462. PartsMovOrig:1008.0512</t>
  </si>
  <si>
    <t>MovId=43. MovId=31. MovOrigId=27. PartsMov:1.2304. PartsMovOrig:11.1965017084136</t>
  </si>
  <si>
    <t>Id=40. MovId=31. MovOrigId=15</t>
  </si>
  <si>
    <t>Id=41. MovId=31. MovOrigId=16</t>
  </si>
  <si>
    <t>Id=24. MovId=26. MovOrigId=17</t>
  </si>
  <si>
    <t>Id=42. MovId=31. MovOrigId=17</t>
  </si>
  <si>
    <t>Id=43. MovId=31. MovOrigId=27</t>
  </si>
  <si>
    <t>PartsMov</t>
  </si>
  <si>
    <t>PartsMovOrig</t>
  </si>
  <si>
    <t>PartsOrig</t>
  </si>
  <si>
    <t>Id=22. MovId=26. MovOrigId=15</t>
  </si>
  <si>
    <t>Id=23. MovId=26. MovOrigId=16</t>
  </si>
  <si>
    <t>Orig</t>
  </si>
  <si>
    <t>Parts desgl</t>
  </si>
  <si>
    <t>disp</t>
  </si>
  <si>
    <t>orig</t>
  </si>
  <si>
    <t>6-Biotechnology C USD Acc</t>
  </si>
  <si>
    <t>European Growth N Acc ?</t>
  </si>
  <si>
    <t>Asian Smaller Companies Fund</t>
  </si>
  <si>
    <t>Biotechnology C USD Acc</t>
  </si>
  <si>
    <t>Parts V</t>
  </si>
  <si>
    <t>Parts V Orig</t>
  </si>
  <si>
    <t>2-European Growth N Acc ?</t>
  </si>
</sst>
</file>

<file path=xl/styles.xml><?xml version="1.0" encoding="utf-8"?>
<styleSheet xmlns="http://schemas.openxmlformats.org/spreadsheetml/2006/main">
  <numFmts count="4">
    <numFmt numFmtId="8" formatCode="#,##0.00\ &quot;€&quot;;[Red]\-#,##0.00\ &quot;€&quot;"/>
    <numFmt numFmtId="164" formatCode="0.0000"/>
    <numFmt numFmtId="165" formatCode="#,##0.000"/>
    <numFmt numFmtId="166" formatCode="0.000"/>
  </numFmts>
  <fonts count="7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theme="7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5" borderId="0" applyNumberFormat="0" applyBorder="0" applyAlignment="0" applyProtection="0"/>
    <xf numFmtId="0" fontId="5" fillId="6" borderId="0" applyNumberFormat="0" applyBorder="0" applyAlignment="0" applyProtection="0"/>
  </cellStyleXfs>
  <cellXfs count="33">
    <xf numFmtId="0" fontId="0" fillId="0" borderId="0" xfId="0"/>
    <xf numFmtId="0" fontId="1" fillId="2" borderId="0" xfId="1"/>
    <xf numFmtId="0" fontId="2" fillId="0" borderId="0" xfId="0" applyFont="1"/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/>
    <xf numFmtId="164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3" fillId="3" borderId="0" xfId="2" applyAlignment="1">
      <alignment wrapText="1"/>
    </xf>
    <xf numFmtId="0" fontId="3" fillId="3" borderId="0" xfId="2"/>
    <xf numFmtId="0" fontId="1" fillId="2" borderId="0" xfId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wrapText="1"/>
    </xf>
    <xf numFmtId="164" fontId="2" fillId="0" borderId="0" xfId="0" applyNumberFormat="1" applyFont="1"/>
    <xf numFmtId="22" fontId="0" fillId="0" borderId="0" xfId="0" applyNumberFormat="1"/>
    <xf numFmtId="0" fontId="2" fillId="0" borderId="0" xfId="0" applyFont="1" applyAlignment="1">
      <alignment horizontal="right"/>
    </xf>
    <xf numFmtId="16" fontId="0" fillId="0" borderId="0" xfId="0" applyNumberFormat="1"/>
    <xf numFmtId="0" fontId="4" fillId="4" borderId="0" xfId="3"/>
    <xf numFmtId="165" fontId="0" fillId="0" borderId="0" xfId="0" applyNumberFormat="1"/>
    <xf numFmtId="166" fontId="0" fillId="0" borderId="0" xfId="0" applyNumberFormat="1"/>
    <xf numFmtId="8" fontId="0" fillId="0" borderId="0" xfId="0" applyNumberFormat="1"/>
    <xf numFmtId="8" fontId="0" fillId="0" borderId="0" xfId="0" applyNumberFormat="1" applyAlignment="1">
      <alignment wrapText="1"/>
    </xf>
    <xf numFmtId="0" fontId="6" fillId="5" borderId="2" xfId="4" applyBorder="1"/>
    <xf numFmtId="0" fontId="4" fillId="4" borderId="0" xfId="3" applyAlignment="1">
      <alignment wrapText="1"/>
    </xf>
    <xf numFmtId="0" fontId="5" fillId="6" borderId="0" xfId="5"/>
  </cellXfs>
  <cellStyles count="6">
    <cellStyle name="20% - Accent4" xfId="5" builtinId="42"/>
    <cellStyle name="Accent2" xfId="4" builtinId="33"/>
    <cellStyle name="Bad" xfId="3" builtinId="27"/>
    <cellStyle name="Good" xfId="2" builtinId="26"/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opLeftCell="A13" zoomScale="115" zoomScaleNormal="115" workbookViewId="0">
      <selection activeCell="A29" sqref="A29"/>
    </sheetView>
  </sheetViews>
  <sheetFormatPr defaultRowHeight="14.5"/>
  <cols>
    <col min="3" max="3" width="8.7265625" customWidth="1"/>
    <col min="6" max="6" width="10.6328125" bestFit="1" customWidth="1"/>
    <col min="8" max="8" width="10.6328125" bestFit="1" customWidth="1"/>
  </cols>
  <sheetData>
    <row r="1" spans="1:18">
      <c r="B1" s="2" t="s">
        <v>8</v>
      </c>
      <c r="C1" s="2" t="s">
        <v>9</v>
      </c>
    </row>
    <row r="2" spans="1:18">
      <c r="A2" t="s">
        <v>0</v>
      </c>
      <c r="B2">
        <v>10</v>
      </c>
      <c r="C2">
        <v>5</v>
      </c>
      <c r="I2" s="2" t="s">
        <v>10</v>
      </c>
    </row>
    <row r="3" spans="1:18">
      <c r="A3" t="s">
        <v>7</v>
      </c>
      <c r="B3">
        <v>5</v>
      </c>
      <c r="H3" s="2"/>
      <c r="I3" s="2" t="s">
        <v>8</v>
      </c>
      <c r="J3" s="2" t="s">
        <v>9</v>
      </c>
    </row>
    <row r="4" spans="1:18">
      <c r="A4" t="s">
        <v>1</v>
      </c>
      <c r="B4">
        <v>20</v>
      </c>
      <c r="C4">
        <v>20</v>
      </c>
      <c r="H4" t="s">
        <v>0</v>
      </c>
      <c r="I4">
        <v>12</v>
      </c>
      <c r="J4">
        <v>7</v>
      </c>
    </row>
    <row r="5" spans="1:18">
      <c r="A5" t="s">
        <v>2</v>
      </c>
      <c r="B5">
        <v>30</v>
      </c>
      <c r="C5">
        <v>10</v>
      </c>
      <c r="E5" s="2" t="s">
        <v>8</v>
      </c>
      <c r="F5" s="2" t="s">
        <v>9</v>
      </c>
      <c r="H5" t="s">
        <v>7</v>
      </c>
      <c r="I5">
        <v>2</v>
      </c>
      <c r="L5" s="2" t="s">
        <v>8</v>
      </c>
      <c r="M5" s="2" t="s">
        <v>9</v>
      </c>
    </row>
    <row r="6" spans="1:18">
      <c r="A6" s="2" t="s">
        <v>3</v>
      </c>
      <c r="B6">
        <f>SUM(C2:C5)</f>
        <v>35</v>
      </c>
      <c r="C6" s="3" t="s">
        <v>11</v>
      </c>
      <c r="D6" s="2" t="s">
        <v>4</v>
      </c>
      <c r="E6">
        <v>3</v>
      </c>
      <c r="F6" s="1">
        <v>0</v>
      </c>
      <c r="H6" s="2" t="s">
        <v>3</v>
      </c>
      <c r="I6">
        <v>7</v>
      </c>
      <c r="J6" s="3" t="s">
        <v>11</v>
      </c>
      <c r="K6" s="2" t="s">
        <v>4</v>
      </c>
      <c r="L6" s="1">
        <v>3</v>
      </c>
      <c r="M6" s="1">
        <v>1</v>
      </c>
      <c r="N6">
        <v>3</v>
      </c>
      <c r="O6">
        <v>1</v>
      </c>
      <c r="P6">
        <v>0</v>
      </c>
      <c r="Q6">
        <v>0</v>
      </c>
      <c r="R6">
        <v>0</v>
      </c>
    </row>
    <row r="7" spans="1:18">
      <c r="E7" s="1">
        <v>4</v>
      </c>
      <c r="F7" s="1">
        <v>2</v>
      </c>
      <c r="L7">
        <v>4</v>
      </c>
      <c r="M7">
        <v>4</v>
      </c>
      <c r="N7">
        <v>4</v>
      </c>
      <c r="O7">
        <v>4</v>
      </c>
      <c r="P7">
        <v>4</v>
      </c>
      <c r="Q7">
        <v>3</v>
      </c>
      <c r="R7">
        <v>2</v>
      </c>
    </row>
    <row r="8" spans="1:18">
      <c r="E8">
        <v>3</v>
      </c>
      <c r="F8">
        <v>3</v>
      </c>
      <c r="L8" s="1">
        <v>5</v>
      </c>
      <c r="M8" s="1">
        <v>2</v>
      </c>
      <c r="N8">
        <v>0</v>
      </c>
      <c r="O8">
        <v>2</v>
      </c>
      <c r="P8">
        <v>3</v>
      </c>
      <c r="Q8">
        <v>4</v>
      </c>
      <c r="R8">
        <v>5</v>
      </c>
    </row>
    <row r="9" spans="1:18">
      <c r="D9" s="2" t="s">
        <v>5</v>
      </c>
      <c r="E9">
        <v>10</v>
      </c>
      <c r="F9">
        <v>10</v>
      </c>
      <c r="M9">
        <f>SUM(M6:M8)</f>
        <v>7</v>
      </c>
      <c r="N9">
        <f t="shared" ref="N9:R9" si="0">SUM(N6:N8)</f>
        <v>7</v>
      </c>
      <c r="O9">
        <f t="shared" si="0"/>
        <v>7</v>
      </c>
      <c r="P9">
        <f t="shared" si="0"/>
        <v>7</v>
      </c>
      <c r="Q9">
        <f t="shared" si="0"/>
        <v>7</v>
      </c>
      <c r="R9">
        <f t="shared" si="0"/>
        <v>7</v>
      </c>
    </row>
    <row r="10" spans="1:18">
      <c r="E10">
        <v>6</v>
      </c>
      <c r="F10">
        <v>6</v>
      </c>
    </row>
    <row r="11" spans="1:18">
      <c r="E11">
        <v>4</v>
      </c>
      <c r="F11">
        <v>4</v>
      </c>
      <c r="L11" s="2" t="s">
        <v>12</v>
      </c>
      <c r="N11">
        <v>0</v>
      </c>
      <c r="O11">
        <v>2</v>
      </c>
      <c r="P11">
        <v>3</v>
      </c>
      <c r="Q11">
        <v>4</v>
      </c>
      <c r="R11">
        <v>5</v>
      </c>
    </row>
    <row r="12" spans="1:18">
      <c r="D12" s="2" t="s">
        <v>6</v>
      </c>
      <c r="E12">
        <v>8</v>
      </c>
      <c r="F12">
        <v>8</v>
      </c>
      <c r="L12" s="2" t="s">
        <v>13</v>
      </c>
      <c r="N12">
        <f>$I4-$M9-N11</f>
        <v>5</v>
      </c>
      <c r="O12">
        <f>$I4-$M9-O11</f>
        <v>3</v>
      </c>
      <c r="P12">
        <f>$I4-$M9-P11</f>
        <v>2</v>
      </c>
      <c r="Q12">
        <f>$I4-$M9-Q11</f>
        <v>1</v>
      </c>
      <c r="R12">
        <f>$I4-$M9-R11</f>
        <v>0</v>
      </c>
    </row>
    <row r="13" spans="1:18">
      <c r="E13" s="1">
        <v>5</v>
      </c>
      <c r="F13" s="1">
        <v>2</v>
      </c>
    </row>
    <row r="14" spans="1:18">
      <c r="E14">
        <v>17</v>
      </c>
      <c r="F14" s="1">
        <v>0</v>
      </c>
    </row>
    <row r="16" spans="1:18">
      <c r="B16" s="2" t="s">
        <v>14</v>
      </c>
    </row>
    <row r="17" spans="1:18">
      <c r="A17">
        <v>101</v>
      </c>
      <c r="B17" s="5" t="s">
        <v>19</v>
      </c>
      <c r="E17">
        <v>160.75280000000001</v>
      </c>
      <c r="J17" s="7">
        <v>0</v>
      </c>
      <c r="K17" s="7">
        <v>0</v>
      </c>
      <c r="L17" s="7">
        <v>0</v>
      </c>
      <c r="M17" s="7">
        <v>5</v>
      </c>
      <c r="N17" s="7">
        <v>20</v>
      </c>
      <c r="O17" s="7">
        <v>30</v>
      </c>
      <c r="P17" s="7">
        <v>80</v>
      </c>
      <c r="Q17" s="7">
        <v>80</v>
      </c>
      <c r="R17" s="9">
        <v>0</v>
      </c>
    </row>
    <row r="18" spans="1:18" ht="43.5">
      <c r="B18" s="4" t="s">
        <v>15</v>
      </c>
      <c r="C18" s="4" t="s">
        <v>16</v>
      </c>
      <c r="D18" s="4" t="s">
        <v>17</v>
      </c>
      <c r="E18" s="4" t="s">
        <v>8</v>
      </c>
      <c r="F18" s="4" t="s">
        <v>18</v>
      </c>
      <c r="H18" s="4" t="s">
        <v>22</v>
      </c>
      <c r="J18" s="8">
        <v>20</v>
      </c>
      <c r="K18" s="8">
        <v>30</v>
      </c>
      <c r="L18" s="8">
        <v>200</v>
      </c>
      <c r="M18" s="8">
        <v>10</v>
      </c>
      <c r="N18" s="8">
        <v>20</v>
      </c>
      <c r="O18" s="8">
        <v>50</v>
      </c>
      <c r="P18" s="8">
        <v>10</v>
      </c>
      <c r="Q18" s="8">
        <v>100</v>
      </c>
      <c r="R18" s="10">
        <v>80.752799999999993</v>
      </c>
    </row>
    <row r="19" spans="1:18">
      <c r="B19">
        <v>58</v>
      </c>
      <c r="C19">
        <v>101</v>
      </c>
      <c r="D19">
        <v>15</v>
      </c>
      <c r="E19">
        <v>24.7409</v>
      </c>
      <c r="F19">
        <v>679.64</v>
      </c>
      <c r="H19">
        <f>E19</f>
        <v>24.7409</v>
      </c>
      <c r="I19">
        <f>E19-H19</f>
        <v>0</v>
      </c>
      <c r="J19" s="7">
        <v>20</v>
      </c>
      <c r="K19" s="7">
        <f>H19</f>
        <v>24.7409</v>
      </c>
      <c r="L19" s="7">
        <f>H19</f>
        <v>24.7409</v>
      </c>
      <c r="M19" s="7">
        <v>10</v>
      </c>
      <c r="N19" s="7">
        <f>E19-N17</f>
        <v>4.7408999999999999</v>
      </c>
      <c r="O19" s="7">
        <v>0</v>
      </c>
      <c r="P19" s="7">
        <v>0</v>
      </c>
      <c r="Q19" s="7">
        <v>0</v>
      </c>
      <c r="R19">
        <f>E19</f>
        <v>24.7409</v>
      </c>
    </row>
    <row r="20" spans="1:18">
      <c r="B20">
        <v>59</v>
      </c>
      <c r="C20">
        <v>101</v>
      </c>
      <c r="D20">
        <v>16</v>
      </c>
      <c r="E20">
        <v>48.378</v>
      </c>
      <c r="F20">
        <v>547.64509999999996</v>
      </c>
      <c r="H20">
        <f>E20</f>
        <v>48.378</v>
      </c>
      <c r="I20">
        <f t="shared" ref="I20:I21" si="1">E20-H20</f>
        <v>0</v>
      </c>
      <c r="J20" s="8">
        <v>0</v>
      </c>
      <c r="K20" s="8">
        <f>K18-K19</f>
        <v>5.2591000000000001</v>
      </c>
      <c r="L20" s="8">
        <f>H20</f>
        <v>48.378</v>
      </c>
      <c r="M20" s="8"/>
      <c r="N20" s="8">
        <f>N18-N19</f>
        <v>15.2591</v>
      </c>
      <c r="O20" s="8">
        <f>E20-(O17-E19)</f>
        <v>43.118899999999996</v>
      </c>
      <c r="P20">
        <v>0</v>
      </c>
      <c r="Q20">
        <v>0</v>
      </c>
      <c r="R20">
        <f>E20</f>
        <v>48.378</v>
      </c>
    </row>
    <row r="21" spans="1:18">
      <c r="B21">
        <v>60</v>
      </c>
      <c r="C21">
        <v>101</v>
      </c>
      <c r="D21">
        <v>17</v>
      </c>
      <c r="E21">
        <v>87.633899999999997</v>
      </c>
      <c r="F21">
        <v>992.38829999999996</v>
      </c>
      <c r="H21" s="6">
        <f>E23-H19-H20</f>
        <v>7.633899999999997</v>
      </c>
      <c r="I21">
        <f t="shared" si="1"/>
        <v>80</v>
      </c>
      <c r="J21">
        <v>0</v>
      </c>
      <c r="K21">
        <v>0</v>
      </c>
      <c r="L21" s="6">
        <f>E21</f>
        <v>87.633899999999997</v>
      </c>
      <c r="N21">
        <v>0</v>
      </c>
      <c r="O21">
        <f>O18-O20</f>
        <v>6.8811000000000035</v>
      </c>
      <c r="P21">
        <f>P18-P20</f>
        <v>10</v>
      </c>
      <c r="Q21">
        <v>80.752799999999993</v>
      </c>
      <c r="R21">
        <f>R18-R19-R20</f>
        <v>7.633899999999997</v>
      </c>
    </row>
    <row r="22" spans="1:18">
      <c r="J22">
        <v>0</v>
      </c>
      <c r="K22">
        <v>0</v>
      </c>
      <c r="L22" s="6">
        <f>L18-L19-L20-L21</f>
        <v>39.247199999999992</v>
      </c>
      <c r="N22">
        <v>0</v>
      </c>
      <c r="O22">
        <v>0</v>
      </c>
      <c r="P22">
        <v>0</v>
      </c>
      <c r="Q22">
        <f>Q18-Q21</f>
        <v>19.247200000000007</v>
      </c>
      <c r="R22">
        <v>0</v>
      </c>
    </row>
    <row r="23" spans="1:18">
      <c r="A23">
        <v>172</v>
      </c>
      <c r="B23" t="s">
        <v>20</v>
      </c>
      <c r="E23" s="6">
        <v>80.752799999999993</v>
      </c>
    </row>
    <row r="24" spans="1:18">
      <c r="B24" t="s">
        <v>21</v>
      </c>
      <c r="E24" s="6">
        <f>+E17-E23</f>
        <v>80.000000000000014</v>
      </c>
    </row>
    <row r="27" spans="1:18">
      <c r="A27" t="s">
        <v>33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N33"/>
  <sheetViews>
    <sheetView topLeftCell="A22" zoomScale="115" zoomScaleNormal="115" workbookViewId="0">
      <selection activeCell="F18" sqref="F18"/>
    </sheetView>
  </sheetViews>
  <sheetFormatPr defaultRowHeight="14.5"/>
  <cols>
    <col min="2" max="2" width="11.81640625" customWidth="1"/>
    <col min="3" max="3" width="10.81640625" customWidth="1"/>
    <col min="4" max="4" width="10.7265625" style="6" bestFit="1" customWidth="1"/>
    <col min="5" max="5" width="3.81640625" customWidth="1"/>
    <col min="6" max="6" width="10.7265625" bestFit="1" customWidth="1"/>
    <col min="7" max="7" width="3.1796875" customWidth="1"/>
    <col min="8" max="8" width="9.6328125" customWidth="1"/>
    <col min="11" max="11" width="11.54296875" customWidth="1"/>
  </cols>
  <sheetData>
    <row r="2" spans="1:12">
      <c r="A2" s="2" t="s">
        <v>25</v>
      </c>
    </row>
    <row r="3" spans="1:12">
      <c r="A3" s="13">
        <v>26</v>
      </c>
      <c r="B3" s="10" t="s">
        <v>23</v>
      </c>
      <c r="C3" s="11">
        <v>41439</v>
      </c>
      <c r="D3" s="12">
        <v>249.34710000000001</v>
      </c>
      <c r="F3" s="6">
        <f>D3</f>
        <v>249.34710000000001</v>
      </c>
      <c r="H3" s="6">
        <f>D3</f>
        <v>249.34710000000001</v>
      </c>
      <c r="J3" s="6"/>
      <c r="K3">
        <v>249.34710000000001</v>
      </c>
    </row>
    <row r="4" spans="1:12">
      <c r="A4" s="10">
        <v>28</v>
      </c>
      <c r="B4" s="10" t="s">
        <v>24</v>
      </c>
      <c r="C4" s="11">
        <v>41794</v>
      </c>
      <c r="D4" s="12">
        <v>249</v>
      </c>
      <c r="F4" s="6">
        <f>F3-D4</f>
        <v>0.34710000000001173</v>
      </c>
      <c r="G4" s="6"/>
      <c r="H4" s="6">
        <f>H3-D4</f>
        <v>0.34710000000001173</v>
      </c>
      <c r="K4" s="6">
        <f>+D6-F11</f>
        <v>259.18289999999996</v>
      </c>
    </row>
    <row r="5" spans="1:12">
      <c r="A5" s="15">
        <v>31</v>
      </c>
      <c r="B5" s="10" t="s">
        <v>23</v>
      </c>
      <c r="C5" s="11">
        <v>41976</v>
      </c>
      <c r="D5" s="12">
        <v>264.18049999999999</v>
      </c>
      <c r="F5" s="6">
        <f>F4+D5</f>
        <v>264.52760000000001</v>
      </c>
      <c r="H5" s="6">
        <f>H4+D5</f>
        <v>264.52760000000001</v>
      </c>
    </row>
    <row r="6" spans="1:12">
      <c r="A6" s="10">
        <v>91</v>
      </c>
      <c r="B6" s="10" t="s">
        <v>24</v>
      </c>
      <c r="C6" s="11">
        <v>42201</v>
      </c>
      <c r="D6" s="12">
        <v>259.52999999999997</v>
      </c>
      <c r="F6" s="6">
        <f>F5-D6</f>
        <v>4.997600000000034</v>
      </c>
      <c r="H6" s="6">
        <f>H5-D6</f>
        <v>4.997600000000034</v>
      </c>
      <c r="K6" s="6">
        <v>37.988199999999999</v>
      </c>
    </row>
    <row r="7" spans="1:12">
      <c r="A7" s="10"/>
      <c r="B7" s="10"/>
      <c r="C7" s="11"/>
      <c r="D7" s="12"/>
      <c r="F7" s="6"/>
      <c r="K7" s="6">
        <v>74.281599999999997</v>
      </c>
    </row>
    <row r="8" spans="1:12">
      <c r="B8" s="16" t="s">
        <v>26</v>
      </c>
      <c r="C8" s="17" t="s">
        <v>27</v>
      </c>
      <c r="D8" s="18" t="s">
        <v>8</v>
      </c>
      <c r="K8" s="6">
        <v>137.07730000000001</v>
      </c>
    </row>
    <row r="9" spans="1:12">
      <c r="A9">
        <v>22</v>
      </c>
      <c r="B9" s="14">
        <v>26</v>
      </c>
      <c r="C9">
        <v>15</v>
      </c>
      <c r="D9" s="12">
        <v>37.988199999999999</v>
      </c>
      <c r="F9">
        <v>0</v>
      </c>
      <c r="H9" s="6">
        <v>0</v>
      </c>
      <c r="I9" t="s">
        <v>31</v>
      </c>
      <c r="K9" s="6">
        <f>SUM(K6:K8)</f>
        <v>249.34710000000001</v>
      </c>
    </row>
    <row r="10" spans="1:12">
      <c r="A10">
        <v>23</v>
      </c>
      <c r="B10" s="14">
        <v>26</v>
      </c>
      <c r="C10">
        <v>16</v>
      </c>
      <c r="D10" s="12">
        <v>74.281599999999997</v>
      </c>
      <c r="F10">
        <v>0</v>
      </c>
      <c r="H10" s="6">
        <v>0</v>
      </c>
      <c r="I10" t="s">
        <v>31</v>
      </c>
    </row>
    <row r="11" spans="1:12">
      <c r="A11">
        <v>24</v>
      </c>
      <c r="B11" s="14">
        <v>26</v>
      </c>
      <c r="C11">
        <v>17</v>
      </c>
      <c r="D11" s="12">
        <v>137.07740000000001</v>
      </c>
      <c r="F11" s="6">
        <f>D3-D4</f>
        <v>0.34710000000001173</v>
      </c>
      <c r="G11" s="6"/>
      <c r="H11" s="6">
        <v>0.34730000000001798</v>
      </c>
      <c r="I11" t="s">
        <v>31</v>
      </c>
      <c r="K11" t="s">
        <v>32</v>
      </c>
    </row>
    <row r="12" spans="1:12">
      <c r="D12" s="12"/>
    </row>
    <row r="13" spans="1:12">
      <c r="A13">
        <v>40</v>
      </c>
      <c r="B13" s="1">
        <v>31</v>
      </c>
      <c r="C13">
        <v>15</v>
      </c>
      <c r="D13" s="12">
        <v>39.353999999999999</v>
      </c>
      <c r="F13" s="6">
        <f>D13</f>
        <v>39.353999999999999</v>
      </c>
      <c r="H13" s="6">
        <v>39.353999999999999</v>
      </c>
      <c r="I13" t="s">
        <v>31</v>
      </c>
      <c r="K13">
        <v>0.34710000000001101</v>
      </c>
      <c r="L13" s="6">
        <f>$D$6-K13</f>
        <v>259.18289999999996</v>
      </c>
    </row>
    <row r="14" spans="1:12">
      <c r="A14">
        <v>41</v>
      </c>
      <c r="B14" s="1">
        <v>31</v>
      </c>
      <c r="C14">
        <v>16</v>
      </c>
      <c r="D14" s="12">
        <v>76.952299999999994</v>
      </c>
      <c r="F14" s="6">
        <f>D14</f>
        <v>76.952299999999994</v>
      </c>
      <c r="H14" s="6">
        <v>76.952299999999994</v>
      </c>
      <c r="I14" t="s">
        <v>31</v>
      </c>
      <c r="L14">
        <v>258.83579999999898</v>
      </c>
    </row>
    <row r="15" spans="1:12">
      <c r="A15">
        <v>42</v>
      </c>
      <c r="B15" s="1">
        <v>31</v>
      </c>
      <c r="C15">
        <v>17</v>
      </c>
      <c r="D15" s="12">
        <v>141.64619999999999</v>
      </c>
      <c r="F15" s="6">
        <f>D15</f>
        <v>141.64619999999999</v>
      </c>
      <c r="H15" s="6">
        <v>141.64619999999999</v>
      </c>
      <c r="I15" t="s">
        <v>31</v>
      </c>
      <c r="L15" s="6">
        <f>+L13-L14</f>
        <v>0.34710000000097807</v>
      </c>
    </row>
    <row r="16" spans="1:12">
      <c r="A16">
        <v>43</v>
      </c>
      <c r="B16" s="1">
        <v>31</v>
      </c>
      <c r="C16">
        <v>27</v>
      </c>
      <c r="D16" s="12">
        <v>6.2279999999999998</v>
      </c>
      <c r="F16" s="6">
        <f>D6-(F11+F13+F14+F15)</f>
        <v>1.2303999999999746</v>
      </c>
      <c r="H16" s="6">
        <v>0.88289999999997804</v>
      </c>
      <c r="I16" t="s">
        <v>31</v>
      </c>
    </row>
    <row r="17" spans="1:14">
      <c r="F17" s="6">
        <f>SUM(F9:F16)</f>
        <v>259.52999999999997</v>
      </c>
      <c r="H17" s="6">
        <f>SUM(H9:H16)</f>
        <v>259.18269999999995</v>
      </c>
      <c r="I17" s="6">
        <f>F16-H16</f>
        <v>0.34749999999999659</v>
      </c>
    </row>
    <row r="18" spans="1:14">
      <c r="F18" s="6"/>
      <c r="H18" s="6"/>
    </row>
    <row r="19" spans="1:14">
      <c r="A19" s="2" t="s">
        <v>30</v>
      </c>
      <c r="H19" s="6">
        <v>259.52999999999997</v>
      </c>
      <c r="I19" t="s">
        <v>31</v>
      </c>
      <c r="K19" t="s">
        <v>28</v>
      </c>
      <c r="L19">
        <v>10</v>
      </c>
      <c r="M19">
        <v>0</v>
      </c>
    </row>
    <row r="20" spans="1:14">
      <c r="A20" s="10">
        <v>1</v>
      </c>
      <c r="B20" s="10" t="s">
        <v>19</v>
      </c>
      <c r="C20" s="11">
        <v>41172</v>
      </c>
      <c r="D20" s="10">
        <v>325.52199999999999</v>
      </c>
      <c r="F20">
        <f>D20</f>
        <v>325.52199999999999</v>
      </c>
      <c r="K20" t="s">
        <v>28</v>
      </c>
      <c r="L20">
        <v>20</v>
      </c>
      <c r="M20">
        <v>15</v>
      </c>
      <c r="N20">
        <v>5</v>
      </c>
    </row>
    <row r="21" spans="1:14">
      <c r="A21" s="10">
        <v>2</v>
      </c>
      <c r="B21" s="10" t="s">
        <v>19</v>
      </c>
      <c r="C21" s="11">
        <v>41187</v>
      </c>
      <c r="D21" s="20">
        <v>1267.6880000000001</v>
      </c>
      <c r="F21" s="19">
        <f>F20+D21</f>
        <v>1593.21</v>
      </c>
      <c r="K21" t="s">
        <v>29</v>
      </c>
      <c r="L21">
        <v>15</v>
      </c>
    </row>
    <row r="22" spans="1:14">
      <c r="A22" s="10">
        <v>3</v>
      </c>
      <c r="B22" s="10" t="s">
        <v>19</v>
      </c>
      <c r="C22" s="11">
        <v>41410</v>
      </c>
      <c r="D22" s="10">
        <v>522.37400000000002</v>
      </c>
      <c r="F22" s="19">
        <f t="shared" ref="F22:F26" si="0">F21+D22</f>
        <v>2115.5839999999998</v>
      </c>
      <c r="K22" t="s">
        <v>29</v>
      </c>
      <c r="L22">
        <v>10</v>
      </c>
    </row>
    <row r="23" spans="1:14">
      <c r="A23" s="10">
        <v>4</v>
      </c>
      <c r="B23" s="10" t="s">
        <v>20</v>
      </c>
      <c r="C23" s="11">
        <v>41438</v>
      </c>
      <c r="D23" s="20">
        <v>1415.5820000000001</v>
      </c>
      <c r="F23" s="19">
        <f>F22-D23</f>
        <v>700.00199999999973</v>
      </c>
    </row>
    <row r="24" spans="1:14">
      <c r="A24" s="10">
        <v>5</v>
      </c>
      <c r="B24" s="10" t="s">
        <v>20</v>
      </c>
      <c r="C24" s="11">
        <v>41492</v>
      </c>
      <c r="D24" s="10">
        <v>178</v>
      </c>
      <c r="F24" s="19">
        <f>F23-D24</f>
        <v>522.00199999999973</v>
      </c>
    </row>
    <row r="25" spans="1:14">
      <c r="A25" s="10">
        <v>6</v>
      </c>
      <c r="B25" s="10" t="s">
        <v>20</v>
      </c>
      <c r="C25" s="11">
        <v>41506</v>
      </c>
      <c r="D25" s="10">
        <v>522.00199999999995</v>
      </c>
      <c r="F25" s="19">
        <f>F24-D25</f>
        <v>0</v>
      </c>
    </row>
    <row r="26" spans="1:14">
      <c r="A26" s="10">
        <v>41</v>
      </c>
      <c r="B26" s="10" t="s">
        <v>23</v>
      </c>
      <c r="C26" s="11">
        <v>42047</v>
      </c>
      <c r="D26" s="10">
        <v>174.22900000000001</v>
      </c>
      <c r="F26" s="19">
        <f t="shared" si="0"/>
        <v>174.22900000000001</v>
      </c>
    </row>
    <row r="27" spans="1:14">
      <c r="A27" s="10">
        <v>95</v>
      </c>
      <c r="B27" s="10" t="s">
        <v>24</v>
      </c>
      <c r="C27" s="11">
        <v>42207</v>
      </c>
      <c r="D27" s="10">
        <v>150</v>
      </c>
      <c r="F27" s="19">
        <f>F26-D27</f>
        <v>24.229000000000013</v>
      </c>
    </row>
    <row r="28" spans="1:14">
      <c r="A28" s="10">
        <v>187</v>
      </c>
      <c r="B28" s="10" t="s">
        <v>20</v>
      </c>
      <c r="C28" s="11">
        <v>44176</v>
      </c>
      <c r="D28" s="10">
        <v>24.228999999999999</v>
      </c>
      <c r="F28" s="19">
        <f>F27-D28</f>
        <v>0</v>
      </c>
    </row>
    <row r="30" spans="1:14">
      <c r="A30" s="10">
        <v>26</v>
      </c>
      <c r="B30" s="10" t="s">
        <v>23</v>
      </c>
      <c r="C30" s="11">
        <v>41439</v>
      </c>
      <c r="D30" s="12">
        <v>249.34710000000001</v>
      </c>
      <c r="F30" s="6">
        <f>D30</f>
        <v>249.34710000000001</v>
      </c>
    </row>
    <row r="31" spans="1:14">
      <c r="A31" s="10">
        <v>28</v>
      </c>
      <c r="B31" s="10" t="s">
        <v>24</v>
      </c>
      <c r="C31" s="11">
        <v>41794</v>
      </c>
      <c r="D31" s="12">
        <v>249</v>
      </c>
      <c r="F31" s="6">
        <f>+F30-D31</f>
        <v>0.34710000000001173</v>
      </c>
    </row>
    <row r="32" spans="1:14">
      <c r="A32" s="10">
        <v>31</v>
      </c>
      <c r="B32" s="10" t="s">
        <v>23</v>
      </c>
      <c r="C32" s="11">
        <v>41976</v>
      </c>
      <c r="D32" s="12">
        <v>264.18049999999999</v>
      </c>
      <c r="F32" s="6">
        <f>+F31+D32</f>
        <v>264.52760000000001</v>
      </c>
    </row>
    <row r="33" spans="1:6">
      <c r="A33" s="10">
        <v>91</v>
      </c>
      <c r="B33" s="10" t="s">
        <v>24</v>
      </c>
      <c r="C33" s="11">
        <v>42201</v>
      </c>
      <c r="D33" s="12">
        <v>259.52999999999997</v>
      </c>
      <c r="F33" s="6">
        <f>+F32-D33</f>
        <v>4.997600000000034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M32"/>
  <sheetViews>
    <sheetView zoomScale="115" zoomScaleNormal="115" workbookViewId="0">
      <selection activeCell="E13" sqref="E13"/>
    </sheetView>
  </sheetViews>
  <sheetFormatPr defaultRowHeight="14.5"/>
  <cols>
    <col min="6" max="6" width="8.7265625" customWidth="1"/>
    <col min="9" max="9" width="9.54296875" bestFit="1" customWidth="1"/>
  </cols>
  <sheetData>
    <row r="3" spans="5:11">
      <c r="E3" t="s">
        <v>36</v>
      </c>
      <c r="F3">
        <f>F8</f>
        <v>160.75279999999998</v>
      </c>
    </row>
    <row r="4" spans="5:11">
      <c r="E4" t="s">
        <v>34</v>
      </c>
      <c r="F4">
        <f>H12</f>
        <v>40</v>
      </c>
      <c r="G4" s="17" t="s">
        <v>39</v>
      </c>
    </row>
    <row r="5" spans="5:11">
      <c r="E5" t="s">
        <v>35</v>
      </c>
      <c r="F5">
        <v>100</v>
      </c>
      <c r="G5" s="17" t="s">
        <v>40</v>
      </c>
    </row>
    <row r="7" spans="5:11">
      <c r="F7" t="s">
        <v>8</v>
      </c>
      <c r="G7" s="17" t="s">
        <v>43</v>
      </c>
      <c r="H7" s="17" t="s">
        <v>41</v>
      </c>
      <c r="I7" s="17" t="s">
        <v>42</v>
      </c>
    </row>
    <row r="8" spans="5:11">
      <c r="E8" t="s">
        <v>36</v>
      </c>
      <c r="F8">
        <f>G12</f>
        <v>160.75279999999998</v>
      </c>
      <c r="G8" t="s">
        <v>8</v>
      </c>
      <c r="H8" t="s">
        <v>37</v>
      </c>
      <c r="I8" t="s">
        <v>18</v>
      </c>
      <c r="J8" t="s">
        <v>38</v>
      </c>
    </row>
    <row r="9" spans="5:11">
      <c r="G9">
        <v>24.7409</v>
      </c>
      <c r="H9">
        <v>0</v>
      </c>
      <c r="I9" s="6">
        <v>679.64</v>
      </c>
      <c r="J9">
        <v>15</v>
      </c>
    </row>
    <row r="10" spans="5:11">
      <c r="G10">
        <v>48.378</v>
      </c>
      <c r="H10">
        <v>0</v>
      </c>
      <c r="I10" s="6">
        <v>547.64509999999996</v>
      </c>
      <c r="J10">
        <v>16</v>
      </c>
    </row>
    <row r="11" spans="5:11">
      <c r="G11">
        <v>87.633899999999997</v>
      </c>
      <c r="H11">
        <v>40</v>
      </c>
      <c r="I11" s="6">
        <v>992.38829999999996</v>
      </c>
      <c r="J11">
        <v>17</v>
      </c>
    </row>
    <row r="12" spans="5:11">
      <c r="G12" s="2">
        <f>SUM(G9:G11)</f>
        <v>160.75279999999998</v>
      </c>
      <c r="H12" s="2">
        <f>SUM(H9:H11)</f>
        <v>40</v>
      </c>
      <c r="I12" s="21">
        <f>SUM(I9:I11)</f>
        <v>2219.6734000000001</v>
      </c>
      <c r="K12">
        <f>+H12/I12</f>
        <v>1.8020669166914374E-2</v>
      </c>
    </row>
    <row r="15" spans="5:11">
      <c r="E15" t="s">
        <v>35</v>
      </c>
      <c r="F15">
        <f>F5</f>
        <v>100</v>
      </c>
    </row>
    <row r="16" spans="5:11">
      <c r="G16" t="s">
        <v>8</v>
      </c>
      <c r="H16" t="s">
        <v>18</v>
      </c>
      <c r="I16" t="s">
        <v>38</v>
      </c>
    </row>
    <row r="17" spans="1:13">
      <c r="G17">
        <f>H9/F$4*F$5</f>
        <v>0</v>
      </c>
      <c r="H17">
        <f>H9/G9*I9</f>
        <v>0</v>
      </c>
      <c r="I17">
        <v>15</v>
      </c>
    </row>
    <row r="18" spans="1:13">
      <c r="G18">
        <f t="shared" ref="G18:G19" si="0">H10/F$4*F$5</f>
        <v>0</v>
      </c>
      <c r="H18">
        <f>H10/G10*I10</f>
        <v>0</v>
      </c>
      <c r="I18">
        <v>16</v>
      </c>
    </row>
    <row r="19" spans="1:13">
      <c r="G19">
        <f t="shared" si="0"/>
        <v>100</v>
      </c>
      <c r="H19">
        <f>H11/G11*I11</f>
        <v>452.97004926175828</v>
      </c>
      <c r="I19">
        <v>17</v>
      </c>
    </row>
    <row r="20" spans="1:13">
      <c r="G20" s="2">
        <f>H12/F$4*F$15</f>
        <v>100</v>
      </c>
      <c r="H20" s="2">
        <f>SUM(H17:H19)</f>
        <v>452.97004926175828</v>
      </c>
    </row>
    <row r="22" spans="1:13">
      <c r="A22" s="2" t="s">
        <v>53</v>
      </c>
      <c r="G22" t="s">
        <v>8</v>
      </c>
    </row>
    <row r="23" spans="1:13">
      <c r="A23">
        <v>1190</v>
      </c>
      <c r="B23">
        <v>1</v>
      </c>
      <c r="C23">
        <v>16</v>
      </c>
      <c r="D23">
        <v>1</v>
      </c>
      <c r="E23">
        <v>1191</v>
      </c>
      <c r="F23" s="22">
        <v>44306.308576388888</v>
      </c>
      <c r="G23">
        <v>40</v>
      </c>
      <c r="H23">
        <v>280.20139999999998</v>
      </c>
      <c r="I23">
        <v>400</v>
      </c>
      <c r="J23">
        <v>1</v>
      </c>
      <c r="K23" t="s">
        <v>45</v>
      </c>
      <c r="L23" t="s">
        <v>45</v>
      </c>
      <c r="M23" t="s">
        <v>46</v>
      </c>
    </row>
    <row r="24" spans="1:13">
      <c r="A24">
        <v>1191</v>
      </c>
      <c r="B24">
        <v>1</v>
      </c>
      <c r="C24">
        <v>1</v>
      </c>
      <c r="D24">
        <v>0</v>
      </c>
      <c r="E24">
        <v>1190</v>
      </c>
      <c r="F24" s="22">
        <v>44306.308587962965</v>
      </c>
      <c r="G24">
        <v>100</v>
      </c>
      <c r="H24">
        <v>112.0806</v>
      </c>
      <c r="I24">
        <v>160</v>
      </c>
      <c r="J24">
        <v>1</v>
      </c>
      <c r="K24" t="s">
        <v>45</v>
      </c>
      <c r="L24" t="s">
        <v>45</v>
      </c>
      <c r="M24" t="s">
        <v>47</v>
      </c>
    </row>
    <row r="25" spans="1:13">
      <c r="D25" t="s">
        <v>8</v>
      </c>
      <c r="E25" t="s">
        <v>51</v>
      </c>
    </row>
    <row r="26" spans="1:13">
      <c r="A26">
        <v>1097</v>
      </c>
      <c r="B26">
        <v>1191</v>
      </c>
      <c r="C26">
        <v>17</v>
      </c>
      <c r="D26">
        <v>100</v>
      </c>
      <c r="E26">
        <v>452.97004926175799</v>
      </c>
      <c r="F26" t="s">
        <v>44</v>
      </c>
    </row>
    <row r="28" spans="1:13">
      <c r="A28" s="2" t="s">
        <v>52</v>
      </c>
    </row>
    <row r="29" spans="1:13">
      <c r="A29">
        <v>1192</v>
      </c>
      <c r="B29">
        <v>1</v>
      </c>
      <c r="C29">
        <v>16</v>
      </c>
      <c r="D29">
        <v>1</v>
      </c>
      <c r="E29">
        <v>1193</v>
      </c>
      <c r="F29" s="22">
        <v>44306.312685185185</v>
      </c>
      <c r="G29">
        <v>40</v>
      </c>
      <c r="H29">
        <v>280.20139999999998</v>
      </c>
      <c r="I29">
        <v>400</v>
      </c>
      <c r="J29">
        <v>1</v>
      </c>
      <c r="K29" t="s">
        <v>45</v>
      </c>
      <c r="L29" t="s">
        <v>45</v>
      </c>
      <c r="M29" t="s">
        <v>49</v>
      </c>
    </row>
    <row r="30" spans="1:13">
      <c r="A30">
        <v>1193</v>
      </c>
      <c r="B30">
        <v>1</v>
      </c>
      <c r="C30">
        <v>1</v>
      </c>
      <c r="D30">
        <v>0</v>
      </c>
      <c r="E30">
        <v>1192</v>
      </c>
      <c r="F30" s="22">
        <v>44306.312696759262</v>
      </c>
      <c r="G30">
        <v>100</v>
      </c>
      <c r="H30">
        <v>112.0806</v>
      </c>
      <c r="I30">
        <v>160</v>
      </c>
      <c r="J30">
        <v>1</v>
      </c>
      <c r="K30" t="s">
        <v>45</v>
      </c>
      <c r="L30" t="s">
        <v>45</v>
      </c>
      <c r="M30" t="s">
        <v>50</v>
      </c>
    </row>
    <row r="32" spans="1:13">
      <c r="A32">
        <v>1098</v>
      </c>
      <c r="B32">
        <v>1193</v>
      </c>
      <c r="C32">
        <v>17</v>
      </c>
      <c r="D32">
        <v>200</v>
      </c>
      <c r="E32">
        <v>905.94010000000003</v>
      </c>
      <c r="F32" t="s">
        <v>48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9"/>
  <sheetViews>
    <sheetView zoomScale="115" zoomScaleNormal="115" workbookViewId="0">
      <selection activeCell="G47" sqref="G47"/>
    </sheetView>
  </sheetViews>
  <sheetFormatPr defaultRowHeight="14.5"/>
  <sheetData>
    <row r="1" spans="1:13">
      <c r="C1" s="23" t="s">
        <v>54</v>
      </c>
      <c r="D1" s="23" t="s">
        <v>55</v>
      </c>
      <c r="E1" s="23" t="s">
        <v>56</v>
      </c>
      <c r="F1" s="23" t="s">
        <v>57</v>
      </c>
      <c r="G1" s="23" t="s">
        <v>8</v>
      </c>
      <c r="H1" s="23" t="s">
        <v>58</v>
      </c>
      <c r="I1" s="23" t="s">
        <v>59</v>
      </c>
      <c r="J1" s="23"/>
      <c r="K1" s="23"/>
      <c r="L1" s="23"/>
    </row>
    <row r="2" spans="1:13">
      <c r="A2">
        <v>101</v>
      </c>
      <c r="B2">
        <v>1</v>
      </c>
      <c r="C2">
        <v>16</v>
      </c>
      <c r="D2">
        <v>0</v>
      </c>
      <c r="E2">
        <v>100</v>
      </c>
      <c r="F2" s="24">
        <v>42279.463807870372</v>
      </c>
      <c r="G2">
        <v>160.75280000000001</v>
      </c>
      <c r="H2">
        <v>280.20139999999998</v>
      </c>
      <c r="I2">
        <v>323.52997894904399</v>
      </c>
      <c r="J2">
        <v>1</v>
      </c>
      <c r="K2" t="s">
        <v>45</v>
      </c>
      <c r="L2" t="s">
        <v>60</v>
      </c>
      <c r="M2" t="s">
        <v>61</v>
      </c>
    </row>
    <row r="3" spans="1:13">
      <c r="A3">
        <v>172</v>
      </c>
      <c r="B3">
        <v>1</v>
      </c>
      <c r="C3">
        <v>16</v>
      </c>
      <c r="D3">
        <v>1</v>
      </c>
      <c r="E3">
        <v>173</v>
      </c>
      <c r="F3" s="24">
        <v>43525.444004629629</v>
      </c>
      <c r="G3">
        <v>80.752799999999993</v>
      </c>
      <c r="H3">
        <v>280.20139999999998</v>
      </c>
      <c r="I3">
        <v>375.55</v>
      </c>
      <c r="J3">
        <v>1</v>
      </c>
      <c r="K3" t="s">
        <v>45</v>
      </c>
      <c r="L3" t="s">
        <v>45</v>
      </c>
      <c r="M3" t="s">
        <v>62</v>
      </c>
    </row>
    <row r="4" spans="1:13">
      <c r="A4">
        <v>173</v>
      </c>
      <c r="B4">
        <v>1</v>
      </c>
      <c r="C4">
        <v>27</v>
      </c>
      <c r="D4">
        <v>0</v>
      </c>
      <c r="E4">
        <v>172</v>
      </c>
      <c r="F4" s="24">
        <v>43525.444016203706</v>
      </c>
      <c r="G4">
        <v>1778.69</v>
      </c>
      <c r="H4">
        <v>12.7212</v>
      </c>
      <c r="I4">
        <v>17.05</v>
      </c>
      <c r="J4">
        <v>1</v>
      </c>
      <c r="K4" t="s">
        <v>45</v>
      </c>
      <c r="L4" t="s">
        <v>45</v>
      </c>
      <c r="M4" t="s">
        <v>63</v>
      </c>
    </row>
    <row r="6" spans="1:13">
      <c r="A6" s="2"/>
      <c r="B6" s="17" t="s">
        <v>64</v>
      </c>
      <c r="C6" s="17" t="s">
        <v>65</v>
      </c>
      <c r="D6" s="17" t="s">
        <v>8</v>
      </c>
      <c r="E6" s="17" t="s">
        <v>51</v>
      </c>
    </row>
    <row r="7" spans="1:13">
      <c r="A7">
        <v>58</v>
      </c>
      <c r="B7">
        <v>101</v>
      </c>
      <c r="C7">
        <v>15</v>
      </c>
      <c r="D7">
        <v>24.7409</v>
      </c>
      <c r="E7">
        <v>679.64</v>
      </c>
    </row>
    <row r="8" spans="1:13">
      <c r="A8">
        <v>59</v>
      </c>
      <c r="B8">
        <v>101</v>
      </c>
      <c r="C8">
        <v>16</v>
      </c>
      <c r="D8">
        <v>48.378</v>
      </c>
      <c r="E8">
        <v>547.64509999999996</v>
      </c>
    </row>
    <row r="9" spans="1:13">
      <c r="A9">
        <v>60</v>
      </c>
      <c r="B9">
        <v>101</v>
      </c>
      <c r="C9">
        <v>17</v>
      </c>
      <c r="D9">
        <v>87.633899999999997</v>
      </c>
      <c r="E9">
        <v>992.38829999999996</v>
      </c>
      <c r="F9">
        <f>SUM(E7:E9)</f>
        <v>2219.6734000000001</v>
      </c>
    </row>
    <row r="12" spans="1:13">
      <c r="C12" s="23" t="s">
        <v>54</v>
      </c>
      <c r="D12" s="23" t="s">
        <v>55</v>
      </c>
      <c r="E12" s="23" t="s">
        <v>56</v>
      </c>
      <c r="F12" s="23" t="s">
        <v>57</v>
      </c>
      <c r="G12" s="23" t="s">
        <v>8</v>
      </c>
      <c r="H12" s="23" t="s">
        <v>58</v>
      </c>
      <c r="I12" s="23" t="s">
        <v>59</v>
      </c>
      <c r="J12" s="23"/>
      <c r="K12" s="23"/>
      <c r="L12" s="23"/>
    </row>
    <row r="13" spans="1:13">
      <c r="A13">
        <v>2194</v>
      </c>
      <c r="B13">
        <v>1</v>
      </c>
      <c r="C13">
        <v>16</v>
      </c>
      <c r="D13">
        <v>1</v>
      </c>
      <c r="E13">
        <v>2195</v>
      </c>
      <c r="F13" s="24">
        <v>44307.357627314814</v>
      </c>
      <c r="G13">
        <v>80.752799999999993</v>
      </c>
      <c r="H13">
        <v>280.20139999999998</v>
      </c>
      <c r="I13">
        <v>375.55</v>
      </c>
      <c r="J13">
        <v>1</v>
      </c>
      <c r="K13" t="s">
        <v>45</v>
      </c>
      <c r="L13" t="s">
        <v>45</v>
      </c>
      <c r="M13" t="s">
        <v>66</v>
      </c>
    </row>
    <row r="14" spans="1:13">
      <c r="A14">
        <v>2195</v>
      </c>
      <c r="B14">
        <v>1</v>
      </c>
      <c r="C14">
        <v>27</v>
      </c>
      <c r="D14">
        <v>0</v>
      </c>
      <c r="E14">
        <v>2194</v>
      </c>
      <c r="F14" s="24">
        <v>44307.357638888891</v>
      </c>
      <c r="G14">
        <v>1778.69</v>
      </c>
      <c r="H14">
        <v>12.7212</v>
      </c>
      <c r="I14">
        <v>17.050027851958401</v>
      </c>
      <c r="J14">
        <v>1</v>
      </c>
      <c r="K14" t="s">
        <v>45</v>
      </c>
      <c r="L14" t="s">
        <v>45</v>
      </c>
      <c r="M14" t="s">
        <v>67</v>
      </c>
    </row>
    <row r="15" spans="1:13">
      <c r="F15" s="24"/>
    </row>
    <row r="16" spans="1:13">
      <c r="A16" s="2"/>
      <c r="B16" s="17" t="s">
        <v>64</v>
      </c>
      <c r="C16" s="17" t="s">
        <v>65</v>
      </c>
      <c r="D16" s="17" t="s">
        <v>8</v>
      </c>
      <c r="E16" s="17" t="s">
        <v>51</v>
      </c>
      <c r="F16" s="24"/>
    </row>
    <row r="17" spans="1:13">
      <c r="A17">
        <v>2101</v>
      </c>
      <c r="B17">
        <v>2195</v>
      </c>
      <c r="C17">
        <v>15</v>
      </c>
      <c r="D17">
        <v>544.95190000000002</v>
      </c>
      <c r="E17">
        <v>679.64</v>
      </c>
    </row>
    <row r="18" spans="1:13">
      <c r="A18">
        <v>2102</v>
      </c>
      <c r="B18">
        <v>2195</v>
      </c>
      <c r="C18">
        <v>16</v>
      </c>
      <c r="D18">
        <v>1065.5911000000001</v>
      </c>
      <c r="E18">
        <v>547.64509999999996</v>
      </c>
    </row>
    <row r="19" spans="1:13">
      <c r="A19">
        <v>2103</v>
      </c>
      <c r="B19">
        <v>2195</v>
      </c>
      <c r="C19">
        <v>17</v>
      </c>
      <c r="D19">
        <v>168.14699999999999</v>
      </c>
      <c r="E19">
        <v>86.4482</v>
      </c>
      <c r="F19">
        <f>SUM(E17:E19)</f>
        <v>1313.7333000000001</v>
      </c>
    </row>
    <row r="21" spans="1:13">
      <c r="C21" s="23" t="s">
        <v>54</v>
      </c>
      <c r="D21" s="23" t="s">
        <v>55</v>
      </c>
      <c r="E21" s="23" t="s">
        <v>56</v>
      </c>
      <c r="F21" s="23" t="s">
        <v>57</v>
      </c>
      <c r="G21" s="23" t="s">
        <v>8</v>
      </c>
      <c r="H21" s="23" t="s">
        <v>58</v>
      </c>
      <c r="I21" s="23" t="s">
        <v>59</v>
      </c>
      <c r="J21" s="23"/>
      <c r="K21" s="23"/>
      <c r="L21" s="23"/>
    </row>
    <row r="22" spans="1:13">
      <c r="A22">
        <v>2196</v>
      </c>
      <c r="B22">
        <v>1</v>
      </c>
      <c r="C22">
        <v>16</v>
      </c>
      <c r="D22">
        <v>1</v>
      </c>
      <c r="E22">
        <v>2197</v>
      </c>
      <c r="F22" s="24">
        <v>44307.364293981482</v>
      </c>
      <c r="G22">
        <v>80</v>
      </c>
      <c r="H22">
        <v>280.20139999999998</v>
      </c>
      <c r="I22">
        <v>400</v>
      </c>
      <c r="J22">
        <v>1</v>
      </c>
      <c r="K22" t="s">
        <v>45</v>
      </c>
      <c r="L22" t="s">
        <v>45</v>
      </c>
      <c r="M22" t="s">
        <v>68</v>
      </c>
    </row>
    <row r="23" spans="1:13">
      <c r="A23">
        <v>2197</v>
      </c>
      <c r="B23">
        <v>1</v>
      </c>
      <c r="C23">
        <v>27</v>
      </c>
      <c r="D23">
        <v>0</v>
      </c>
      <c r="E23">
        <v>2196</v>
      </c>
      <c r="F23" s="24">
        <v>44307.364305555559</v>
      </c>
      <c r="G23">
        <v>18</v>
      </c>
      <c r="H23">
        <v>1245.3396</v>
      </c>
      <c r="I23">
        <v>1777.7777777777701</v>
      </c>
      <c r="J23">
        <v>1</v>
      </c>
      <c r="K23" t="s">
        <v>45</v>
      </c>
      <c r="L23" t="s">
        <v>45</v>
      </c>
      <c r="M23" t="s">
        <v>69</v>
      </c>
    </row>
    <row r="25" spans="1:13">
      <c r="A25" s="2"/>
      <c r="B25" s="17" t="s">
        <v>64</v>
      </c>
      <c r="C25" s="17" t="s">
        <v>65</v>
      </c>
      <c r="D25" s="17" t="s">
        <v>8</v>
      </c>
      <c r="E25" s="17" t="s">
        <v>51</v>
      </c>
      <c r="F25" s="24"/>
    </row>
    <row r="26" spans="1:13">
      <c r="A26">
        <v>2104</v>
      </c>
      <c r="B26">
        <v>2197</v>
      </c>
      <c r="C26">
        <v>17</v>
      </c>
      <c r="D26">
        <v>18</v>
      </c>
      <c r="E26">
        <v>905.94010000000003</v>
      </c>
      <c r="F26">
        <f>E26</f>
        <v>905.94010000000003</v>
      </c>
    </row>
    <row r="27" spans="1:13">
      <c r="F27">
        <f>+F9-F19-F26</f>
        <v>0</v>
      </c>
    </row>
    <row r="30" spans="1:13">
      <c r="A30">
        <v>1103</v>
      </c>
      <c r="B30">
        <v>1205</v>
      </c>
      <c r="C30">
        <v>15</v>
      </c>
      <c r="D30">
        <v>544.95190000000002</v>
      </c>
      <c r="E30">
        <v>679.64</v>
      </c>
    </row>
    <row r="31" spans="1:13">
      <c r="A31">
        <v>1104</v>
      </c>
      <c r="B31">
        <v>1205</v>
      </c>
      <c r="C31">
        <v>16</v>
      </c>
      <c r="D31">
        <v>1065.5911000000001</v>
      </c>
      <c r="E31">
        <v>547.64509999999996</v>
      </c>
    </row>
    <row r="32" spans="1:13">
      <c r="A32">
        <v>1105</v>
      </c>
      <c r="B32">
        <v>1205</v>
      </c>
      <c r="C32">
        <v>17</v>
      </c>
      <c r="D32">
        <v>168.14699999999999</v>
      </c>
      <c r="E32">
        <v>86.4482</v>
      </c>
    </row>
    <row r="33" spans="1:7">
      <c r="A33">
        <v>1106</v>
      </c>
      <c r="B33">
        <v>1207</v>
      </c>
      <c r="C33">
        <v>17</v>
      </c>
      <c r="D33">
        <v>1770</v>
      </c>
      <c r="E33">
        <v>905.94010000000003</v>
      </c>
      <c r="F33">
        <f>SUM(E32:E33)</f>
        <v>992.38830000000007</v>
      </c>
    </row>
    <row r="35" spans="1:7">
      <c r="A35">
        <v>1107</v>
      </c>
      <c r="B35">
        <v>1209</v>
      </c>
      <c r="C35">
        <v>15</v>
      </c>
      <c r="D35">
        <v>2303.4636999999998</v>
      </c>
      <c r="E35">
        <v>679.64</v>
      </c>
    </row>
    <row r="36" spans="1:7">
      <c r="A36">
        <v>1108</v>
      </c>
      <c r="B36">
        <v>1209</v>
      </c>
      <c r="C36">
        <v>16</v>
      </c>
      <c r="D36">
        <v>4504.1597000000002</v>
      </c>
      <c r="E36">
        <v>547.64509999999996</v>
      </c>
    </row>
    <row r="37" spans="1:7">
      <c r="A37">
        <v>1109</v>
      </c>
      <c r="B37">
        <v>1209</v>
      </c>
      <c r="C37">
        <v>17</v>
      </c>
      <c r="D37">
        <v>8192.3765999999996</v>
      </c>
      <c r="E37">
        <v>992.38829999999996</v>
      </c>
      <c r="F37">
        <f>SUM(E35:E37)</f>
        <v>2219.6734000000001</v>
      </c>
    </row>
    <row r="39" spans="1:7">
      <c r="A39">
        <v>1110</v>
      </c>
      <c r="B39">
        <v>1215</v>
      </c>
      <c r="C39">
        <v>15</v>
      </c>
      <c r="D39">
        <v>2303.4636999999998</v>
      </c>
      <c r="E39">
        <v>679.64</v>
      </c>
      <c r="F39">
        <f>E35-E39</f>
        <v>0</v>
      </c>
    </row>
    <row r="40" spans="1:7">
      <c r="A40">
        <v>1111</v>
      </c>
      <c r="B40">
        <v>1215</v>
      </c>
      <c r="C40">
        <v>16</v>
      </c>
      <c r="D40">
        <v>4504.1597000000002</v>
      </c>
      <c r="E40">
        <v>547.64509999999996</v>
      </c>
      <c r="F40">
        <f t="shared" ref="F40:F41" si="0">E36-E40</f>
        <v>0</v>
      </c>
    </row>
    <row r="41" spans="1:7">
      <c r="A41">
        <v>1112</v>
      </c>
      <c r="B41">
        <v>1215</v>
      </c>
      <c r="C41">
        <v>17</v>
      </c>
      <c r="D41">
        <v>8192.3765999999996</v>
      </c>
      <c r="E41">
        <v>992.38829999999996</v>
      </c>
      <c r="F41">
        <f t="shared" si="0"/>
        <v>0</v>
      </c>
    </row>
    <row r="43" spans="1:7">
      <c r="A43">
        <v>1113</v>
      </c>
      <c r="B43">
        <v>1217</v>
      </c>
      <c r="C43">
        <v>15</v>
      </c>
      <c r="D43">
        <v>2303.4636999999998</v>
      </c>
      <c r="E43">
        <v>679.64</v>
      </c>
      <c r="F43">
        <f t="shared" ref="F43:G45" si="1">D39-D43</f>
        <v>0</v>
      </c>
      <c r="G43">
        <f t="shared" si="1"/>
        <v>0</v>
      </c>
    </row>
    <row r="44" spans="1:7">
      <c r="A44">
        <v>1114</v>
      </c>
      <c r="B44">
        <v>1217</v>
      </c>
      <c r="C44">
        <v>16</v>
      </c>
      <c r="D44">
        <v>4504.1597000000002</v>
      </c>
      <c r="E44">
        <v>547.64509999999996</v>
      </c>
      <c r="F44">
        <f t="shared" si="1"/>
        <v>0</v>
      </c>
      <c r="G44">
        <f t="shared" si="1"/>
        <v>0</v>
      </c>
    </row>
    <row r="45" spans="1:7">
      <c r="A45">
        <v>1115</v>
      </c>
      <c r="B45">
        <v>1217</v>
      </c>
      <c r="C45">
        <v>17</v>
      </c>
      <c r="D45">
        <v>8192.3765999999996</v>
      </c>
      <c r="E45">
        <v>992.38829999999996</v>
      </c>
      <c r="F45">
        <f t="shared" si="1"/>
        <v>0</v>
      </c>
      <c r="G45">
        <f t="shared" si="1"/>
        <v>0</v>
      </c>
    </row>
    <row r="47" spans="1:7">
      <c r="A47">
        <v>1116</v>
      </c>
      <c r="B47">
        <v>1225</v>
      </c>
      <c r="C47">
        <v>15</v>
      </c>
      <c r="D47">
        <v>2303.4636999999998</v>
      </c>
      <c r="E47">
        <v>679.64</v>
      </c>
      <c r="F47">
        <f t="shared" ref="F47:G49" si="2">D43-D47</f>
        <v>0</v>
      </c>
      <c r="G47">
        <f t="shared" si="2"/>
        <v>0</v>
      </c>
    </row>
    <row r="48" spans="1:7">
      <c r="A48">
        <v>1117</v>
      </c>
      <c r="B48">
        <v>1225</v>
      </c>
      <c r="C48">
        <v>16</v>
      </c>
      <c r="D48">
        <v>4504.1597000000002</v>
      </c>
      <c r="E48">
        <v>547.64509999999996</v>
      </c>
      <c r="F48">
        <f t="shared" si="2"/>
        <v>0</v>
      </c>
      <c r="G48">
        <f t="shared" si="2"/>
        <v>0</v>
      </c>
    </row>
    <row r="49" spans="1:7">
      <c r="A49">
        <v>1118</v>
      </c>
      <c r="B49">
        <v>1225</v>
      </c>
      <c r="C49">
        <v>17</v>
      </c>
      <c r="D49">
        <v>8192.3765999999996</v>
      </c>
      <c r="E49">
        <v>992.38829999999996</v>
      </c>
      <c r="F49">
        <f t="shared" si="2"/>
        <v>0</v>
      </c>
      <c r="G49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98"/>
  <sheetViews>
    <sheetView zoomScale="115" zoomScaleNormal="115" workbookViewId="0">
      <pane ySplit="1" topLeftCell="A23" activePane="bottomLeft" state="frozen"/>
      <selection pane="bottomLeft" activeCell="B5" sqref="B5"/>
    </sheetView>
  </sheetViews>
  <sheetFormatPr defaultRowHeight="14.5"/>
  <cols>
    <col min="1" max="1" width="5.90625" customWidth="1"/>
    <col min="4" max="4" width="10.54296875" bestFit="1" customWidth="1"/>
    <col min="5" max="5" width="11" customWidth="1"/>
    <col min="6" max="6" width="19.81640625" hidden="1" customWidth="1"/>
    <col min="7" max="7" width="2.1796875" customWidth="1"/>
    <col min="8" max="8" width="5.90625" customWidth="1"/>
    <col min="11" max="12" width="11.453125" customWidth="1"/>
    <col min="13" max="13" width="20.36328125" hidden="1" customWidth="1"/>
    <col min="14" max="14" width="2.08984375" customWidth="1"/>
    <col min="17" max="17" width="10.7265625" customWidth="1"/>
    <col min="18" max="18" width="10.54296875" customWidth="1"/>
    <col min="19" max="19" width="2.08984375" customWidth="1"/>
  </cols>
  <sheetData>
    <row r="1" spans="1:18">
      <c r="A1" s="17" t="s">
        <v>15</v>
      </c>
      <c r="B1" s="17" t="s">
        <v>162</v>
      </c>
      <c r="C1" s="17" t="s">
        <v>163</v>
      </c>
      <c r="D1" s="17" t="s">
        <v>8</v>
      </c>
      <c r="E1" s="17" t="s">
        <v>18</v>
      </c>
      <c r="H1" s="17" t="s">
        <v>15</v>
      </c>
      <c r="I1" s="17" t="s">
        <v>162</v>
      </c>
      <c r="J1" s="17" t="s">
        <v>163</v>
      </c>
      <c r="K1" s="17" t="s">
        <v>8</v>
      </c>
      <c r="L1" s="17" t="s">
        <v>18</v>
      </c>
      <c r="O1" s="17" t="s">
        <v>162</v>
      </c>
      <c r="P1" s="17" t="s">
        <v>163</v>
      </c>
      <c r="Q1" s="17" t="s">
        <v>8</v>
      </c>
      <c r="R1" s="17" t="s">
        <v>18</v>
      </c>
    </row>
    <row r="2" spans="1:18">
      <c r="A2">
        <v>12</v>
      </c>
      <c r="B2">
        <v>1</v>
      </c>
      <c r="C2">
        <v>1</v>
      </c>
      <c r="D2">
        <v>325.52199999999999</v>
      </c>
      <c r="E2">
        <v>325.52199999999999</v>
      </c>
      <c r="F2" t="s">
        <v>81</v>
      </c>
      <c r="H2">
        <v>12</v>
      </c>
      <c r="I2">
        <v>1</v>
      </c>
      <c r="J2">
        <v>1</v>
      </c>
      <c r="K2">
        <v>325.52199999999999</v>
      </c>
      <c r="L2">
        <v>325.52199999999999</v>
      </c>
      <c r="M2" t="s">
        <v>178</v>
      </c>
      <c r="O2">
        <f>B2-I2</f>
        <v>0</v>
      </c>
      <c r="P2">
        <f t="shared" ref="P2" si="0">C2-J2</f>
        <v>0</v>
      </c>
      <c r="Q2">
        <f t="shared" ref="Q2" si="1">D2-K2</f>
        <v>0</v>
      </c>
      <c r="R2">
        <f t="shared" ref="R2" si="2">E2-L2</f>
        <v>0</v>
      </c>
    </row>
    <row r="3" spans="1:18">
      <c r="A3">
        <v>13</v>
      </c>
      <c r="B3">
        <v>2</v>
      </c>
      <c r="C3">
        <v>2</v>
      </c>
      <c r="D3">
        <v>1267.6880000000001</v>
      </c>
      <c r="E3">
        <v>1267.6880000000001</v>
      </c>
      <c r="F3" t="s">
        <v>82</v>
      </c>
      <c r="H3">
        <v>13</v>
      </c>
      <c r="I3">
        <v>2</v>
      </c>
      <c r="J3">
        <v>2</v>
      </c>
      <c r="K3">
        <v>1267.6880000000001</v>
      </c>
      <c r="L3">
        <v>1267.6880000000001</v>
      </c>
      <c r="M3" t="s">
        <v>179</v>
      </c>
      <c r="O3">
        <f t="shared" ref="O3:O66" si="3">B3-I3</f>
        <v>0</v>
      </c>
      <c r="P3">
        <f t="shared" ref="P3:P66" si="4">C3-J3</f>
        <v>0</v>
      </c>
      <c r="Q3">
        <f t="shared" ref="Q3:Q66" si="5">D3-K3</f>
        <v>0</v>
      </c>
      <c r="R3">
        <f t="shared" ref="R3:R66" si="6">E3-L3</f>
        <v>0</v>
      </c>
    </row>
    <row r="4" spans="1:18">
      <c r="A4">
        <v>21</v>
      </c>
      <c r="B4">
        <v>3</v>
      </c>
      <c r="C4">
        <v>3</v>
      </c>
      <c r="D4">
        <v>522.37400000000002</v>
      </c>
      <c r="E4">
        <v>522.37400000000002</v>
      </c>
      <c r="F4" t="s">
        <v>90</v>
      </c>
      <c r="H4">
        <v>21</v>
      </c>
      <c r="I4">
        <v>3</v>
      </c>
      <c r="J4">
        <v>3</v>
      </c>
      <c r="K4">
        <v>522.37400000000002</v>
      </c>
      <c r="L4">
        <v>522.37400000000002</v>
      </c>
      <c r="M4" t="s">
        <v>187</v>
      </c>
      <c r="O4">
        <f t="shared" si="3"/>
        <v>0</v>
      </c>
      <c r="P4">
        <f t="shared" si="4"/>
        <v>0</v>
      </c>
      <c r="Q4">
        <f t="shared" si="5"/>
        <v>0</v>
      </c>
      <c r="R4">
        <f t="shared" si="6"/>
        <v>0</v>
      </c>
    </row>
    <row r="5" spans="1:18">
      <c r="A5">
        <v>28</v>
      </c>
      <c r="B5">
        <v>7</v>
      </c>
      <c r="C5">
        <v>7</v>
      </c>
      <c r="D5">
        <v>24.091999999999999</v>
      </c>
      <c r="E5">
        <v>24.091999999999999</v>
      </c>
      <c r="F5" t="s">
        <v>97</v>
      </c>
      <c r="H5">
        <v>28</v>
      </c>
      <c r="I5">
        <v>7</v>
      </c>
      <c r="J5">
        <v>7</v>
      </c>
      <c r="K5">
        <v>24.091999999999999</v>
      </c>
      <c r="L5">
        <v>24.091999999999999</v>
      </c>
      <c r="M5" t="s">
        <v>194</v>
      </c>
      <c r="O5">
        <f t="shared" si="3"/>
        <v>0</v>
      </c>
      <c r="P5">
        <f t="shared" si="4"/>
        <v>0</v>
      </c>
      <c r="Q5">
        <f t="shared" si="5"/>
        <v>0</v>
      </c>
      <c r="R5">
        <f t="shared" si="6"/>
        <v>0</v>
      </c>
    </row>
    <row r="6" spans="1:18">
      <c r="A6">
        <v>31</v>
      </c>
      <c r="B6">
        <v>11</v>
      </c>
      <c r="C6">
        <v>11</v>
      </c>
      <c r="D6">
        <v>28.28</v>
      </c>
      <c r="E6">
        <v>28.28</v>
      </c>
      <c r="F6" t="s">
        <v>100</v>
      </c>
      <c r="H6">
        <v>31</v>
      </c>
      <c r="I6">
        <v>11</v>
      </c>
      <c r="J6">
        <v>11</v>
      </c>
      <c r="K6">
        <v>28.28</v>
      </c>
      <c r="L6">
        <v>28.28</v>
      </c>
      <c r="M6" t="s">
        <v>197</v>
      </c>
      <c r="O6">
        <f t="shared" si="3"/>
        <v>0</v>
      </c>
      <c r="P6">
        <f t="shared" si="4"/>
        <v>0</v>
      </c>
      <c r="Q6">
        <f t="shared" si="5"/>
        <v>0</v>
      </c>
      <c r="R6">
        <f t="shared" si="6"/>
        <v>0</v>
      </c>
    </row>
    <row r="7" spans="1:18">
      <c r="A7">
        <v>32</v>
      </c>
      <c r="B7">
        <v>12</v>
      </c>
      <c r="C7">
        <v>12</v>
      </c>
      <c r="D7">
        <v>134.86000000000001</v>
      </c>
      <c r="E7">
        <v>134.86000000000001</v>
      </c>
      <c r="F7" t="s">
        <v>101</v>
      </c>
      <c r="H7">
        <v>32</v>
      </c>
      <c r="I7">
        <v>12</v>
      </c>
      <c r="J7">
        <v>12</v>
      </c>
      <c r="K7">
        <v>134.86000000000001</v>
      </c>
      <c r="L7">
        <v>134.86000000000001</v>
      </c>
      <c r="M7" t="s">
        <v>198</v>
      </c>
      <c r="O7">
        <f t="shared" si="3"/>
        <v>0</v>
      </c>
      <c r="P7">
        <f t="shared" si="4"/>
        <v>0</v>
      </c>
      <c r="Q7">
        <f t="shared" si="5"/>
        <v>0</v>
      </c>
      <c r="R7">
        <f t="shared" si="6"/>
        <v>0</v>
      </c>
    </row>
    <row r="8" spans="1:18">
      <c r="A8">
        <v>1</v>
      </c>
      <c r="B8">
        <v>15</v>
      </c>
      <c r="C8">
        <v>15</v>
      </c>
      <c r="D8">
        <v>679.64</v>
      </c>
      <c r="E8">
        <v>679.64</v>
      </c>
      <c r="F8" t="s">
        <v>70</v>
      </c>
      <c r="H8">
        <v>1</v>
      </c>
      <c r="I8">
        <v>15</v>
      </c>
      <c r="J8">
        <v>15</v>
      </c>
      <c r="K8">
        <v>679.64</v>
      </c>
      <c r="L8">
        <v>679.64</v>
      </c>
      <c r="M8" t="s">
        <v>167</v>
      </c>
      <c r="O8">
        <f t="shared" si="3"/>
        <v>0</v>
      </c>
      <c r="P8">
        <f t="shared" si="4"/>
        <v>0</v>
      </c>
      <c r="Q8">
        <f t="shared" si="5"/>
        <v>0</v>
      </c>
      <c r="R8">
        <f t="shared" si="6"/>
        <v>0</v>
      </c>
    </row>
    <row r="9" spans="1:18">
      <c r="A9">
        <v>10</v>
      </c>
      <c r="B9">
        <v>16</v>
      </c>
      <c r="C9">
        <v>16</v>
      </c>
      <c r="D9">
        <v>547.64509999999996</v>
      </c>
      <c r="E9">
        <v>547.64509999999996</v>
      </c>
      <c r="F9" t="s">
        <v>79</v>
      </c>
      <c r="H9">
        <v>10</v>
      </c>
      <c r="I9">
        <v>16</v>
      </c>
      <c r="J9">
        <v>16</v>
      </c>
      <c r="K9">
        <v>547.64509999999996</v>
      </c>
      <c r="L9">
        <v>547.64509999999996</v>
      </c>
      <c r="M9" t="s">
        <v>176</v>
      </c>
      <c r="O9">
        <f t="shared" si="3"/>
        <v>0</v>
      </c>
      <c r="P9">
        <f t="shared" si="4"/>
        <v>0</v>
      </c>
      <c r="Q9">
        <f t="shared" si="5"/>
        <v>0</v>
      </c>
      <c r="R9">
        <f t="shared" si="6"/>
        <v>0</v>
      </c>
    </row>
    <row r="10" spans="1:18">
      <c r="A10">
        <v>18</v>
      </c>
      <c r="B10">
        <v>17</v>
      </c>
      <c r="C10">
        <v>17</v>
      </c>
      <c r="D10">
        <v>1010.611</v>
      </c>
      <c r="E10">
        <v>1010.611</v>
      </c>
      <c r="F10" t="s">
        <v>87</v>
      </c>
      <c r="H10">
        <v>18</v>
      </c>
      <c r="I10">
        <v>17</v>
      </c>
      <c r="J10">
        <v>17</v>
      </c>
      <c r="K10">
        <v>1010.611</v>
      </c>
      <c r="L10">
        <v>1010.611</v>
      </c>
      <c r="M10" t="s">
        <v>184</v>
      </c>
      <c r="O10">
        <f t="shared" si="3"/>
        <v>0</v>
      </c>
      <c r="P10">
        <f t="shared" si="4"/>
        <v>0</v>
      </c>
      <c r="Q10">
        <f t="shared" si="5"/>
        <v>0</v>
      </c>
      <c r="R10">
        <f t="shared" si="6"/>
        <v>0</v>
      </c>
    </row>
    <row r="11" spans="1:18">
      <c r="A11">
        <v>19</v>
      </c>
      <c r="B11">
        <v>24</v>
      </c>
      <c r="C11">
        <v>15</v>
      </c>
      <c r="D11">
        <v>280.07</v>
      </c>
      <c r="E11">
        <v>679.64</v>
      </c>
      <c r="F11" t="s">
        <v>88</v>
      </c>
      <c r="H11">
        <v>19</v>
      </c>
      <c r="I11">
        <v>24</v>
      </c>
      <c r="J11">
        <v>15</v>
      </c>
      <c r="K11">
        <v>280.07</v>
      </c>
      <c r="L11">
        <v>679.64</v>
      </c>
      <c r="M11" t="s">
        <v>185</v>
      </c>
      <c r="O11">
        <f t="shared" si="3"/>
        <v>0</v>
      </c>
      <c r="P11">
        <f t="shared" si="4"/>
        <v>0</v>
      </c>
      <c r="Q11">
        <f t="shared" si="5"/>
        <v>0</v>
      </c>
      <c r="R11">
        <f t="shared" si="6"/>
        <v>0</v>
      </c>
    </row>
    <row r="12" spans="1:18">
      <c r="A12">
        <v>22</v>
      </c>
      <c r="B12">
        <v>26</v>
      </c>
      <c r="C12">
        <v>15</v>
      </c>
      <c r="D12">
        <v>37.988199999999999</v>
      </c>
      <c r="E12">
        <v>679.64</v>
      </c>
      <c r="F12" t="s">
        <v>91</v>
      </c>
      <c r="H12">
        <v>22</v>
      </c>
      <c r="I12">
        <v>26</v>
      </c>
      <c r="J12">
        <v>15</v>
      </c>
      <c r="K12">
        <v>37.988199999999999</v>
      </c>
      <c r="L12">
        <v>679.64009999999996</v>
      </c>
      <c r="M12" t="s">
        <v>188</v>
      </c>
      <c r="O12">
        <f t="shared" si="3"/>
        <v>0</v>
      </c>
      <c r="P12">
        <f t="shared" si="4"/>
        <v>0</v>
      </c>
      <c r="Q12">
        <f t="shared" si="5"/>
        <v>0</v>
      </c>
      <c r="R12">
        <f t="shared" si="6"/>
        <v>-9.9999999974897946E-5</v>
      </c>
    </row>
    <row r="13" spans="1:18">
      <c r="A13">
        <v>23</v>
      </c>
      <c r="B13">
        <v>26</v>
      </c>
      <c r="C13">
        <v>16</v>
      </c>
      <c r="D13">
        <v>74.281599999999997</v>
      </c>
      <c r="E13">
        <v>547.64509999999996</v>
      </c>
      <c r="F13" t="s">
        <v>92</v>
      </c>
      <c r="H13">
        <v>23</v>
      </c>
      <c r="I13">
        <v>26</v>
      </c>
      <c r="J13">
        <v>16</v>
      </c>
      <c r="K13">
        <v>74.281499999999994</v>
      </c>
      <c r="L13">
        <v>547.64509999999996</v>
      </c>
      <c r="M13" t="s">
        <v>189</v>
      </c>
      <c r="O13">
        <f t="shared" si="3"/>
        <v>0</v>
      </c>
      <c r="P13">
        <f t="shared" si="4"/>
        <v>0</v>
      </c>
      <c r="Q13">
        <f t="shared" si="5"/>
        <v>1.0000000000331966E-4</v>
      </c>
      <c r="R13">
        <f t="shared" si="6"/>
        <v>0</v>
      </c>
    </row>
    <row r="14" spans="1:18">
      <c r="A14">
        <v>24</v>
      </c>
      <c r="B14">
        <v>26</v>
      </c>
      <c r="C14">
        <v>17</v>
      </c>
      <c r="D14">
        <v>137.07730000000001</v>
      </c>
      <c r="E14">
        <v>1010.611</v>
      </c>
      <c r="F14" t="s">
        <v>93</v>
      </c>
      <c r="H14">
        <v>24</v>
      </c>
      <c r="I14">
        <v>26</v>
      </c>
      <c r="J14">
        <v>17</v>
      </c>
      <c r="K14">
        <v>137.07740000000001</v>
      </c>
      <c r="L14">
        <v>1010.611</v>
      </c>
      <c r="M14" t="s">
        <v>190</v>
      </c>
      <c r="O14">
        <f t="shared" si="3"/>
        <v>0</v>
      </c>
      <c r="P14">
        <f t="shared" si="4"/>
        <v>0</v>
      </c>
      <c r="Q14">
        <f t="shared" si="5"/>
        <v>-1.0000000000331966E-4</v>
      </c>
      <c r="R14">
        <f t="shared" si="6"/>
        <v>0</v>
      </c>
    </row>
    <row r="15" spans="1:18">
      <c r="A15">
        <v>29</v>
      </c>
      <c r="B15">
        <v>27</v>
      </c>
      <c r="C15">
        <v>27</v>
      </c>
      <c r="D15">
        <v>58.502000000000002</v>
      </c>
      <c r="E15">
        <v>58.502000000000002</v>
      </c>
      <c r="F15" t="s">
        <v>98</v>
      </c>
      <c r="H15">
        <v>29</v>
      </c>
      <c r="I15">
        <v>27</v>
      </c>
      <c r="J15">
        <v>27</v>
      </c>
      <c r="K15">
        <v>58.502000000000002</v>
      </c>
      <c r="L15">
        <v>58.502000000000002</v>
      </c>
      <c r="M15" t="s">
        <v>195</v>
      </c>
      <c r="O15">
        <f t="shared" si="3"/>
        <v>0</v>
      </c>
      <c r="P15">
        <f t="shared" si="4"/>
        <v>0</v>
      </c>
      <c r="Q15">
        <f t="shared" si="5"/>
        <v>0</v>
      </c>
      <c r="R15">
        <f t="shared" si="6"/>
        <v>0</v>
      </c>
    </row>
    <row r="16" spans="1:18">
      <c r="A16">
        <v>36</v>
      </c>
      <c r="B16">
        <v>29</v>
      </c>
      <c r="C16">
        <v>15</v>
      </c>
      <c r="D16">
        <v>358.11520000000002</v>
      </c>
      <c r="E16">
        <v>679.64</v>
      </c>
      <c r="F16" t="s">
        <v>105</v>
      </c>
      <c r="H16">
        <v>36</v>
      </c>
      <c r="I16">
        <v>29</v>
      </c>
      <c r="J16">
        <v>15</v>
      </c>
      <c r="K16">
        <v>358.11520000000002</v>
      </c>
      <c r="L16">
        <v>679.64009999999996</v>
      </c>
      <c r="M16" t="s">
        <v>202</v>
      </c>
      <c r="O16">
        <f t="shared" si="3"/>
        <v>0</v>
      </c>
      <c r="P16">
        <f t="shared" si="4"/>
        <v>0</v>
      </c>
      <c r="Q16">
        <f t="shared" si="5"/>
        <v>0</v>
      </c>
      <c r="R16">
        <f t="shared" si="6"/>
        <v>-9.9999999974897946E-5</v>
      </c>
    </row>
    <row r="17" spans="1:18">
      <c r="A17">
        <v>37</v>
      </c>
      <c r="B17">
        <v>29</v>
      </c>
      <c r="C17">
        <v>16</v>
      </c>
      <c r="D17">
        <v>700.25350000000003</v>
      </c>
      <c r="E17">
        <v>547.64509999999996</v>
      </c>
      <c r="F17" t="s">
        <v>106</v>
      </c>
      <c r="H17">
        <v>37</v>
      </c>
      <c r="I17">
        <v>29</v>
      </c>
      <c r="J17">
        <v>16</v>
      </c>
      <c r="K17">
        <v>700.25260000000003</v>
      </c>
      <c r="L17">
        <v>547.64509999999996</v>
      </c>
      <c r="M17" t="s">
        <v>203</v>
      </c>
      <c r="O17">
        <f t="shared" si="3"/>
        <v>0</v>
      </c>
      <c r="P17">
        <f t="shared" si="4"/>
        <v>0</v>
      </c>
      <c r="Q17">
        <f t="shared" si="5"/>
        <v>9.0000000000145519E-4</v>
      </c>
      <c r="R17">
        <f t="shared" si="6"/>
        <v>0</v>
      </c>
    </row>
    <row r="18" spans="1:18">
      <c r="A18">
        <v>38</v>
      </c>
      <c r="B18">
        <v>29</v>
      </c>
      <c r="C18">
        <v>17</v>
      </c>
      <c r="D18">
        <v>1288.9573</v>
      </c>
      <c r="E18">
        <v>1008.0512</v>
      </c>
      <c r="F18" t="s">
        <v>107</v>
      </c>
      <c r="H18">
        <v>38</v>
      </c>
      <c r="I18">
        <v>29</v>
      </c>
      <c r="J18">
        <v>17</v>
      </c>
      <c r="K18">
        <v>1288.9582</v>
      </c>
      <c r="L18">
        <v>1008.052</v>
      </c>
      <c r="M18" t="s">
        <v>204</v>
      </c>
      <c r="O18">
        <f t="shared" si="3"/>
        <v>0</v>
      </c>
      <c r="P18">
        <f t="shared" si="4"/>
        <v>0</v>
      </c>
      <c r="Q18">
        <f t="shared" si="5"/>
        <v>-9.0000000000145519E-4</v>
      </c>
      <c r="R18">
        <f t="shared" si="6"/>
        <v>-8.0000000002655725E-4</v>
      </c>
    </row>
    <row r="19" spans="1:18">
      <c r="A19">
        <v>40</v>
      </c>
      <c r="B19">
        <v>31</v>
      </c>
      <c r="C19">
        <v>15</v>
      </c>
      <c r="D19">
        <v>39.353999999999999</v>
      </c>
      <c r="E19">
        <v>679.64</v>
      </c>
      <c r="F19" t="s">
        <v>109</v>
      </c>
      <c r="H19">
        <v>40</v>
      </c>
      <c r="I19">
        <v>31</v>
      </c>
      <c r="J19">
        <v>15</v>
      </c>
      <c r="K19">
        <v>39.353999999999999</v>
      </c>
      <c r="L19">
        <v>679.64009999999996</v>
      </c>
      <c r="M19" t="s">
        <v>206</v>
      </c>
      <c r="O19">
        <f t="shared" si="3"/>
        <v>0</v>
      </c>
      <c r="P19">
        <f t="shared" si="4"/>
        <v>0</v>
      </c>
      <c r="Q19">
        <f t="shared" si="5"/>
        <v>0</v>
      </c>
      <c r="R19">
        <f t="shared" si="6"/>
        <v>-9.9999999974897946E-5</v>
      </c>
    </row>
    <row r="20" spans="1:18">
      <c r="A20">
        <v>41</v>
      </c>
      <c r="B20">
        <v>31</v>
      </c>
      <c r="C20">
        <v>16</v>
      </c>
      <c r="D20">
        <v>76.952299999999994</v>
      </c>
      <c r="E20">
        <v>547.64509999999996</v>
      </c>
      <c r="F20" t="s">
        <v>110</v>
      </c>
      <c r="H20">
        <v>41</v>
      </c>
      <c r="I20">
        <v>31</v>
      </c>
      <c r="J20">
        <v>16</v>
      </c>
      <c r="K20">
        <v>76.952200000000005</v>
      </c>
      <c r="L20">
        <v>547.64509999999996</v>
      </c>
      <c r="M20" t="s">
        <v>207</v>
      </c>
      <c r="O20">
        <f t="shared" si="3"/>
        <v>0</v>
      </c>
      <c r="P20">
        <f t="shared" si="4"/>
        <v>0</v>
      </c>
      <c r="Q20">
        <f t="shared" si="5"/>
        <v>9.9999999989108801E-5</v>
      </c>
      <c r="R20">
        <f t="shared" si="6"/>
        <v>0</v>
      </c>
    </row>
    <row r="21" spans="1:18">
      <c r="A21">
        <v>42</v>
      </c>
      <c r="B21">
        <v>31</v>
      </c>
      <c r="C21">
        <v>17</v>
      </c>
      <c r="D21">
        <v>141.64619999999999</v>
      </c>
      <c r="E21">
        <v>1008.0512</v>
      </c>
      <c r="F21" t="s">
        <v>111</v>
      </c>
      <c r="H21">
        <v>42</v>
      </c>
      <c r="I21">
        <v>31</v>
      </c>
      <c r="J21">
        <v>17</v>
      </c>
      <c r="K21">
        <v>141.44540000000001</v>
      </c>
      <c r="L21">
        <v>1006.6224</v>
      </c>
      <c r="M21" t="s">
        <v>208</v>
      </c>
      <c r="O21">
        <f t="shared" si="3"/>
        <v>0</v>
      </c>
      <c r="P21">
        <f t="shared" si="4"/>
        <v>0</v>
      </c>
      <c r="Q21">
        <f t="shared" si="5"/>
        <v>0.20079999999998677</v>
      </c>
      <c r="R21">
        <f t="shared" si="6"/>
        <v>1.4288000000000238</v>
      </c>
    </row>
    <row r="22" spans="1:18">
      <c r="A22">
        <v>43</v>
      </c>
      <c r="B22">
        <v>31</v>
      </c>
      <c r="C22">
        <v>27</v>
      </c>
      <c r="D22">
        <v>6.2279999999999998</v>
      </c>
      <c r="E22">
        <v>56.674100000000003</v>
      </c>
      <c r="F22" t="s">
        <v>112</v>
      </c>
      <c r="H22">
        <v>43</v>
      </c>
      <c r="I22">
        <v>31</v>
      </c>
      <c r="J22">
        <v>27</v>
      </c>
      <c r="K22">
        <v>6.4288999999999996</v>
      </c>
      <c r="L22">
        <v>58.502000000000002</v>
      </c>
      <c r="M22" t="s">
        <v>209</v>
      </c>
      <c r="O22">
        <f t="shared" si="3"/>
        <v>0</v>
      </c>
      <c r="P22">
        <f t="shared" si="4"/>
        <v>0</v>
      </c>
      <c r="Q22">
        <f t="shared" si="5"/>
        <v>-0.20089999999999986</v>
      </c>
      <c r="R22">
        <f t="shared" si="6"/>
        <v>-1.8278999999999996</v>
      </c>
    </row>
    <row r="23" spans="1:18">
      <c r="A23">
        <v>11</v>
      </c>
      <c r="B23">
        <v>32</v>
      </c>
      <c r="C23">
        <v>32</v>
      </c>
      <c r="D23">
        <v>5006.5078999999996</v>
      </c>
      <c r="E23">
        <v>5006.5078999999996</v>
      </c>
      <c r="F23" t="s">
        <v>80</v>
      </c>
      <c r="H23">
        <v>11</v>
      </c>
      <c r="I23">
        <v>32</v>
      </c>
      <c r="J23">
        <v>32</v>
      </c>
      <c r="K23">
        <v>5006.5078999999996</v>
      </c>
      <c r="L23">
        <v>5006.5078999999996</v>
      </c>
      <c r="M23" t="s">
        <v>177</v>
      </c>
      <c r="O23">
        <f t="shared" si="3"/>
        <v>0</v>
      </c>
      <c r="P23">
        <f t="shared" si="4"/>
        <v>0</v>
      </c>
      <c r="Q23">
        <f t="shared" si="5"/>
        <v>0</v>
      </c>
      <c r="R23">
        <f t="shared" si="6"/>
        <v>0</v>
      </c>
    </row>
    <row r="24" spans="1:18">
      <c r="A24">
        <v>20</v>
      </c>
      <c r="B24">
        <v>34</v>
      </c>
      <c r="C24">
        <v>32</v>
      </c>
      <c r="D24">
        <v>394.85</v>
      </c>
      <c r="E24">
        <v>5006.5078999999996</v>
      </c>
      <c r="F24" t="s">
        <v>89</v>
      </c>
      <c r="H24">
        <v>20</v>
      </c>
      <c r="I24">
        <v>34</v>
      </c>
      <c r="J24">
        <v>32</v>
      </c>
      <c r="K24">
        <v>394.85</v>
      </c>
      <c r="L24">
        <v>5006.5078999999996</v>
      </c>
      <c r="M24" t="s">
        <v>186</v>
      </c>
      <c r="O24">
        <f t="shared" si="3"/>
        <v>0</v>
      </c>
      <c r="P24">
        <f t="shared" si="4"/>
        <v>0</v>
      </c>
      <c r="Q24">
        <f t="shared" si="5"/>
        <v>0</v>
      </c>
      <c r="R24">
        <f t="shared" si="6"/>
        <v>0</v>
      </c>
    </row>
    <row r="25" spans="1:18">
      <c r="A25">
        <v>14</v>
      </c>
      <c r="B25">
        <v>35</v>
      </c>
      <c r="C25">
        <v>35</v>
      </c>
      <c r="D25">
        <v>21.84</v>
      </c>
      <c r="E25">
        <v>21.84</v>
      </c>
      <c r="F25" t="s">
        <v>83</v>
      </c>
      <c r="H25">
        <v>14</v>
      </c>
      <c r="I25">
        <v>35</v>
      </c>
      <c r="J25">
        <v>35</v>
      </c>
      <c r="K25">
        <v>21.84</v>
      </c>
      <c r="L25">
        <v>21.84</v>
      </c>
      <c r="M25" t="s">
        <v>180</v>
      </c>
      <c r="O25">
        <f t="shared" si="3"/>
        <v>0</v>
      </c>
      <c r="P25">
        <f t="shared" si="4"/>
        <v>0</v>
      </c>
      <c r="Q25">
        <f t="shared" si="5"/>
        <v>0</v>
      </c>
      <c r="R25">
        <f t="shared" si="6"/>
        <v>0</v>
      </c>
    </row>
    <row r="26" spans="1:18">
      <c r="A26">
        <v>30</v>
      </c>
      <c r="B26">
        <v>37</v>
      </c>
      <c r="C26">
        <v>37</v>
      </c>
      <c r="D26">
        <v>76.745999999999995</v>
      </c>
      <c r="E26">
        <v>76.745999999999995</v>
      </c>
      <c r="F26" t="s">
        <v>99</v>
      </c>
      <c r="H26">
        <v>30</v>
      </c>
      <c r="I26">
        <v>37</v>
      </c>
      <c r="J26">
        <v>37</v>
      </c>
      <c r="K26">
        <v>76.745999999999995</v>
      </c>
      <c r="L26">
        <v>76.745999999999995</v>
      </c>
      <c r="M26" t="s">
        <v>196</v>
      </c>
      <c r="O26">
        <f t="shared" si="3"/>
        <v>0</v>
      </c>
      <c r="P26">
        <f t="shared" si="4"/>
        <v>0</v>
      </c>
      <c r="Q26">
        <f t="shared" si="5"/>
        <v>0</v>
      </c>
      <c r="R26">
        <f t="shared" si="6"/>
        <v>0</v>
      </c>
    </row>
    <row r="27" spans="1:18">
      <c r="A27">
        <v>34</v>
      </c>
      <c r="B27">
        <v>39</v>
      </c>
      <c r="C27">
        <v>37</v>
      </c>
      <c r="D27">
        <v>3.1440000000000001</v>
      </c>
      <c r="E27">
        <v>75</v>
      </c>
      <c r="F27" t="s">
        <v>103</v>
      </c>
      <c r="H27">
        <v>34</v>
      </c>
      <c r="I27">
        <v>39</v>
      </c>
      <c r="J27">
        <v>37</v>
      </c>
      <c r="K27">
        <v>3.1440000000000001</v>
      </c>
      <c r="L27">
        <v>75</v>
      </c>
      <c r="M27" t="s">
        <v>200</v>
      </c>
      <c r="O27">
        <f t="shared" si="3"/>
        <v>0</v>
      </c>
      <c r="P27">
        <f t="shared" si="4"/>
        <v>0</v>
      </c>
      <c r="Q27">
        <f t="shared" si="5"/>
        <v>0</v>
      </c>
      <c r="R27">
        <f t="shared" si="6"/>
        <v>0</v>
      </c>
    </row>
    <row r="28" spans="1:18">
      <c r="A28">
        <v>46</v>
      </c>
      <c r="B28">
        <v>41</v>
      </c>
      <c r="C28">
        <v>7</v>
      </c>
      <c r="D28">
        <v>174.22900000000001</v>
      </c>
      <c r="E28">
        <v>15</v>
      </c>
      <c r="F28" t="s">
        <v>115</v>
      </c>
      <c r="H28">
        <v>46</v>
      </c>
      <c r="I28">
        <v>41</v>
      </c>
      <c r="J28">
        <v>7</v>
      </c>
      <c r="K28">
        <v>174.22900000000001</v>
      </c>
      <c r="L28">
        <v>15</v>
      </c>
      <c r="M28" t="s">
        <v>212</v>
      </c>
      <c r="O28">
        <f t="shared" si="3"/>
        <v>0</v>
      </c>
      <c r="P28">
        <f t="shared" si="4"/>
        <v>0</v>
      </c>
      <c r="Q28">
        <f t="shared" si="5"/>
        <v>0</v>
      </c>
      <c r="R28">
        <f t="shared" si="6"/>
        <v>0</v>
      </c>
    </row>
    <row r="29" spans="1:18">
      <c r="A29">
        <v>2</v>
      </c>
      <c r="B29">
        <v>43</v>
      </c>
      <c r="C29">
        <v>43</v>
      </c>
      <c r="D29">
        <v>60</v>
      </c>
      <c r="E29">
        <v>60</v>
      </c>
      <c r="F29" t="s">
        <v>71</v>
      </c>
      <c r="H29">
        <v>2</v>
      </c>
      <c r="I29">
        <v>43</v>
      </c>
      <c r="J29">
        <v>43</v>
      </c>
      <c r="K29">
        <v>60</v>
      </c>
      <c r="L29">
        <v>60</v>
      </c>
      <c r="M29" t="s">
        <v>168</v>
      </c>
      <c r="O29">
        <f t="shared" si="3"/>
        <v>0</v>
      </c>
      <c r="P29">
        <f t="shared" si="4"/>
        <v>0</v>
      </c>
      <c r="Q29">
        <f t="shared" si="5"/>
        <v>0</v>
      </c>
      <c r="R29">
        <f t="shared" si="6"/>
        <v>0</v>
      </c>
    </row>
    <row r="30" spans="1:18">
      <c r="A30">
        <v>3</v>
      </c>
      <c r="B30">
        <v>46</v>
      </c>
      <c r="C30">
        <v>46</v>
      </c>
      <c r="D30">
        <v>1</v>
      </c>
      <c r="E30">
        <v>1</v>
      </c>
      <c r="F30" t="s">
        <v>72</v>
      </c>
      <c r="H30">
        <v>3</v>
      </c>
      <c r="I30">
        <v>46</v>
      </c>
      <c r="J30">
        <v>46</v>
      </c>
      <c r="K30">
        <v>1</v>
      </c>
      <c r="L30">
        <v>1</v>
      </c>
      <c r="M30" t="s">
        <v>169</v>
      </c>
      <c r="O30">
        <f t="shared" si="3"/>
        <v>0</v>
      </c>
      <c r="P30">
        <f t="shared" si="4"/>
        <v>0</v>
      </c>
      <c r="Q30">
        <f t="shared" si="5"/>
        <v>0</v>
      </c>
      <c r="R30">
        <f t="shared" si="6"/>
        <v>0</v>
      </c>
    </row>
    <row r="31" spans="1:18">
      <c r="A31">
        <v>4</v>
      </c>
      <c r="B31">
        <v>49</v>
      </c>
      <c r="C31">
        <v>49</v>
      </c>
      <c r="D31">
        <v>1</v>
      </c>
      <c r="E31">
        <v>1</v>
      </c>
      <c r="F31" t="s">
        <v>73</v>
      </c>
      <c r="H31">
        <v>4</v>
      </c>
      <c r="I31">
        <v>49</v>
      </c>
      <c r="J31">
        <v>49</v>
      </c>
      <c r="K31">
        <v>1</v>
      </c>
      <c r="L31">
        <v>1</v>
      </c>
      <c r="M31" t="s">
        <v>170</v>
      </c>
      <c r="O31">
        <f t="shared" si="3"/>
        <v>0</v>
      </c>
      <c r="P31">
        <f t="shared" si="4"/>
        <v>0</v>
      </c>
      <c r="Q31">
        <f t="shared" si="5"/>
        <v>0</v>
      </c>
      <c r="R31">
        <f t="shared" si="6"/>
        <v>0</v>
      </c>
    </row>
    <row r="32" spans="1:18">
      <c r="A32">
        <v>5</v>
      </c>
      <c r="B32">
        <v>51</v>
      </c>
      <c r="C32">
        <v>51</v>
      </c>
      <c r="D32">
        <v>1</v>
      </c>
      <c r="E32">
        <v>1</v>
      </c>
      <c r="F32" t="s">
        <v>74</v>
      </c>
      <c r="H32">
        <v>5</v>
      </c>
      <c r="I32">
        <v>51</v>
      </c>
      <c r="J32">
        <v>51</v>
      </c>
      <c r="K32">
        <v>1</v>
      </c>
      <c r="L32">
        <v>1</v>
      </c>
      <c r="M32" t="s">
        <v>171</v>
      </c>
      <c r="O32">
        <f t="shared" si="3"/>
        <v>0</v>
      </c>
      <c r="P32">
        <f t="shared" si="4"/>
        <v>0</v>
      </c>
      <c r="Q32">
        <f t="shared" si="5"/>
        <v>0</v>
      </c>
      <c r="R32">
        <f t="shared" si="6"/>
        <v>0</v>
      </c>
    </row>
    <row r="33" spans="1:18">
      <c r="A33">
        <v>6</v>
      </c>
      <c r="B33">
        <v>53</v>
      </c>
      <c r="C33">
        <v>53</v>
      </c>
      <c r="D33">
        <v>1</v>
      </c>
      <c r="E33">
        <v>1</v>
      </c>
      <c r="F33" t="s">
        <v>75</v>
      </c>
      <c r="H33">
        <v>6</v>
      </c>
      <c r="I33">
        <v>53</v>
      </c>
      <c r="J33">
        <v>53</v>
      </c>
      <c r="K33">
        <v>1</v>
      </c>
      <c r="L33">
        <v>1</v>
      </c>
      <c r="M33" t="s">
        <v>172</v>
      </c>
      <c r="O33">
        <f t="shared" si="3"/>
        <v>0</v>
      </c>
      <c r="P33">
        <f t="shared" si="4"/>
        <v>0</v>
      </c>
      <c r="Q33">
        <f t="shared" si="5"/>
        <v>0</v>
      </c>
      <c r="R33">
        <f t="shared" si="6"/>
        <v>0</v>
      </c>
    </row>
    <row r="34" spans="1:18">
      <c r="A34">
        <v>7</v>
      </c>
      <c r="B34">
        <v>55</v>
      </c>
      <c r="C34">
        <v>55</v>
      </c>
      <c r="D34">
        <v>1</v>
      </c>
      <c r="E34">
        <v>1</v>
      </c>
      <c r="F34" t="s">
        <v>76</v>
      </c>
      <c r="H34">
        <v>7</v>
      </c>
      <c r="I34">
        <v>55</v>
      </c>
      <c r="J34">
        <v>55</v>
      </c>
      <c r="K34">
        <v>1</v>
      </c>
      <c r="L34">
        <v>1</v>
      </c>
      <c r="M34" t="s">
        <v>173</v>
      </c>
      <c r="O34">
        <f t="shared" si="3"/>
        <v>0</v>
      </c>
      <c r="P34">
        <f t="shared" si="4"/>
        <v>0</v>
      </c>
      <c r="Q34">
        <f t="shared" si="5"/>
        <v>0</v>
      </c>
      <c r="R34">
        <f t="shared" si="6"/>
        <v>0</v>
      </c>
    </row>
    <row r="35" spans="1:18">
      <c r="A35">
        <v>8</v>
      </c>
      <c r="B35">
        <v>58</v>
      </c>
      <c r="C35">
        <v>58</v>
      </c>
      <c r="D35">
        <v>1</v>
      </c>
      <c r="E35">
        <v>1</v>
      </c>
      <c r="F35" t="s">
        <v>77</v>
      </c>
      <c r="H35">
        <v>8</v>
      </c>
      <c r="I35">
        <v>58</v>
      </c>
      <c r="J35">
        <v>58</v>
      </c>
      <c r="K35">
        <v>1</v>
      </c>
      <c r="L35">
        <v>1</v>
      </c>
      <c r="M35" t="s">
        <v>174</v>
      </c>
      <c r="O35">
        <f t="shared" si="3"/>
        <v>0</v>
      </c>
      <c r="P35">
        <f t="shared" si="4"/>
        <v>0</v>
      </c>
      <c r="Q35">
        <f t="shared" si="5"/>
        <v>0</v>
      </c>
      <c r="R35">
        <f t="shared" si="6"/>
        <v>0</v>
      </c>
    </row>
    <row r="36" spans="1:18">
      <c r="A36">
        <v>9</v>
      </c>
      <c r="B36">
        <v>63</v>
      </c>
      <c r="C36">
        <v>63</v>
      </c>
      <c r="D36">
        <v>3</v>
      </c>
      <c r="E36">
        <v>3</v>
      </c>
      <c r="F36" t="s">
        <v>78</v>
      </c>
      <c r="H36">
        <v>9</v>
      </c>
      <c r="I36">
        <v>63</v>
      </c>
      <c r="J36">
        <v>63</v>
      </c>
      <c r="K36">
        <v>3</v>
      </c>
      <c r="L36">
        <v>3</v>
      </c>
      <c r="M36" t="s">
        <v>175</v>
      </c>
      <c r="O36">
        <f t="shared" si="3"/>
        <v>0</v>
      </c>
      <c r="P36">
        <f t="shared" si="4"/>
        <v>0</v>
      </c>
      <c r="Q36">
        <f t="shared" si="5"/>
        <v>0</v>
      </c>
      <c r="R36">
        <f t="shared" si="6"/>
        <v>0</v>
      </c>
    </row>
    <row r="37" spans="1:18">
      <c r="A37">
        <v>15</v>
      </c>
      <c r="B37">
        <v>64</v>
      </c>
      <c r="C37">
        <v>64</v>
      </c>
      <c r="D37">
        <v>1006</v>
      </c>
      <c r="E37">
        <v>1006</v>
      </c>
      <c r="F37" t="s">
        <v>84</v>
      </c>
      <c r="H37">
        <v>15</v>
      </c>
      <c r="I37">
        <v>64</v>
      </c>
      <c r="J37">
        <v>64</v>
      </c>
      <c r="K37">
        <v>1006</v>
      </c>
      <c r="L37">
        <v>1006</v>
      </c>
      <c r="M37" t="s">
        <v>181</v>
      </c>
      <c r="O37">
        <f t="shared" si="3"/>
        <v>0</v>
      </c>
      <c r="P37">
        <f t="shared" si="4"/>
        <v>0</v>
      </c>
      <c r="Q37">
        <f t="shared" si="5"/>
        <v>0</v>
      </c>
      <c r="R37">
        <f t="shared" si="6"/>
        <v>0</v>
      </c>
    </row>
    <row r="38" spans="1:18">
      <c r="A38">
        <v>16</v>
      </c>
      <c r="B38">
        <v>67</v>
      </c>
      <c r="C38">
        <v>67</v>
      </c>
      <c r="D38">
        <v>920</v>
      </c>
      <c r="E38">
        <v>920</v>
      </c>
      <c r="F38" t="s">
        <v>85</v>
      </c>
      <c r="H38">
        <v>16</v>
      </c>
      <c r="I38">
        <v>67</v>
      </c>
      <c r="J38">
        <v>67</v>
      </c>
      <c r="K38">
        <v>920</v>
      </c>
      <c r="L38">
        <v>920</v>
      </c>
      <c r="M38" t="s">
        <v>182</v>
      </c>
      <c r="O38">
        <f t="shared" si="3"/>
        <v>0</v>
      </c>
      <c r="P38">
        <f t="shared" si="4"/>
        <v>0</v>
      </c>
      <c r="Q38">
        <f t="shared" si="5"/>
        <v>0</v>
      </c>
      <c r="R38">
        <f t="shared" si="6"/>
        <v>0</v>
      </c>
    </row>
    <row r="39" spans="1:18">
      <c r="A39">
        <v>17</v>
      </c>
      <c r="B39">
        <v>68</v>
      </c>
      <c r="C39">
        <v>68</v>
      </c>
      <c r="D39">
        <v>90</v>
      </c>
      <c r="E39">
        <v>90</v>
      </c>
      <c r="F39" t="s">
        <v>86</v>
      </c>
      <c r="H39">
        <v>17</v>
      </c>
      <c r="I39">
        <v>68</v>
      </c>
      <c r="J39">
        <v>68</v>
      </c>
      <c r="K39">
        <v>90</v>
      </c>
      <c r="L39">
        <v>90</v>
      </c>
      <c r="M39" t="s">
        <v>183</v>
      </c>
      <c r="O39">
        <f t="shared" si="3"/>
        <v>0</v>
      </c>
      <c r="P39">
        <f t="shared" si="4"/>
        <v>0</v>
      </c>
      <c r="Q39">
        <f t="shared" si="5"/>
        <v>0</v>
      </c>
      <c r="R39">
        <f t="shared" si="6"/>
        <v>0</v>
      </c>
    </row>
    <row r="40" spans="1:18">
      <c r="A40">
        <v>25</v>
      </c>
      <c r="B40">
        <v>70</v>
      </c>
      <c r="C40">
        <v>70</v>
      </c>
      <c r="D40">
        <v>2008</v>
      </c>
      <c r="E40">
        <v>2008</v>
      </c>
      <c r="F40" t="s">
        <v>94</v>
      </c>
      <c r="H40">
        <v>25</v>
      </c>
      <c r="I40">
        <v>70</v>
      </c>
      <c r="J40">
        <v>70</v>
      </c>
      <c r="K40">
        <v>2008</v>
      </c>
      <c r="L40">
        <v>2008</v>
      </c>
      <c r="M40" t="s">
        <v>191</v>
      </c>
      <c r="O40">
        <f t="shared" si="3"/>
        <v>0</v>
      </c>
      <c r="P40">
        <f t="shared" si="4"/>
        <v>0</v>
      </c>
      <c r="Q40">
        <f t="shared" si="5"/>
        <v>0</v>
      </c>
      <c r="R40">
        <f t="shared" si="6"/>
        <v>0</v>
      </c>
    </row>
    <row r="41" spans="1:18">
      <c r="A41">
        <v>26</v>
      </c>
      <c r="B41">
        <v>71</v>
      </c>
      <c r="C41">
        <v>71</v>
      </c>
      <c r="D41">
        <v>806</v>
      </c>
      <c r="E41">
        <v>806</v>
      </c>
      <c r="F41" t="s">
        <v>95</v>
      </c>
      <c r="H41">
        <v>26</v>
      </c>
      <c r="I41">
        <v>71</v>
      </c>
      <c r="J41">
        <v>71</v>
      </c>
      <c r="K41">
        <v>806</v>
      </c>
      <c r="L41">
        <v>806</v>
      </c>
      <c r="M41" t="s">
        <v>192</v>
      </c>
      <c r="O41">
        <f t="shared" si="3"/>
        <v>0</v>
      </c>
      <c r="P41">
        <f t="shared" si="4"/>
        <v>0</v>
      </c>
      <c r="Q41">
        <f t="shared" si="5"/>
        <v>0</v>
      </c>
      <c r="R41">
        <f t="shared" si="6"/>
        <v>0</v>
      </c>
    </row>
    <row r="42" spans="1:18">
      <c r="A42">
        <v>27</v>
      </c>
      <c r="B42">
        <v>72</v>
      </c>
      <c r="C42">
        <v>72</v>
      </c>
      <c r="D42">
        <v>1276</v>
      </c>
      <c r="E42">
        <v>1276</v>
      </c>
      <c r="F42" t="s">
        <v>96</v>
      </c>
      <c r="H42">
        <v>27</v>
      </c>
      <c r="I42">
        <v>72</v>
      </c>
      <c r="J42">
        <v>72</v>
      </c>
      <c r="K42">
        <v>1276</v>
      </c>
      <c r="L42">
        <v>1276</v>
      </c>
      <c r="M42" t="s">
        <v>193</v>
      </c>
      <c r="O42">
        <f t="shared" si="3"/>
        <v>0</v>
      </c>
      <c r="P42">
        <f t="shared" si="4"/>
        <v>0</v>
      </c>
      <c r="Q42">
        <f t="shared" si="5"/>
        <v>0</v>
      </c>
      <c r="R42">
        <f t="shared" si="6"/>
        <v>0</v>
      </c>
    </row>
    <row r="43" spans="1:18">
      <c r="A43">
        <v>33</v>
      </c>
      <c r="B43">
        <v>74</v>
      </c>
      <c r="C43">
        <v>74</v>
      </c>
      <c r="D43">
        <v>1755</v>
      </c>
      <c r="E43">
        <v>1755</v>
      </c>
      <c r="F43" t="s">
        <v>102</v>
      </c>
      <c r="H43">
        <v>33</v>
      </c>
      <c r="I43">
        <v>74</v>
      </c>
      <c r="J43">
        <v>74</v>
      </c>
      <c r="K43">
        <v>1755</v>
      </c>
      <c r="L43">
        <v>1755</v>
      </c>
      <c r="M43" t="s">
        <v>199</v>
      </c>
      <c r="O43">
        <f t="shared" si="3"/>
        <v>0</v>
      </c>
      <c r="P43">
        <f t="shared" si="4"/>
        <v>0</v>
      </c>
      <c r="Q43">
        <f t="shared" si="5"/>
        <v>0</v>
      </c>
      <c r="R43">
        <f t="shared" si="6"/>
        <v>0</v>
      </c>
    </row>
    <row r="44" spans="1:18">
      <c r="A44">
        <v>45</v>
      </c>
      <c r="B44">
        <v>77</v>
      </c>
      <c r="C44">
        <v>77</v>
      </c>
      <c r="D44">
        <v>4388</v>
      </c>
      <c r="E44">
        <v>4388</v>
      </c>
      <c r="F44" t="s">
        <v>114</v>
      </c>
      <c r="H44">
        <v>45</v>
      </c>
      <c r="I44">
        <v>77</v>
      </c>
      <c r="J44">
        <v>77</v>
      </c>
      <c r="K44">
        <v>4388</v>
      </c>
      <c r="L44">
        <v>4388</v>
      </c>
      <c r="M44" t="s">
        <v>211</v>
      </c>
      <c r="O44">
        <f t="shared" si="3"/>
        <v>0</v>
      </c>
      <c r="P44">
        <f t="shared" si="4"/>
        <v>0</v>
      </c>
      <c r="Q44">
        <f t="shared" si="5"/>
        <v>0</v>
      </c>
      <c r="R44">
        <f t="shared" si="6"/>
        <v>0</v>
      </c>
    </row>
    <row r="45" spans="1:18">
      <c r="A45">
        <v>47</v>
      </c>
      <c r="B45">
        <v>78</v>
      </c>
      <c r="C45">
        <v>78</v>
      </c>
      <c r="D45">
        <v>7743</v>
      </c>
      <c r="E45">
        <v>7743</v>
      </c>
      <c r="F45" t="s">
        <v>116</v>
      </c>
      <c r="H45">
        <v>47</v>
      </c>
      <c r="I45">
        <v>78</v>
      </c>
      <c r="J45">
        <v>78</v>
      </c>
      <c r="K45">
        <v>7743</v>
      </c>
      <c r="L45">
        <v>7743</v>
      </c>
      <c r="M45" t="s">
        <v>213</v>
      </c>
      <c r="O45">
        <f t="shared" si="3"/>
        <v>0</v>
      </c>
      <c r="P45">
        <f t="shared" si="4"/>
        <v>0</v>
      </c>
      <c r="Q45">
        <f t="shared" si="5"/>
        <v>0</v>
      </c>
      <c r="R45">
        <f t="shared" si="6"/>
        <v>0</v>
      </c>
    </row>
    <row r="46" spans="1:18">
      <c r="A46">
        <v>35</v>
      </c>
      <c r="B46">
        <v>79</v>
      </c>
      <c r="C46">
        <v>79</v>
      </c>
      <c r="D46">
        <v>925</v>
      </c>
      <c r="E46">
        <v>925</v>
      </c>
      <c r="F46" t="s">
        <v>104</v>
      </c>
      <c r="H46">
        <v>35</v>
      </c>
      <c r="I46">
        <v>79</v>
      </c>
      <c r="J46">
        <v>79</v>
      </c>
      <c r="K46">
        <v>925</v>
      </c>
      <c r="L46">
        <v>925</v>
      </c>
      <c r="M46" t="s">
        <v>201</v>
      </c>
      <c r="O46">
        <f t="shared" si="3"/>
        <v>0</v>
      </c>
      <c r="P46">
        <f t="shared" si="4"/>
        <v>0</v>
      </c>
      <c r="Q46">
        <f t="shared" si="5"/>
        <v>0</v>
      </c>
      <c r="R46">
        <f t="shared" si="6"/>
        <v>0</v>
      </c>
    </row>
    <row r="47" spans="1:18">
      <c r="A47">
        <v>39</v>
      </c>
      <c r="B47">
        <v>81</v>
      </c>
      <c r="C47">
        <v>81</v>
      </c>
      <c r="D47">
        <v>929</v>
      </c>
      <c r="E47">
        <v>929</v>
      </c>
      <c r="F47" t="s">
        <v>108</v>
      </c>
      <c r="H47">
        <v>39</v>
      </c>
      <c r="I47">
        <v>81</v>
      </c>
      <c r="J47">
        <v>81</v>
      </c>
      <c r="K47">
        <v>929</v>
      </c>
      <c r="L47">
        <v>929</v>
      </c>
      <c r="M47" t="s">
        <v>205</v>
      </c>
      <c r="O47">
        <f t="shared" si="3"/>
        <v>0</v>
      </c>
      <c r="P47">
        <f t="shared" si="4"/>
        <v>0</v>
      </c>
      <c r="Q47">
        <f t="shared" si="5"/>
        <v>0</v>
      </c>
      <c r="R47">
        <f t="shared" si="6"/>
        <v>0</v>
      </c>
    </row>
    <row r="48" spans="1:18">
      <c r="A48">
        <v>44</v>
      </c>
      <c r="B48">
        <v>83</v>
      </c>
      <c r="C48">
        <v>83</v>
      </c>
      <c r="D48">
        <v>5386</v>
      </c>
      <c r="E48">
        <v>5386</v>
      </c>
      <c r="F48" t="s">
        <v>113</v>
      </c>
      <c r="H48">
        <v>44</v>
      </c>
      <c r="I48">
        <v>83</v>
      </c>
      <c r="J48">
        <v>83</v>
      </c>
      <c r="K48">
        <v>5386</v>
      </c>
      <c r="L48">
        <v>5386</v>
      </c>
      <c r="M48" t="s">
        <v>210</v>
      </c>
      <c r="O48">
        <f t="shared" si="3"/>
        <v>0</v>
      </c>
      <c r="P48">
        <f t="shared" si="4"/>
        <v>0</v>
      </c>
      <c r="Q48">
        <f t="shared" si="5"/>
        <v>0</v>
      </c>
      <c r="R48">
        <f t="shared" si="6"/>
        <v>0</v>
      </c>
    </row>
    <row r="49" spans="1:21">
      <c r="A49">
        <v>48</v>
      </c>
      <c r="B49">
        <v>85</v>
      </c>
      <c r="C49">
        <v>85</v>
      </c>
      <c r="D49">
        <v>274</v>
      </c>
      <c r="E49">
        <v>274</v>
      </c>
      <c r="F49" t="s">
        <v>117</v>
      </c>
      <c r="H49">
        <v>48</v>
      </c>
      <c r="I49">
        <v>85</v>
      </c>
      <c r="J49">
        <v>85</v>
      </c>
      <c r="K49">
        <v>274</v>
      </c>
      <c r="L49">
        <v>274</v>
      </c>
      <c r="M49" t="s">
        <v>214</v>
      </c>
      <c r="O49">
        <f t="shared" si="3"/>
        <v>0</v>
      </c>
      <c r="P49">
        <f t="shared" si="4"/>
        <v>0</v>
      </c>
      <c r="Q49">
        <f t="shared" si="5"/>
        <v>0</v>
      </c>
      <c r="R49">
        <f t="shared" si="6"/>
        <v>0</v>
      </c>
    </row>
    <row r="50" spans="1:21">
      <c r="A50">
        <v>49</v>
      </c>
      <c r="B50">
        <v>86</v>
      </c>
      <c r="C50">
        <v>86</v>
      </c>
      <c r="D50">
        <v>168</v>
      </c>
      <c r="E50">
        <v>168</v>
      </c>
      <c r="F50" t="s">
        <v>118</v>
      </c>
      <c r="H50">
        <v>49</v>
      </c>
      <c r="I50">
        <v>86</v>
      </c>
      <c r="J50">
        <v>86</v>
      </c>
      <c r="K50">
        <v>168</v>
      </c>
      <c r="L50">
        <v>168</v>
      </c>
      <c r="M50" t="s">
        <v>215</v>
      </c>
      <c r="O50">
        <f t="shared" si="3"/>
        <v>0</v>
      </c>
      <c r="P50">
        <f t="shared" si="4"/>
        <v>0</v>
      </c>
      <c r="Q50">
        <f t="shared" si="5"/>
        <v>0</v>
      </c>
      <c r="R50">
        <f t="shared" si="6"/>
        <v>0</v>
      </c>
    </row>
    <row r="51" spans="1:21">
      <c r="A51">
        <v>50</v>
      </c>
      <c r="B51">
        <v>92</v>
      </c>
      <c r="C51">
        <v>15</v>
      </c>
      <c r="D51">
        <v>443.13400000000001</v>
      </c>
      <c r="E51">
        <v>679.64</v>
      </c>
      <c r="F51" t="s">
        <v>119</v>
      </c>
      <c r="H51">
        <v>50</v>
      </c>
      <c r="I51" s="25">
        <v>92</v>
      </c>
      <c r="J51" s="25">
        <v>15</v>
      </c>
      <c r="K51" s="25">
        <v>443.13400000000001</v>
      </c>
      <c r="L51" s="25">
        <v>679.64009999999996</v>
      </c>
      <c r="M51" t="s">
        <v>216</v>
      </c>
      <c r="O51">
        <f t="shared" si="3"/>
        <v>0</v>
      </c>
      <c r="P51">
        <f t="shared" si="4"/>
        <v>0</v>
      </c>
      <c r="Q51">
        <f t="shared" si="5"/>
        <v>0</v>
      </c>
      <c r="R51">
        <f t="shared" si="6"/>
        <v>-9.9999999974897946E-5</v>
      </c>
      <c r="T51">
        <v>443.13400000000001</v>
      </c>
      <c r="U51">
        <v>691.64189999999996</v>
      </c>
    </row>
    <row r="52" spans="1:21">
      <c r="A52">
        <v>51</v>
      </c>
      <c r="B52">
        <v>92</v>
      </c>
      <c r="C52">
        <v>16</v>
      </c>
      <c r="D52">
        <v>866.49839999999995</v>
      </c>
      <c r="E52">
        <v>547.64509999999996</v>
      </c>
      <c r="F52" t="s">
        <v>120</v>
      </c>
      <c r="H52">
        <v>51</v>
      </c>
      <c r="I52" s="25">
        <v>92</v>
      </c>
      <c r="J52" s="25">
        <v>16</v>
      </c>
      <c r="K52" s="25">
        <v>866.49720000000002</v>
      </c>
      <c r="L52" s="25">
        <v>547.64509999999996</v>
      </c>
      <c r="M52" t="s">
        <v>217</v>
      </c>
      <c r="O52">
        <f t="shared" si="3"/>
        <v>0</v>
      </c>
      <c r="P52">
        <f t="shared" si="4"/>
        <v>0</v>
      </c>
      <c r="Q52">
        <f t="shared" si="5"/>
        <v>1.199999999926149E-3</v>
      </c>
      <c r="R52">
        <f t="shared" si="6"/>
        <v>0</v>
      </c>
      <c r="T52">
        <v>866.49839999999995</v>
      </c>
      <c r="U52">
        <v>557.31619999999998</v>
      </c>
    </row>
    <row r="53" spans="1:21">
      <c r="A53">
        <v>52</v>
      </c>
      <c r="B53">
        <v>92</v>
      </c>
      <c r="C53">
        <v>17</v>
      </c>
      <c r="D53">
        <v>1598.8742</v>
      </c>
      <c r="E53">
        <v>1010.611</v>
      </c>
      <c r="F53" t="s">
        <v>121</v>
      </c>
      <c r="H53">
        <v>52</v>
      </c>
      <c r="I53" s="25">
        <v>92</v>
      </c>
      <c r="J53" s="25">
        <v>17</v>
      </c>
      <c r="K53" s="25">
        <v>1596.6121000000001</v>
      </c>
      <c r="L53" s="25">
        <v>1009.1814000000001</v>
      </c>
      <c r="M53" t="s">
        <v>218</v>
      </c>
      <c r="O53">
        <f t="shared" si="3"/>
        <v>0</v>
      </c>
      <c r="P53">
        <f t="shared" si="4"/>
        <v>0</v>
      </c>
      <c r="Q53">
        <f t="shared" si="5"/>
        <v>2.2620999999999185</v>
      </c>
      <c r="R53">
        <f t="shared" si="6"/>
        <v>1.4295999999999367</v>
      </c>
      <c r="T53">
        <v>1598.8731</v>
      </c>
      <c r="U53">
        <v>1028.3902</v>
      </c>
    </row>
    <row r="54" spans="1:21">
      <c r="A54">
        <v>53</v>
      </c>
      <c r="B54">
        <v>92</v>
      </c>
      <c r="C54">
        <v>27</v>
      </c>
      <c r="D54">
        <v>13.853400000000001</v>
      </c>
      <c r="E54">
        <v>11.195600000000001</v>
      </c>
      <c r="F54" t="s">
        <v>122</v>
      </c>
      <c r="H54">
        <v>53</v>
      </c>
      <c r="I54" s="25">
        <v>92</v>
      </c>
      <c r="J54" s="25">
        <v>27</v>
      </c>
      <c r="K54" s="25">
        <v>16.116700000000002</v>
      </c>
      <c r="L54" s="25">
        <v>13.0246</v>
      </c>
      <c r="M54" t="s">
        <v>219</v>
      </c>
      <c r="O54">
        <f t="shared" si="3"/>
        <v>0</v>
      </c>
      <c r="P54">
        <f t="shared" si="4"/>
        <v>0</v>
      </c>
      <c r="Q54">
        <f t="shared" si="5"/>
        <v>-2.263300000000001</v>
      </c>
      <c r="R54">
        <f t="shared" si="6"/>
        <v>-1.8289999999999988</v>
      </c>
      <c r="T54">
        <v>13.8546</v>
      </c>
      <c r="U54">
        <v>11.1965</v>
      </c>
    </row>
    <row r="55" spans="1:21">
      <c r="A55">
        <v>55</v>
      </c>
      <c r="B55">
        <v>94</v>
      </c>
      <c r="C55">
        <v>94</v>
      </c>
      <c r="D55">
        <v>6415</v>
      </c>
      <c r="E55">
        <v>6415</v>
      </c>
      <c r="F55" t="s">
        <v>124</v>
      </c>
      <c r="H55">
        <v>55</v>
      </c>
      <c r="I55">
        <v>94</v>
      </c>
      <c r="J55">
        <v>94</v>
      </c>
      <c r="K55">
        <v>6415</v>
      </c>
      <c r="L55">
        <v>6415</v>
      </c>
      <c r="M55" t="s">
        <v>221</v>
      </c>
      <c r="O55">
        <f t="shared" si="3"/>
        <v>0</v>
      </c>
      <c r="P55">
        <f t="shared" si="4"/>
        <v>0</v>
      </c>
      <c r="Q55">
        <f t="shared" si="5"/>
        <v>0</v>
      </c>
      <c r="R55">
        <f t="shared" si="6"/>
        <v>0</v>
      </c>
    </row>
    <row r="56" spans="1:21">
      <c r="A56">
        <v>54</v>
      </c>
      <c r="B56">
        <v>96</v>
      </c>
      <c r="C56">
        <v>7</v>
      </c>
      <c r="D56">
        <v>10.042999999999999</v>
      </c>
      <c r="E56">
        <v>12.914</v>
      </c>
      <c r="F56" t="s">
        <v>123</v>
      </c>
      <c r="H56">
        <v>54</v>
      </c>
      <c r="I56">
        <v>96</v>
      </c>
      <c r="J56">
        <v>7</v>
      </c>
      <c r="K56">
        <v>10.042999999999999</v>
      </c>
      <c r="L56">
        <v>12.914</v>
      </c>
      <c r="M56" t="s">
        <v>220</v>
      </c>
      <c r="O56">
        <f t="shared" si="3"/>
        <v>0</v>
      </c>
      <c r="P56">
        <f t="shared" si="4"/>
        <v>0</v>
      </c>
      <c r="Q56">
        <f t="shared" si="5"/>
        <v>0</v>
      </c>
      <c r="R56">
        <f t="shared" si="6"/>
        <v>0</v>
      </c>
    </row>
    <row r="57" spans="1:21">
      <c r="A57">
        <v>56</v>
      </c>
      <c r="B57">
        <v>98</v>
      </c>
      <c r="C57">
        <v>98</v>
      </c>
      <c r="D57">
        <v>112.246</v>
      </c>
      <c r="E57">
        <v>112.246</v>
      </c>
      <c r="F57" t="s">
        <v>125</v>
      </c>
      <c r="H57">
        <v>56</v>
      </c>
      <c r="I57">
        <v>98</v>
      </c>
      <c r="J57">
        <v>98</v>
      </c>
      <c r="K57">
        <v>112.246</v>
      </c>
      <c r="L57">
        <v>112.246</v>
      </c>
      <c r="M57" t="s">
        <v>222</v>
      </c>
      <c r="O57">
        <f t="shared" si="3"/>
        <v>0</v>
      </c>
      <c r="P57">
        <f t="shared" si="4"/>
        <v>0</v>
      </c>
      <c r="Q57">
        <f t="shared" si="5"/>
        <v>0</v>
      </c>
      <c r="R57">
        <f t="shared" si="6"/>
        <v>0</v>
      </c>
    </row>
    <row r="58" spans="1:21">
      <c r="A58">
        <v>57</v>
      </c>
      <c r="B58">
        <v>99</v>
      </c>
      <c r="C58">
        <v>99</v>
      </c>
      <c r="D58">
        <v>4570</v>
      </c>
      <c r="E58">
        <v>4570</v>
      </c>
      <c r="F58" t="s">
        <v>126</v>
      </c>
      <c r="H58">
        <v>57</v>
      </c>
      <c r="I58">
        <v>99</v>
      </c>
      <c r="J58">
        <v>99</v>
      </c>
      <c r="K58">
        <v>4570</v>
      </c>
      <c r="L58">
        <v>4570</v>
      </c>
      <c r="M58" t="s">
        <v>223</v>
      </c>
      <c r="O58">
        <f t="shared" si="3"/>
        <v>0</v>
      </c>
      <c r="P58">
        <f t="shared" si="4"/>
        <v>0</v>
      </c>
      <c r="Q58">
        <f t="shared" si="5"/>
        <v>0</v>
      </c>
      <c r="R58">
        <f t="shared" si="6"/>
        <v>0</v>
      </c>
    </row>
    <row r="59" spans="1:21">
      <c r="A59">
        <v>58</v>
      </c>
      <c r="B59">
        <v>101</v>
      </c>
      <c r="C59">
        <v>15</v>
      </c>
      <c r="D59">
        <v>24.7409</v>
      </c>
      <c r="E59">
        <v>679.64</v>
      </c>
      <c r="F59" t="s">
        <v>127</v>
      </c>
      <c r="H59">
        <v>58</v>
      </c>
      <c r="I59">
        <v>101</v>
      </c>
      <c r="J59">
        <v>15</v>
      </c>
      <c r="K59">
        <v>24.7409</v>
      </c>
      <c r="L59">
        <v>679.64009999999996</v>
      </c>
      <c r="M59" t="s">
        <v>224</v>
      </c>
      <c r="O59">
        <f t="shared" si="3"/>
        <v>0</v>
      </c>
      <c r="P59">
        <f t="shared" si="4"/>
        <v>0</v>
      </c>
      <c r="Q59">
        <f t="shared" si="5"/>
        <v>0</v>
      </c>
      <c r="R59">
        <f t="shared" si="6"/>
        <v>-9.9999999974897946E-5</v>
      </c>
    </row>
    <row r="60" spans="1:21">
      <c r="A60">
        <v>59</v>
      </c>
      <c r="B60">
        <v>101</v>
      </c>
      <c r="C60">
        <v>16</v>
      </c>
      <c r="D60">
        <v>48.378</v>
      </c>
      <c r="E60">
        <v>547.64509999999996</v>
      </c>
      <c r="F60" t="s">
        <v>128</v>
      </c>
      <c r="H60">
        <v>59</v>
      </c>
      <c r="I60">
        <v>101</v>
      </c>
      <c r="J60">
        <v>16</v>
      </c>
      <c r="K60">
        <v>48.377899999999997</v>
      </c>
      <c r="L60">
        <v>547.64509999999996</v>
      </c>
      <c r="M60" t="s">
        <v>225</v>
      </c>
      <c r="O60">
        <f t="shared" si="3"/>
        <v>0</v>
      </c>
      <c r="P60">
        <f t="shared" si="4"/>
        <v>0</v>
      </c>
      <c r="Q60">
        <f t="shared" si="5"/>
        <v>1.0000000000331966E-4</v>
      </c>
      <c r="R60">
        <f t="shared" si="6"/>
        <v>0</v>
      </c>
    </row>
    <row r="61" spans="1:21">
      <c r="A61">
        <v>60</v>
      </c>
      <c r="B61">
        <v>101</v>
      </c>
      <c r="C61">
        <v>17</v>
      </c>
      <c r="D61">
        <v>87.633899999999997</v>
      </c>
      <c r="E61">
        <v>992.38829999999996</v>
      </c>
      <c r="F61" t="s">
        <v>129</v>
      </c>
      <c r="H61">
        <v>60</v>
      </c>
      <c r="I61">
        <v>101</v>
      </c>
      <c r="J61">
        <v>17</v>
      </c>
      <c r="K61">
        <v>87.634</v>
      </c>
      <c r="L61">
        <v>992.38930000000005</v>
      </c>
      <c r="M61" t="s">
        <v>226</v>
      </c>
      <c r="O61">
        <f t="shared" si="3"/>
        <v>0</v>
      </c>
      <c r="P61">
        <f t="shared" si="4"/>
        <v>0</v>
      </c>
      <c r="Q61">
        <f t="shared" si="5"/>
        <v>-1.0000000000331966E-4</v>
      </c>
      <c r="R61">
        <f t="shared" si="6"/>
        <v>-1.00000000009004E-3</v>
      </c>
    </row>
    <row r="62" spans="1:21">
      <c r="A62">
        <v>61</v>
      </c>
      <c r="B62">
        <v>104</v>
      </c>
      <c r="C62">
        <v>37</v>
      </c>
      <c r="D62">
        <v>4.7E-2</v>
      </c>
      <c r="E62">
        <v>1.746</v>
      </c>
      <c r="F62" t="s">
        <v>130</v>
      </c>
      <c r="H62">
        <v>61</v>
      </c>
      <c r="I62">
        <v>104</v>
      </c>
      <c r="J62">
        <v>37</v>
      </c>
      <c r="K62">
        <v>4.7E-2</v>
      </c>
      <c r="L62">
        <v>1.746</v>
      </c>
      <c r="M62" t="s">
        <v>227</v>
      </c>
      <c r="O62">
        <f t="shared" si="3"/>
        <v>0</v>
      </c>
      <c r="P62">
        <f t="shared" si="4"/>
        <v>0</v>
      </c>
      <c r="Q62">
        <f t="shared" si="5"/>
        <v>0</v>
      </c>
      <c r="R62">
        <f t="shared" si="6"/>
        <v>0</v>
      </c>
    </row>
    <row r="63" spans="1:21">
      <c r="A63">
        <v>62</v>
      </c>
      <c r="B63">
        <v>105</v>
      </c>
      <c r="C63">
        <v>105</v>
      </c>
      <c r="D63">
        <v>15</v>
      </c>
      <c r="E63">
        <v>15</v>
      </c>
      <c r="F63" t="s">
        <v>131</v>
      </c>
      <c r="H63">
        <v>62</v>
      </c>
      <c r="I63">
        <v>105</v>
      </c>
      <c r="J63">
        <v>105</v>
      </c>
      <c r="K63">
        <v>15</v>
      </c>
      <c r="L63">
        <v>15</v>
      </c>
      <c r="M63" t="s">
        <v>228</v>
      </c>
      <c r="O63">
        <f t="shared" si="3"/>
        <v>0</v>
      </c>
      <c r="P63">
        <f t="shared" si="4"/>
        <v>0</v>
      </c>
      <c r="Q63">
        <f t="shared" si="5"/>
        <v>0</v>
      </c>
      <c r="R63">
        <f t="shared" si="6"/>
        <v>0</v>
      </c>
    </row>
    <row r="64" spans="1:21">
      <c r="A64">
        <v>63</v>
      </c>
      <c r="B64">
        <v>106</v>
      </c>
      <c r="C64">
        <v>106</v>
      </c>
      <c r="D64">
        <v>4492</v>
      </c>
      <c r="E64">
        <v>4492</v>
      </c>
      <c r="F64" t="s">
        <v>132</v>
      </c>
      <c r="H64">
        <v>63</v>
      </c>
      <c r="I64">
        <v>106</v>
      </c>
      <c r="J64">
        <v>106</v>
      </c>
      <c r="K64">
        <v>4492</v>
      </c>
      <c r="L64">
        <v>4492</v>
      </c>
      <c r="M64" t="s">
        <v>229</v>
      </c>
      <c r="O64">
        <f t="shared" si="3"/>
        <v>0</v>
      </c>
      <c r="P64">
        <f t="shared" si="4"/>
        <v>0</v>
      </c>
      <c r="Q64">
        <f t="shared" si="5"/>
        <v>0</v>
      </c>
      <c r="R64">
        <f t="shared" si="6"/>
        <v>0</v>
      </c>
    </row>
    <row r="65" spans="1:18">
      <c r="A65">
        <v>64</v>
      </c>
      <c r="B65">
        <v>108</v>
      </c>
      <c r="C65">
        <v>108</v>
      </c>
      <c r="D65">
        <v>0.53749999999999998</v>
      </c>
      <c r="E65">
        <v>0.53749999999999998</v>
      </c>
      <c r="F65" t="s">
        <v>133</v>
      </c>
      <c r="H65">
        <v>64</v>
      </c>
      <c r="I65">
        <v>108</v>
      </c>
      <c r="J65">
        <v>108</v>
      </c>
      <c r="K65">
        <v>0.53749999999999998</v>
      </c>
      <c r="L65">
        <v>0.53749999999999998</v>
      </c>
      <c r="M65" t="s">
        <v>230</v>
      </c>
      <c r="O65">
        <f t="shared" si="3"/>
        <v>0</v>
      </c>
      <c r="P65">
        <f t="shared" si="4"/>
        <v>0</v>
      </c>
      <c r="Q65">
        <f t="shared" si="5"/>
        <v>0</v>
      </c>
      <c r="R65">
        <f t="shared" si="6"/>
        <v>0</v>
      </c>
    </row>
    <row r="66" spans="1:18">
      <c r="A66">
        <v>65</v>
      </c>
      <c r="B66">
        <v>109</v>
      </c>
      <c r="C66">
        <v>109</v>
      </c>
      <c r="D66">
        <v>235</v>
      </c>
      <c r="E66">
        <v>235</v>
      </c>
      <c r="F66" t="s">
        <v>134</v>
      </c>
      <c r="H66">
        <v>65</v>
      </c>
      <c r="I66">
        <v>109</v>
      </c>
      <c r="J66">
        <v>109</v>
      </c>
      <c r="K66">
        <v>235</v>
      </c>
      <c r="L66">
        <v>235</v>
      </c>
      <c r="M66" t="s">
        <v>231</v>
      </c>
      <c r="O66">
        <f t="shared" si="3"/>
        <v>0</v>
      </c>
      <c r="P66">
        <f t="shared" si="4"/>
        <v>0</v>
      </c>
      <c r="Q66">
        <f t="shared" si="5"/>
        <v>0</v>
      </c>
      <c r="R66">
        <f t="shared" si="6"/>
        <v>0</v>
      </c>
    </row>
    <row r="67" spans="1:18">
      <c r="A67">
        <v>66</v>
      </c>
      <c r="B67">
        <v>110</v>
      </c>
      <c r="C67">
        <v>110</v>
      </c>
      <c r="D67">
        <v>55</v>
      </c>
      <c r="E67">
        <v>55</v>
      </c>
      <c r="F67" t="s">
        <v>135</v>
      </c>
      <c r="H67">
        <v>66</v>
      </c>
      <c r="I67">
        <v>110</v>
      </c>
      <c r="J67">
        <v>110</v>
      </c>
      <c r="K67">
        <v>55</v>
      </c>
      <c r="L67">
        <v>55</v>
      </c>
      <c r="M67" t="s">
        <v>232</v>
      </c>
      <c r="O67">
        <f t="shared" ref="O67:O96" si="7">B67-I67</f>
        <v>0</v>
      </c>
      <c r="P67">
        <f t="shared" ref="P67:P96" si="8">C67-J67</f>
        <v>0</v>
      </c>
      <c r="Q67">
        <f t="shared" ref="Q67:Q96" si="9">D67-K67</f>
        <v>0</v>
      </c>
      <c r="R67">
        <f t="shared" ref="R67:R96" si="10">E67-L67</f>
        <v>0</v>
      </c>
    </row>
    <row r="68" spans="1:18">
      <c r="A68">
        <v>75</v>
      </c>
      <c r="B68">
        <v>112</v>
      </c>
      <c r="C68">
        <v>112</v>
      </c>
      <c r="D68">
        <v>15925</v>
      </c>
      <c r="E68">
        <v>15925</v>
      </c>
      <c r="F68" t="s">
        <v>144</v>
      </c>
      <c r="H68">
        <v>82</v>
      </c>
      <c r="I68">
        <v>112</v>
      </c>
      <c r="J68">
        <v>112</v>
      </c>
      <c r="K68">
        <v>15925</v>
      </c>
      <c r="L68">
        <v>15925</v>
      </c>
      <c r="M68" t="s">
        <v>248</v>
      </c>
      <c r="O68">
        <f t="shared" si="7"/>
        <v>0</v>
      </c>
      <c r="P68">
        <f t="shared" si="8"/>
        <v>0</v>
      </c>
      <c r="Q68">
        <f t="shared" si="9"/>
        <v>0</v>
      </c>
      <c r="R68">
        <f t="shared" si="10"/>
        <v>0</v>
      </c>
    </row>
    <row r="69" spans="1:18">
      <c r="A69">
        <v>76</v>
      </c>
      <c r="B69">
        <v>113</v>
      </c>
      <c r="C69">
        <v>113</v>
      </c>
      <c r="D69">
        <v>191</v>
      </c>
      <c r="E69">
        <v>191</v>
      </c>
      <c r="F69" t="s">
        <v>145</v>
      </c>
      <c r="H69">
        <v>83</v>
      </c>
      <c r="I69">
        <v>113</v>
      </c>
      <c r="J69">
        <v>113</v>
      </c>
      <c r="K69">
        <v>191</v>
      </c>
      <c r="L69">
        <v>191</v>
      </c>
      <c r="M69" t="s">
        <v>249</v>
      </c>
      <c r="O69">
        <f t="shared" si="7"/>
        <v>0</v>
      </c>
      <c r="P69">
        <f t="shared" si="8"/>
        <v>0</v>
      </c>
      <c r="Q69">
        <f t="shared" si="9"/>
        <v>0</v>
      </c>
      <c r="R69">
        <f t="shared" si="10"/>
        <v>0</v>
      </c>
    </row>
    <row r="70" spans="1:18">
      <c r="A70">
        <v>77</v>
      </c>
      <c r="B70">
        <v>114</v>
      </c>
      <c r="C70">
        <v>114</v>
      </c>
      <c r="D70">
        <v>468</v>
      </c>
      <c r="E70">
        <v>468</v>
      </c>
      <c r="F70" t="s">
        <v>146</v>
      </c>
      <c r="H70">
        <v>85</v>
      </c>
      <c r="I70">
        <v>114</v>
      </c>
      <c r="J70">
        <v>114</v>
      </c>
      <c r="K70">
        <v>468</v>
      </c>
      <c r="L70">
        <v>468</v>
      </c>
      <c r="M70" t="s">
        <v>251</v>
      </c>
      <c r="O70">
        <f t="shared" si="7"/>
        <v>0</v>
      </c>
      <c r="P70">
        <f t="shared" si="8"/>
        <v>0</v>
      </c>
      <c r="Q70">
        <f t="shared" si="9"/>
        <v>0</v>
      </c>
      <c r="R70">
        <f t="shared" si="10"/>
        <v>0</v>
      </c>
    </row>
    <row r="71" spans="1:18">
      <c r="A71">
        <v>67</v>
      </c>
      <c r="B71">
        <v>122</v>
      </c>
      <c r="C71">
        <v>122</v>
      </c>
      <c r="D71">
        <v>5585.1589999999997</v>
      </c>
      <c r="E71">
        <v>5585.1589999999997</v>
      </c>
      <c r="F71" t="s">
        <v>136</v>
      </c>
      <c r="H71">
        <v>67</v>
      </c>
      <c r="I71">
        <v>122</v>
      </c>
      <c r="J71">
        <v>122</v>
      </c>
      <c r="K71">
        <v>5585.1589999999997</v>
      </c>
      <c r="L71">
        <v>5585.1589999999997</v>
      </c>
      <c r="M71" t="s">
        <v>233</v>
      </c>
      <c r="O71">
        <f t="shared" si="7"/>
        <v>0</v>
      </c>
      <c r="P71">
        <f t="shared" si="8"/>
        <v>0</v>
      </c>
      <c r="Q71">
        <f t="shared" si="9"/>
        <v>0</v>
      </c>
      <c r="R71">
        <f t="shared" si="10"/>
        <v>0</v>
      </c>
    </row>
    <row r="72" spans="1:18">
      <c r="A72">
        <v>68</v>
      </c>
      <c r="B72">
        <v>123</v>
      </c>
      <c r="C72">
        <v>123</v>
      </c>
      <c r="D72">
        <v>175</v>
      </c>
      <c r="E72">
        <v>175</v>
      </c>
      <c r="F72" t="s">
        <v>137</v>
      </c>
      <c r="H72">
        <v>68</v>
      </c>
      <c r="I72">
        <v>123</v>
      </c>
      <c r="J72">
        <v>123</v>
      </c>
      <c r="K72">
        <v>175</v>
      </c>
      <c r="L72">
        <v>175</v>
      </c>
      <c r="M72" t="s">
        <v>234</v>
      </c>
      <c r="O72">
        <f t="shared" si="7"/>
        <v>0</v>
      </c>
      <c r="P72">
        <f t="shared" si="8"/>
        <v>0</v>
      </c>
      <c r="Q72">
        <f t="shared" si="9"/>
        <v>0</v>
      </c>
      <c r="R72">
        <f t="shared" si="10"/>
        <v>0</v>
      </c>
    </row>
    <row r="73" spans="1:18">
      <c r="A73">
        <v>79</v>
      </c>
      <c r="B73">
        <v>124</v>
      </c>
      <c r="C73">
        <v>124</v>
      </c>
      <c r="D73">
        <v>2607.6527000000001</v>
      </c>
      <c r="E73">
        <v>2607.6527000000001</v>
      </c>
      <c r="F73" t="s">
        <v>147</v>
      </c>
      <c r="H73">
        <v>86</v>
      </c>
      <c r="I73">
        <v>124</v>
      </c>
      <c r="J73">
        <v>124</v>
      </c>
      <c r="K73">
        <v>2607.6527000000001</v>
      </c>
      <c r="L73">
        <v>2607.6527000000001</v>
      </c>
      <c r="M73" t="s">
        <v>252</v>
      </c>
      <c r="O73">
        <f t="shared" si="7"/>
        <v>0</v>
      </c>
      <c r="P73">
        <f t="shared" si="8"/>
        <v>0</v>
      </c>
      <c r="Q73">
        <f t="shared" si="9"/>
        <v>0</v>
      </c>
      <c r="R73">
        <f t="shared" si="10"/>
        <v>0</v>
      </c>
    </row>
    <row r="74" spans="1:18">
      <c r="A74">
        <v>69</v>
      </c>
      <c r="B74">
        <v>131</v>
      </c>
      <c r="C74">
        <v>131</v>
      </c>
      <c r="D74">
        <v>200</v>
      </c>
      <c r="E74">
        <v>200</v>
      </c>
      <c r="F74" t="s">
        <v>138</v>
      </c>
      <c r="H74">
        <v>69</v>
      </c>
      <c r="I74">
        <v>131</v>
      </c>
      <c r="J74">
        <v>131</v>
      </c>
      <c r="K74">
        <v>200</v>
      </c>
      <c r="L74">
        <v>200</v>
      </c>
      <c r="M74" t="s">
        <v>235</v>
      </c>
      <c r="O74">
        <f t="shared" si="7"/>
        <v>0</v>
      </c>
      <c r="P74">
        <f t="shared" si="8"/>
        <v>0</v>
      </c>
      <c r="Q74">
        <f t="shared" si="9"/>
        <v>0</v>
      </c>
      <c r="R74">
        <f t="shared" si="10"/>
        <v>0</v>
      </c>
    </row>
    <row r="75" spans="1:18">
      <c r="A75">
        <v>80</v>
      </c>
      <c r="B75">
        <v>133</v>
      </c>
      <c r="C75">
        <v>133</v>
      </c>
      <c r="D75">
        <v>470</v>
      </c>
      <c r="E75">
        <v>470</v>
      </c>
      <c r="F75" t="s">
        <v>148</v>
      </c>
      <c r="H75">
        <v>87</v>
      </c>
      <c r="I75">
        <v>133</v>
      </c>
      <c r="J75">
        <v>133</v>
      </c>
      <c r="K75">
        <v>470</v>
      </c>
      <c r="L75">
        <v>470</v>
      </c>
      <c r="M75" t="s">
        <v>253</v>
      </c>
      <c r="O75">
        <f t="shared" si="7"/>
        <v>0</v>
      </c>
      <c r="P75">
        <f t="shared" si="8"/>
        <v>0</v>
      </c>
      <c r="Q75">
        <f t="shared" si="9"/>
        <v>0</v>
      </c>
      <c r="R75">
        <f t="shared" si="10"/>
        <v>0</v>
      </c>
    </row>
    <row r="76" spans="1:18">
      <c r="A76">
        <v>70</v>
      </c>
      <c r="B76">
        <v>136</v>
      </c>
      <c r="C76">
        <v>136</v>
      </c>
      <c r="D76">
        <v>5</v>
      </c>
      <c r="E76">
        <v>5</v>
      </c>
      <c r="F76" t="s">
        <v>139</v>
      </c>
      <c r="H76">
        <v>70</v>
      </c>
      <c r="I76">
        <v>136</v>
      </c>
      <c r="J76">
        <v>136</v>
      </c>
      <c r="K76">
        <v>5</v>
      </c>
      <c r="L76">
        <v>5</v>
      </c>
      <c r="M76" t="s">
        <v>236</v>
      </c>
      <c r="O76">
        <f t="shared" si="7"/>
        <v>0</v>
      </c>
      <c r="P76">
        <f t="shared" si="8"/>
        <v>0</v>
      </c>
      <c r="Q76">
        <f t="shared" si="9"/>
        <v>0</v>
      </c>
      <c r="R76">
        <f t="shared" si="10"/>
        <v>0</v>
      </c>
    </row>
    <row r="77" spans="1:18">
      <c r="A77">
        <v>71</v>
      </c>
      <c r="B77">
        <v>137</v>
      </c>
      <c r="C77">
        <v>137</v>
      </c>
      <c r="D77">
        <v>25</v>
      </c>
      <c r="E77">
        <v>25</v>
      </c>
      <c r="F77" t="s">
        <v>140</v>
      </c>
      <c r="H77">
        <v>71</v>
      </c>
      <c r="I77">
        <v>137</v>
      </c>
      <c r="J77">
        <v>137</v>
      </c>
      <c r="K77">
        <v>25</v>
      </c>
      <c r="L77">
        <v>25</v>
      </c>
      <c r="M77" t="s">
        <v>237</v>
      </c>
      <c r="O77">
        <f t="shared" si="7"/>
        <v>0</v>
      </c>
      <c r="P77">
        <f t="shared" si="8"/>
        <v>0</v>
      </c>
      <c r="Q77">
        <f t="shared" si="9"/>
        <v>0</v>
      </c>
      <c r="R77">
        <f t="shared" si="10"/>
        <v>0</v>
      </c>
    </row>
    <row r="78" spans="1:18">
      <c r="A78">
        <v>72</v>
      </c>
      <c r="B78">
        <v>151</v>
      </c>
      <c r="C78">
        <v>151</v>
      </c>
      <c r="D78">
        <v>527</v>
      </c>
      <c r="E78">
        <v>527</v>
      </c>
      <c r="F78" t="s">
        <v>141</v>
      </c>
      <c r="H78">
        <v>72</v>
      </c>
      <c r="I78">
        <v>151</v>
      </c>
      <c r="J78">
        <v>151</v>
      </c>
      <c r="K78">
        <v>527</v>
      </c>
      <c r="L78">
        <v>527</v>
      </c>
      <c r="M78" t="s">
        <v>238</v>
      </c>
      <c r="O78">
        <f t="shared" si="7"/>
        <v>0</v>
      </c>
      <c r="P78">
        <f t="shared" si="8"/>
        <v>0</v>
      </c>
      <c r="Q78">
        <f t="shared" si="9"/>
        <v>0</v>
      </c>
      <c r="R78">
        <f t="shared" si="10"/>
        <v>0</v>
      </c>
    </row>
    <row r="79" spans="1:18">
      <c r="A79">
        <v>81</v>
      </c>
      <c r="B79">
        <v>155</v>
      </c>
      <c r="C79">
        <v>155</v>
      </c>
      <c r="D79">
        <v>2075</v>
      </c>
      <c r="E79">
        <v>2075</v>
      </c>
      <c r="F79" t="s">
        <v>149</v>
      </c>
      <c r="H79">
        <v>88</v>
      </c>
      <c r="I79">
        <v>155</v>
      </c>
      <c r="J79">
        <v>155</v>
      </c>
      <c r="K79">
        <v>2075</v>
      </c>
      <c r="L79">
        <v>2075</v>
      </c>
      <c r="M79" t="s">
        <v>254</v>
      </c>
      <c r="O79">
        <f t="shared" si="7"/>
        <v>0</v>
      </c>
      <c r="P79">
        <f t="shared" si="8"/>
        <v>0</v>
      </c>
      <c r="Q79">
        <f t="shared" si="9"/>
        <v>0</v>
      </c>
      <c r="R79">
        <f t="shared" si="10"/>
        <v>0</v>
      </c>
    </row>
    <row r="80" spans="1:18">
      <c r="A80">
        <v>82</v>
      </c>
      <c r="B80">
        <v>156</v>
      </c>
      <c r="C80">
        <v>156</v>
      </c>
      <c r="D80">
        <v>557</v>
      </c>
      <c r="E80">
        <v>557</v>
      </c>
      <c r="F80" t="s">
        <v>150</v>
      </c>
      <c r="H80">
        <v>89</v>
      </c>
      <c r="I80">
        <v>156</v>
      </c>
      <c r="J80">
        <v>156</v>
      </c>
      <c r="K80">
        <v>557</v>
      </c>
      <c r="L80">
        <v>557</v>
      </c>
      <c r="M80" t="s">
        <v>255</v>
      </c>
      <c r="O80">
        <f t="shared" si="7"/>
        <v>0</v>
      </c>
      <c r="P80">
        <f t="shared" si="8"/>
        <v>0</v>
      </c>
      <c r="Q80">
        <f t="shared" si="9"/>
        <v>0</v>
      </c>
      <c r="R80">
        <f t="shared" si="10"/>
        <v>0</v>
      </c>
    </row>
    <row r="81" spans="1:18">
      <c r="A81">
        <v>83</v>
      </c>
      <c r="B81">
        <v>157</v>
      </c>
      <c r="C81">
        <v>157</v>
      </c>
      <c r="D81">
        <v>667</v>
      </c>
      <c r="E81">
        <v>667</v>
      </c>
      <c r="F81" t="s">
        <v>151</v>
      </c>
      <c r="H81">
        <v>90</v>
      </c>
      <c r="I81">
        <v>157</v>
      </c>
      <c r="J81">
        <v>157</v>
      </c>
      <c r="K81">
        <v>667</v>
      </c>
      <c r="L81">
        <v>667</v>
      </c>
      <c r="M81" t="s">
        <v>256</v>
      </c>
      <c r="O81">
        <f t="shared" si="7"/>
        <v>0</v>
      </c>
      <c r="P81">
        <f t="shared" si="8"/>
        <v>0</v>
      </c>
      <c r="Q81">
        <f t="shared" si="9"/>
        <v>0</v>
      </c>
      <c r="R81">
        <f t="shared" si="10"/>
        <v>0</v>
      </c>
    </row>
    <row r="82" spans="1:18">
      <c r="A82">
        <v>74</v>
      </c>
      <c r="B82">
        <v>158</v>
      </c>
      <c r="C82">
        <v>158</v>
      </c>
      <c r="D82">
        <v>1</v>
      </c>
      <c r="E82">
        <v>1</v>
      </c>
      <c r="F82" t="s">
        <v>143</v>
      </c>
      <c r="H82">
        <v>84</v>
      </c>
      <c r="I82">
        <v>158</v>
      </c>
      <c r="J82">
        <v>158</v>
      </c>
      <c r="K82">
        <v>1</v>
      </c>
      <c r="L82">
        <v>1</v>
      </c>
      <c r="M82" t="s">
        <v>250</v>
      </c>
      <c r="O82">
        <f t="shared" si="7"/>
        <v>0</v>
      </c>
      <c r="P82">
        <f t="shared" si="8"/>
        <v>0</v>
      </c>
      <c r="Q82">
        <f t="shared" si="9"/>
        <v>0</v>
      </c>
      <c r="R82">
        <f t="shared" si="10"/>
        <v>0</v>
      </c>
    </row>
    <row r="83" spans="1:18">
      <c r="A83">
        <v>84</v>
      </c>
      <c r="B83">
        <v>161</v>
      </c>
      <c r="C83">
        <v>124</v>
      </c>
      <c r="D83">
        <v>57.306899999999999</v>
      </c>
      <c r="E83">
        <v>2500</v>
      </c>
      <c r="F83" t="s">
        <v>152</v>
      </c>
      <c r="H83">
        <v>91</v>
      </c>
      <c r="I83">
        <v>161</v>
      </c>
      <c r="J83">
        <v>124</v>
      </c>
      <c r="K83">
        <v>57.306899999999999</v>
      </c>
      <c r="L83">
        <v>2500</v>
      </c>
      <c r="M83" t="s">
        <v>257</v>
      </c>
      <c r="O83">
        <f t="shared" si="7"/>
        <v>0</v>
      </c>
      <c r="P83">
        <f t="shared" si="8"/>
        <v>0</v>
      </c>
      <c r="Q83">
        <f t="shared" si="9"/>
        <v>0</v>
      </c>
      <c r="R83">
        <f t="shared" si="10"/>
        <v>0</v>
      </c>
    </row>
    <row r="84" spans="1:18">
      <c r="A84">
        <v>85</v>
      </c>
      <c r="B84">
        <v>164</v>
      </c>
      <c r="C84">
        <v>164</v>
      </c>
      <c r="D84">
        <v>2918.857</v>
      </c>
      <c r="E84">
        <v>2918.857</v>
      </c>
      <c r="F84" t="s">
        <v>153</v>
      </c>
      <c r="H84">
        <v>92</v>
      </c>
      <c r="I84">
        <v>164</v>
      </c>
      <c r="J84">
        <v>164</v>
      </c>
      <c r="K84">
        <v>2918.857</v>
      </c>
      <c r="L84">
        <v>2918.857</v>
      </c>
      <c r="M84" t="s">
        <v>258</v>
      </c>
      <c r="O84">
        <f t="shared" si="7"/>
        <v>0</v>
      </c>
      <c r="P84">
        <f t="shared" si="8"/>
        <v>0</v>
      </c>
      <c r="Q84">
        <f t="shared" si="9"/>
        <v>0</v>
      </c>
      <c r="R84">
        <f t="shared" si="10"/>
        <v>0</v>
      </c>
    </row>
    <row r="85" spans="1:18">
      <c r="A85">
        <v>73</v>
      </c>
      <c r="B85">
        <v>166</v>
      </c>
      <c r="C85">
        <v>166</v>
      </c>
      <c r="D85">
        <v>1600</v>
      </c>
      <c r="E85">
        <v>1600</v>
      </c>
      <c r="F85" t="s">
        <v>142</v>
      </c>
      <c r="H85">
        <v>73</v>
      </c>
      <c r="I85">
        <v>166</v>
      </c>
      <c r="J85">
        <v>166</v>
      </c>
      <c r="K85">
        <v>1600</v>
      </c>
      <c r="L85">
        <v>1600</v>
      </c>
      <c r="M85" t="s">
        <v>239</v>
      </c>
      <c r="O85">
        <f t="shared" si="7"/>
        <v>0</v>
      </c>
      <c r="P85">
        <f t="shared" si="8"/>
        <v>0</v>
      </c>
      <c r="Q85">
        <f t="shared" si="9"/>
        <v>0</v>
      </c>
      <c r="R85">
        <f t="shared" si="10"/>
        <v>0</v>
      </c>
    </row>
    <row r="86" spans="1:18">
      <c r="A86">
        <v>86</v>
      </c>
      <c r="B86">
        <v>171</v>
      </c>
      <c r="C86">
        <v>17</v>
      </c>
      <c r="D86">
        <v>0.3236</v>
      </c>
      <c r="E86">
        <v>19.652200000000001</v>
      </c>
      <c r="F86" t="s">
        <v>154</v>
      </c>
      <c r="H86">
        <v>74</v>
      </c>
      <c r="I86">
        <v>171</v>
      </c>
      <c r="J86">
        <v>17</v>
      </c>
      <c r="K86">
        <v>0.30009999999999998</v>
      </c>
      <c r="L86">
        <v>18.221699999999998</v>
      </c>
      <c r="M86" t="s">
        <v>240</v>
      </c>
      <c r="O86">
        <f t="shared" si="7"/>
        <v>0</v>
      </c>
      <c r="P86">
        <f t="shared" si="8"/>
        <v>0</v>
      </c>
      <c r="Q86">
        <f t="shared" si="9"/>
        <v>2.3500000000000021E-2</v>
      </c>
      <c r="R86">
        <f t="shared" si="10"/>
        <v>1.4305000000000021</v>
      </c>
    </row>
    <row r="87" spans="1:18">
      <c r="A87">
        <v>87</v>
      </c>
      <c r="B87">
        <v>171</v>
      </c>
      <c r="C87">
        <v>27</v>
      </c>
      <c r="D87">
        <v>0.14419999999999999</v>
      </c>
      <c r="E87">
        <v>11.195600000000001</v>
      </c>
      <c r="F87" t="s">
        <v>155</v>
      </c>
      <c r="H87">
        <v>75</v>
      </c>
      <c r="I87">
        <v>171</v>
      </c>
      <c r="J87">
        <v>27</v>
      </c>
      <c r="K87">
        <v>0.16769999999999999</v>
      </c>
      <c r="L87">
        <v>13.0246</v>
      </c>
      <c r="M87" t="s">
        <v>241</v>
      </c>
      <c r="O87">
        <f t="shared" si="7"/>
        <v>0</v>
      </c>
      <c r="P87">
        <f t="shared" si="8"/>
        <v>0</v>
      </c>
      <c r="Q87">
        <f t="shared" si="9"/>
        <v>-2.3499999999999993E-2</v>
      </c>
      <c r="R87">
        <f t="shared" si="10"/>
        <v>-1.8289999999999988</v>
      </c>
    </row>
    <row r="88" spans="1:18">
      <c r="A88">
        <v>88</v>
      </c>
      <c r="B88">
        <v>173</v>
      </c>
      <c r="C88">
        <v>15</v>
      </c>
      <c r="D88">
        <v>544.95190000000002</v>
      </c>
      <c r="E88">
        <v>679.64</v>
      </c>
      <c r="F88" t="s">
        <v>164</v>
      </c>
      <c r="H88">
        <v>76</v>
      </c>
      <c r="I88">
        <v>173</v>
      </c>
      <c r="J88">
        <v>15</v>
      </c>
      <c r="K88">
        <v>544.95190000000002</v>
      </c>
      <c r="L88">
        <v>679.64009999999996</v>
      </c>
      <c r="M88" t="s">
        <v>242</v>
      </c>
      <c r="O88">
        <f t="shared" si="7"/>
        <v>0</v>
      </c>
      <c r="P88">
        <f t="shared" si="8"/>
        <v>0</v>
      </c>
      <c r="Q88">
        <f t="shared" si="9"/>
        <v>0</v>
      </c>
      <c r="R88">
        <f t="shared" si="10"/>
        <v>-9.9999999974897946E-5</v>
      </c>
    </row>
    <row r="89" spans="1:18">
      <c r="A89">
        <v>89</v>
      </c>
      <c r="B89">
        <v>173</v>
      </c>
      <c r="C89">
        <v>16</v>
      </c>
      <c r="D89">
        <v>1065.5911000000001</v>
      </c>
      <c r="E89">
        <v>547.64509999999996</v>
      </c>
      <c r="F89" t="s">
        <v>165</v>
      </c>
      <c r="H89">
        <v>77</v>
      </c>
      <c r="I89">
        <v>173</v>
      </c>
      <c r="J89">
        <v>16</v>
      </c>
      <c r="K89">
        <v>1065.5889</v>
      </c>
      <c r="L89">
        <v>547.64509999999996</v>
      </c>
      <c r="M89" t="s">
        <v>243</v>
      </c>
      <c r="O89">
        <f t="shared" si="7"/>
        <v>0</v>
      </c>
      <c r="P89">
        <f t="shared" si="8"/>
        <v>0</v>
      </c>
      <c r="Q89">
        <f t="shared" si="9"/>
        <v>2.2000000001298758E-3</v>
      </c>
      <c r="R89">
        <f t="shared" si="10"/>
        <v>0</v>
      </c>
    </row>
    <row r="90" spans="1:18">
      <c r="A90">
        <v>90</v>
      </c>
      <c r="B90">
        <v>173</v>
      </c>
      <c r="C90">
        <v>17</v>
      </c>
      <c r="D90">
        <v>168.14699999999999</v>
      </c>
      <c r="E90">
        <v>86.4482</v>
      </c>
      <c r="F90" t="s">
        <v>166</v>
      </c>
      <c r="H90">
        <v>78</v>
      </c>
      <c r="I90">
        <v>173</v>
      </c>
      <c r="J90">
        <v>17</v>
      </c>
      <c r="K90">
        <v>168.14920000000001</v>
      </c>
      <c r="L90">
        <v>86.449299999999994</v>
      </c>
      <c r="M90" t="s">
        <v>244</v>
      </c>
      <c r="O90">
        <f t="shared" si="7"/>
        <v>0</v>
      </c>
      <c r="P90">
        <f t="shared" si="8"/>
        <v>0</v>
      </c>
      <c r="Q90">
        <f t="shared" si="9"/>
        <v>-2.200000000016189E-3</v>
      </c>
      <c r="R90">
        <f t="shared" si="10"/>
        <v>-1.0999999999938836E-3</v>
      </c>
    </row>
    <row r="91" spans="1:18">
      <c r="A91">
        <v>91</v>
      </c>
      <c r="B91">
        <v>174</v>
      </c>
      <c r="C91">
        <v>174</v>
      </c>
      <c r="D91">
        <v>700</v>
      </c>
      <c r="E91">
        <v>700</v>
      </c>
      <c r="F91" t="s">
        <v>156</v>
      </c>
      <c r="H91">
        <v>79</v>
      </c>
      <c r="I91">
        <v>174</v>
      </c>
      <c r="J91">
        <v>174</v>
      </c>
      <c r="K91">
        <v>700</v>
      </c>
      <c r="L91">
        <v>700</v>
      </c>
      <c r="M91" t="s">
        <v>245</v>
      </c>
      <c r="O91">
        <f t="shared" si="7"/>
        <v>0</v>
      </c>
      <c r="P91">
        <f t="shared" si="8"/>
        <v>0</v>
      </c>
      <c r="Q91">
        <f t="shared" si="9"/>
        <v>0</v>
      </c>
      <c r="R91">
        <f t="shared" si="10"/>
        <v>0</v>
      </c>
    </row>
    <row r="92" spans="1:18">
      <c r="A92">
        <v>92</v>
      </c>
      <c r="B92">
        <v>178</v>
      </c>
      <c r="C92">
        <v>178</v>
      </c>
      <c r="D92">
        <v>1252</v>
      </c>
      <c r="E92">
        <v>1252</v>
      </c>
      <c r="F92" t="s">
        <v>157</v>
      </c>
      <c r="H92">
        <v>80</v>
      </c>
      <c r="I92">
        <v>178</v>
      </c>
      <c r="J92">
        <v>178</v>
      </c>
      <c r="K92">
        <v>1252</v>
      </c>
      <c r="L92">
        <v>1252</v>
      </c>
      <c r="M92" t="s">
        <v>246</v>
      </c>
      <c r="O92">
        <f t="shared" si="7"/>
        <v>0</v>
      </c>
      <c r="P92">
        <f t="shared" si="8"/>
        <v>0</v>
      </c>
      <c r="Q92">
        <f t="shared" si="9"/>
        <v>0</v>
      </c>
      <c r="R92">
        <f t="shared" si="10"/>
        <v>0</v>
      </c>
    </row>
    <row r="93" spans="1:18">
      <c r="A93">
        <v>93</v>
      </c>
      <c r="B93">
        <v>182</v>
      </c>
      <c r="C93">
        <v>182</v>
      </c>
      <c r="D93">
        <v>1500</v>
      </c>
      <c r="E93">
        <v>1500</v>
      </c>
      <c r="F93" t="s">
        <v>158</v>
      </c>
      <c r="H93">
        <v>81</v>
      </c>
      <c r="I93">
        <v>182</v>
      </c>
      <c r="J93">
        <v>182</v>
      </c>
      <c r="K93">
        <v>1500</v>
      </c>
      <c r="L93">
        <v>1500</v>
      </c>
      <c r="M93" t="s">
        <v>247</v>
      </c>
      <c r="O93">
        <f t="shared" si="7"/>
        <v>0</v>
      </c>
      <c r="P93">
        <f t="shared" si="8"/>
        <v>0</v>
      </c>
      <c r="Q93">
        <f t="shared" si="9"/>
        <v>0</v>
      </c>
      <c r="R93">
        <f t="shared" si="10"/>
        <v>0</v>
      </c>
    </row>
    <row r="94" spans="1:18">
      <c r="A94">
        <v>94</v>
      </c>
      <c r="B94">
        <v>183</v>
      </c>
      <c r="C94">
        <v>183</v>
      </c>
      <c r="D94">
        <v>480</v>
      </c>
      <c r="E94">
        <v>480</v>
      </c>
      <c r="F94" t="s">
        <v>159</v>
      </c>
      <c r="H94">
        <v>93</v>
      </c>
      <c r="I94">
        <v>183</v>
      </c>
      <c r="J94">
        <v>183</v>
      </c>
      <c r="K94">
        <v>480</v>
      </c>
      <c r="L94">
        <v>480</v>
      </c>
      <c r="M94" t="s">
        <v>259</v>
      </c>
      <c r="O94">
        <f t="shared" si="7"/>
        <v>0</v>
      </c>
      <c r="P94">
        <f t="shared" si="8"/>
        <v>0</v>
      </c>
      <c r="Q94">
        <f t="shared" si="9"/>
        <v>0</v>
      </c>
      <c r="R94">
        <f t="shared" si="10"/>
        <v>0</v>
      </c>
    </row>
    <row r="95" spans="1:18">
      <c r="A95">
        <v>95</v>
      </c>
      <c r="B95">
        <v>184</v>
      </c>
      <c r="C95">
        <v>184</v>
      </c>
      <c r="D95">
        <v>20</v>
      </c>
      <c r="E95">
        <v>20</v>
      </c>
      <c r="F95" t="s">
        <v>160</v>
      </c>
      <c r="H95">
        <v>94</v>
      </c>
      <c r="I95">
        <v>184</v>
      </c>
      <c r="J95">
        <v>184</v>
      </c>
      <c r="K95">
        <v>20</v>
      </c>
      <c r="L95">
        <v>20</v>
      </c>
      <c r="M95" t="s">
        <v>260</v>
      </c>
      <c r="O95">
        <f t="shared" si="7"/>
        <v>0</v>
      </c>
      <c r="P95">
        <f t="shared" si="8"/>
        <v>0</v>
      </c>
      <c r="Q95">
        <f t="shared" si="9"/>
        <v>0</v>
      </c>
      <c r="R95">
        <f t="shared" si="10"/>
        <v>0</v>
      </c>
    </row>
    <row r="96" spans="1:18">
      <c r="A96">
        <v>96</v>
      </c>
      <c r="B96">
        <v>185</v>
      </c>
      <c r="C96">
        <v>185</v>
      </c>
      <c r="D96">
        <v>1000</v>
      </c>
      <c r="E96">
        <v>1000</v>
      </c>
      <c r="F96" t="s">
        <v>161</v>
      </c>
      <c r="H96">
        <v>95</v>
      </c>
      <c r="I96">
        <v>185</v>
      </c>
      <c r="J96">
        <v>185</v>
      </c>
      <c r="K96">
        <v>1000</v>
      </c>
      <c r="L96">
        <v>1000</v>
      </c>
      <c r="M96" t="s">
        <v>261</v>
      </c>
      <c r="O96">
        <f t="shared" si="7"/>
        <v>0</v>
      </c>
      <c r="P96">
        <f t="shared" si="8"/>
        <v>0</v>
      </c>
      <c r="Q96">
        <f t="shared" si="9"/>
        <v>0</v>
      </c>
      <c r="R96">
        <f t="shared" si="10"/>
        <v>0</v>
      </c>
    </row>
    <row r="97" spans="1:18">
      <c r="A97" t="s">
        <v>45</v>
      </c>
      <c r="B97" t="s">
        <v>45</v>
      </c>
      <c r="C97" t="s">
        <v>45</v>
      </c>
      <c r="D97" t="s">
        <v>45</v>
      </c>
      <c r="E97" t="s">
        <v>45</v>
      </c>
      <c r="F97" t="s">
        <v>45</v>
      </c>
      <c r="H97" t="s">
        <v>45</v>
      </c>
      <c r="I97" t="s">
        <v>45</v>
      </c>
      <c r="J97" t="s">
        <v>45</v>
      </c>
      <c r="K97" t="s">
        <v>45</v>
      </c>
      <c r="L97" t="s">
        <v>45</v>
      </c>
      <c r="M97" t="s">
        <v>45</v>
      </c>
    </row>
    <row r="98" spans="1:18">
      <c r="D98" s="19">
        <f>SUM(D2:D96)</f>
        <v>100934.57429999999</v>
      </c>
      <c r="E98" s="19">
        <f>SUM(E2:E96)</f>
        <v>113161.1571</v>
      </c>
      <c r="K98" s="19">
        <f>SUM(K2:K96)</f>
        <v>100934.57429999999</v>
      </c>
      <c r="L98" s="19">
        <f>SUM(L2:L96)</f>
        <v>113162.35759999999</v>
      </c>
      <c r="Q98" s="28"/>
    </row>
    <row r="99" spans="1:18">
      <c r="K99" s="19">
        <f>+D98-K98</f>
        <v>0</v>
      </c>
      <c r="L99" s="19">
        <f>+E98-L98</f>
        <v>-1.2004999999917345</v>
      </c>
      <c r="Q99" s="19"/>
      <c r="R99" s="19"/>
    </row>
    <row r="100" spans="1:18">
      <c r="K100" s="19"/>
      <c r="L100" s="19"/>
      <c r="Q100" s="19"/>
      <c r="R100" s="19"/>
    </row>
    <row r="101" spans="1:18">
      <c r="A101">
        <v>12</v>
      </c>
      <c r="B101">
        <v>1</v>
      </c>
      <c r="C101">
        <v>1</v>
      </c>
      <c r="D101">
        <v>325.52199999999999</v>
      </c>
      <c r="E101">
        <v>325.52199999999999</v>
      </c>
      <c r="F101" t="s">
        <v>81</v>
      </c>
      <c r="H101">
        <v>12</v>
      </c>
      <c r="I101">
        <v>1</v>
      </c>
      <c r="J101">
        <v>1</v>
      </c>
      <c r="K101">
        <v>325.52199999999999</v>
      </c>
      <c r="L101">
        <v>325.52199999999999</v>
      </c>
      <c r="M101" t="s">
        <v>257</v>
      </c>
      <c r="O101">
        <f>B101-I101</f>
        <v>0</v>
      </c>
      <c r="P101">
        <f t="shared" ref="P101:R101" si="11">C101-J101</f>
        <v>0</v>
      </c>
      <c r="Q101">
        <f t="shared" si="11"/>
        <v>0</v>
      </c>
      <c r="R101">
        <f t="shared" si="11"/>
        <v>0</v>
      </c>
    </row>
    <row r="102" spans="1:18">
      <c r="A102">
        <v>13</v>
      </c>
      <c r="B102">
        <v>2</v>
      </c>
      <c r="C102">
        <v>2</v>
      </c>
      <c r="D102">
        <v>1267.6880000000001</v>
      </c>
      <c r="E102">
        <v>1267.6880000000001</v>
      </c>
      <c r="F102" t="s">
        <v>82</v>
      </c>
      <c r="H102">
        <v>13</v>
      </c>
      <c r="I102">
        <v>2</v>
      </c>
      <c r="J102">
        <v>2</v>
      </c>
      <c r="K102">
        <v>1267.6880000000001</v>
      </c>
      <c r="L102">
        <v>1267.6880000000001</v>
      </c>
      <c r="M102" t="s">
        <v>258</v>
      </c>
      <c r="O102">
        <f t="shared" ref="O102:O165" si="12">B102-I102</f>
        <v>0</v>
      </c>
      <c r="P102">
        <f t="shared" ref="P102:P165" si="13">C102-J102</f>
        <v>0</v>
      </c>
      <c r="Q102">
        <f t="shared" ref="Q102:Q165" si="14">D102-K102</f>
        <v>0</v>
      </c>
      <c r="R102">
        <f t="shared" ref="R102:R165" si="15">E102-L102</f>
        <v>0</v>
      </c>
    </row>
    <row r="103" spans="1:18">
      <c r="A103">
        <v>21</v>
      </c>
      <c r="B103">
        <v>3</v>
      </c>
      <c r="C103">
        <v>3</v>
      </c>
      <c r="D103">
        <v>522.37400000000002</v>
      </c>
      <c r="E103">
        <v>522.37400000000002</v>
      </c>
      <c r="F103" t="s">
        <v>90</v>
      </c>
      <c r="H103">
        <v>21</v>
      </c>
      <c r="I103">
        <v>3</v>
      </c>
      <c r="J103">
        <v>3</v>
      </c>
      <c r="K103">
        <v>522.37400000000002</v>
      </c>
      <c r="L103">
        <v>522.37400000000002</v>
      </c>
      <c r="M103" t="s">
        <v>259</v>
      </c>
      <c r="O103">
        <f t="shared" si="12"/>
        <v>0</v>
      </c>
      <c r="P103">
        <f t="shared" si="13"/>
        <v>0</v>
      </c>
      <c r="Q103">
        <f t="shared" si="14"/>
        <v>0</v>
      </c>
      <c r="R103">
        <f t="shared" si="15"/>
        <v>0</v>
      </c>
    </row>
    <row r="104" spans="1:18">
      <c r="A104">
        <v>28</v>
      </c>
      <c r="B104">
        <v>7</v>
      </c>
      <c r="C104">
        <v>7</v>
      </c>
      <c r="D104">
        <v>24.091999999999999</v>
      </c>
      <c r="E104">
        <v>24.091999999999999</v>
      </c>
      <c r="F104" t="s">
        <v>97</v>
      </c>
      <c r="H104">
        <v>28</v>
      </c>
      <c r="I104">
        <v>7</v>
      </c>
      <c r="J104">
        <v>7</v>
      </c>
      <c r="K104">
        <v>24.091999999999999</v>
      </c>
      <c r="L104">
        <v>24.091999999999999</v>
      </c>
      <c r="M104" t="s">
        <v>260</v>
      </c>
      <c r="O104">
        <f t="shared" si="12"/>
        <v>0</v>
      </c>
      <c r="P104">
        <f t="shared" si="13"/>
        <v>0</v>
      </c>
      <c r="Q104">
        <f t="shared" si="14"/>
        <v>0</v>
      </c>
      <c r="R104">
        <f t="shared" si="15"/>
        <v>0</v>
      </c>
    </row>
    <row r="105" spans="1:18">
      <c r="A105">
        <v>31</v>
      </c>
      <c r="B105">
        <v>11</v>
      </c>
      <c r="C105">
        <v>11</v>
      </c>
      <c r="D105">
        <v>28.28</v>
      </c>
      <c r="E105">
        <v>28.28</v>
      </c>
      <c r="F105" t="s">
        <v>100</v>
      </c>
      <c r="H105">
        <v>31</v>
      </c>
      <c r="I105">
        <v>11</v>
      </c>
      <c r="J105">
        <v>11</v>
      </c>
      <c r="K105">
        <v>28.28</v>
      </c>
      <c r="L105">
        <v>28.28</v>
      </c>
      <c r="M105" t="s">
        <v>261</v>
      </c>
      <c r="O105">
        <f t="shared" si="12"/>
        <v>0</v>
      </c>
      <c r="P105">
        <f t="shared" si="13"/>
        <v>0</v>
      </c>
      <c r="Q105">
        <f t="shared" si="14"/>
        <v>0</v>
      </c>
      <c r="R105">
        <f t="shared" si="15"/>
        <v>0</v>
      </c>
    </row>
    <row r="106" spans="1:18">
      <c r="A106">
        <v>32</v>
      </c>
      <c r="B106">
        <v>12</v>
      </c>
      <c r="C106">
        <v>12</v>
      </c>
      <c r="D106">
        <v>134.86000000000001</v>
      </c>
      <c r="E106">
        <v>134.86000000000001</v>
      </c>
      <c r="F106" t="s">
        <v>101</v>
      </c>
      <c r="H106">
        <v>32</v>
      </c>
      <c r="I106">
        <v>12</v>
      </c>
      <c r="J106">
        <v>12</v>
      </c>
      <c r="K106">
        <v>134.86000000000001</v>
      </c>
      <c r="L106">
        <v>134.86000000000001</v>
      </c>
      <c r="M106" t="s">
        <v>262</v>
      </c>
      <c r="O106">
        <f t="shared" si="12"/>
        <v>0</v>
      </c>
      <c r="P106">
        <f t="shared" si="13"/>
        <v>0</v>
      </c>
      <c r="Q106">
        <f t="shared" si="14"/>
        <v>0</v>
      </c>
      <c r="R106">
        <f t="shared" si="15"/>
        <v>0</v>
      </c>
    </row>
    <row r="107" spans="1:18">
      <c r="A107">
        <v>1</v>
      </c>
      <c r="B107">
        <v>15</v>
      </c>
      <c r="C107">
        <v>15</v>
      </c>
      <c r="D107">
        <v>679.64</v>
      </c>
      <c r="E107">
        <v>679.64</v>
      </c>
      <c r="F107" t="s">
        <v>70</v>
      </c>
      <c r="H107">
        <v>1</v>
      </c>
      <c r="I107">
        <v>15</v>
      </c>
      <c r="J107">
        <v>15</v>
      </c>
      <c r="K107">
        <v>679.64</v>
      </c>
      <c r="L107">
        <v>679.64</v>
      </c>
      <c r="M107" t="s">
        <v>263</v>
      </c>
      <c r="O107">
        <f t="shared" si="12"/>
        <v>0</v>
      </c>
      <c r="P107">
        <f t="shared" si="13"/>
        <v>0</v>
      </c>
      <c r="Q107">
        <f t="shared" si="14"/>
        <v>0</v>
      </c>
      <c r="R107">
        <f t="shared" si="15"/>
        <v>0</v>
      </c>
    </row>
    <row r="108" spans="1:18">
      <c r="A108">
        <v>10</v>
      </c>
      <c r="B108">
        <v>16</v>
      </c>
      <c r="C108">
        <v>16</v>
      </c>
      <c r="D108">
        <v>547.64509999999996</v>
      </c>
      <c r="E108">
        <v>547.64509999999996</v>
      </c>
      <c r="F108" t="s">
        <v>79</v>
      </c>
      <c r="H108">
        <v>10</v>
      </c>
      <c r="I108">
        <v>16</v>
      </c>
      <c r="J108">
        <v>16</v>
      </c>
      <c r="K108">
        <v>547.64509999999996</v>
      </c>
      <c r="L108">
        <v>547.64509999999996</v>
      </c>
      <c r="M108" t="s">
        <v>264</v>
      </c>
      <c r="O108">
        <f t="shared" si="12"/>
        <v>0</v>
      </c>
      <c r="P108">
        <f t="shared" si="13"/>
        <v>0</v>
      </c>
      <c r="Q108">
        <f t="shared" si="14"/>
        <v>0</v>
      </c>
      <c r="R108">
        <f t="shared" si="15"/>
        <v>0</v>
      </c>
    </row>
    <row r="109" spans="1:18">
      <c r="A109">
        <v>18</v>
      </c>
      <c r="B109">
        <v>17</v>
      </c>
      <c r="C109">
        <v>17</v>
      </c>
      <c r="D109">
        <v>1010.611</v>
      </c>
      <c r="E109">
        <v>1010.611</v>
      </c>
      <c r="F109" t="s">
        <v>87</v>
      </c>
      <c r="H109">
        <v>18</v>
      </c>
      <c r="I109">
        <v>17</v>
      </c>
      <c r="J109">
        <v>17</v>
      </c>
      <c r="K109">
        <v>1010.611</v>
      </c>
      <c r="L109">
        <v>1010.611</v>
      </c>
      <c r="M109" t="s">
        <v>265</v>
      </c>
      <c r="O109">
        <f t="shared" si="12"/>
        <v>0</v>
      </c>
      <c r="P109">
        <f t="shared" si="13"/>
        <v>0</v>
      </c>
      <c r="Q109">
        <f t="shared" si="14"/>
        <v>0</v>
      </c>
      <c r="R109">
        <f t="shared" si="15"/>
        <v>0</v>
      </c>
    </row>
    <row r="110" spans="1:18">
      <c r="A110">
        <v>19</v>
      </c>
      <c r="B110">
        <v>24</v>
      </c>
      <c r="C110">
        <v>15</v>
      </c>
      <c r="D110">
        <v>280.07</v>
      </c>
      <c r="E110">
        <v>679.64</v>
      </c>
      <c r="F110" t="s">
        <v>88</v>
      </c>
      <c r="H110">
        <v>19</v>
      </c>
      <c r="I110">
        <v>24</v>
      </c>
      <c r="J110">
        <v>15</v>
      </c>
      <c r="K110">
        <v>280.07</v>
      </c>
      <c r="L110">
        <v>679.64</v>
      </c>
      <c r="M110" t="s">
        <v>266</v>
      </c>
      <c r="O110">
        <f t="shared" si="12"/>
        <v>0</v>
      </c>
      <c r="P110">
        <f t="shared" si="13"/>
        <v>0</v>
      </c>
      <c r="Q110">
        <f t="shared" si="14"/>
        <v>0</v>
      </c>
      <c r="R110">
        <f t="shared" si="15"/>
        <v>0</v>
      </c>
    </row>
    <row r="111" spans="1:18">
      <c r="A111">
        <v>22</v>
      </c>
      <c r="B111">
        <v>26</v>
      </c>
      <c r="C111">
        <v>15</v>
      </c>
      <c r="D111">
        <v>37.988199999999999</v>
      </c>
      <c r="E111">
        <v>679.64</v>
      </c>
      <c r="F111" t="s">
        <v>91</v>
      </c>
      <c r="H111">
        <v>22</v>
      </c>
      <c r="I111">
        <v>26</v>
      </c>
      <c r="J111">
        <v>15</v>
      </c>
      <c r="K111">
        <v>37.988199999999999</v>
      </c>
      <c r="L111">
        <v>679.64</v>
      </c>
      <c r="M111" t="s">
        <v>267</v>
      </c>
      <c r="O111">
        <f t="shared" si="12"/>
        <v>0</v>
      </c>
      <c r="P111">
        <f t="shared" si="13"/>
        <v>0</v>
      </c>
      <c r="Q111">
        <f t="shared" si="14"/>
        <v>0</v>
      </c>
      <c r="R111">
        <f t="shared" si="15"/>
        <v>0</v>
      </c>
    </row>
    <row r="112" spans="1:18">
      <c r="A112">
        <v>23</v>
      </c>
      <c r="B112">
        <v>26</v>
      </c>
      <c r="C112">
        <v>16</v>
      </c>
      <c r="D112">
        <v>74.281599999999997</v>
      </c>
      <c r="E112">
        <v>547.64509999999996</v>
      </c>
      <c r="F112" t="s">
        <v>92</v>
      </c>
      <c r="H112">
        <v>23</v>
      </c>
      <c r="I112">
        <v>26</v>
      </c>
      <c r="J112">
        <v>16</v>
      </c>
      <c r="K112">
        <v>74.281599999999997</v>
      </c>
      <c r="L112">
        <v>547.64509999999996</v>
      </c>
      <c r="M112" t="s">
        <v>268</v>
      </c>
      <c r="O112">
        <f t="shared" si="12"/>
        <v>0</v>
      </c>
      <c r="P112">
        <f t="shared" si="13"/>
        <v>0</v>
      </c>
      <c r="Q112">
        <f t="shared" si="14"/>
        <v>0</v>
      </c>
      <c r="R112">
        <f t="shared" si="15"/>
        <v>0</v>
      </c>
    </row>
    <row r="113" spans="1:23">
      <c r="A113">
        <v>24</v>
      </c>
      <c r="B113">
        <v>26</v>
      </c>
      <c r="C113">
        <v>17</v>
      </c>
      <c r="D113">
        <v>137.07730000000001</v>
      </c>
      <c r="E113">
        <v>1010.611</v>
      </c>
      <c r="F113" t="s">
        <v>93</v>
      </c>
      <c r="H113">
        <v>24</v>
      </c>
      <c r="I113">
        <v>26</v>
      </c>
      <c r="J113">
        <v>17</v>
      </c>
      <c r="K113">
        <v>137.07740000000001</v>
      </c>
      <c r="L113">
        <v>1010.611</v>
      </c>
      <c r="M113" t="s">
        <v>269</v>
      </c>
      <c r="O113">
        <f t="shared" si="12"/>
        <v>0</v>
      </c>
      <c r="P113">
        <f t="shared" si="13"/>
        <v>0</v>
      </c>
      <c r="Q113">
        <f t="shared" si="14"/>
        <v>-1.0000000000331966E-4</v>
      </c>
      <c r="R113">
        <f t="shared" si="15"/>
        <v>0</v>
      </c>
    </row>
    <row r="114" spans="1:23">
      <c r="A114">
        <v>29</v>
      </c>
      <c r="B114">
        <v>27</v>
      </c>
      <c r="C114">
        <v>27</v>
      </c>
      <c r="D114">
        <v>58.502000000000002</v>
      </c>
      <c r="E114">
        <v>58.502000000000002</v>
      </c>
      <c r="F114" t="s">
        <v>98</v>
      </c>
      <c r="H114">
        <v>29</v>
      </c>
      <c r="I114">
        <v>27</v>
      </c>
      <c r="J114">
        <v>27</v>
      </c>
      <c r="K114">
        <v>58.502000000000002</v>
      </c>
      <c r="L114">
        <v>58.502000000000002</v>
      </c>
      <c r="M114" t="s">
        <v>270</v>
      </c>
      <c r="O114">
        <f t="shared" si="12"/>
        <v>0</v>
      </c>
      <c r="P114">
        <f t="shared" si="13"/>
        <v>0</v>
      </c>
      <c r="Q114">
        <f t="shared" si="14"/>
        <v>0</v>
      </c>
      <c r="R114">
        <f t="shared" si="15"/>
        <v>0</v>
      </c>
    </row>
    <row r="115" spans="1:23">
      <c r="A115">
        <v>36</v>
      </c>
      <c r="B115">
        <v>29</v>
      </c>
      <c r="C115">
        <v>15</v>
      </c>
      <c r="D115">
        <v>358.11520000000002</v>
      </c>
      <c r="E115">
        <v>679.64</v>
      </c>
      <c r="F115" t="s">
        <v>105</v>
      </c>
      <c r="H115">
        <v>36</v>
      </c>
      <c r="I115">
        <v>29</v>
      </c>
      <c r="J115">
        <v>15</v>
      </c>
      <c r="K115">
        <v>358.11520000000002</v>
      </c>
      <c r="L115">
        <v>679.64</v>
      </c>
      <c r="M115" t="s">
        <v>271</v>
      </c>
      <c r="O115">
        <f t="shared" si="12"/>
        <v>0</v>
      </c>
      <c r="P115">
        <f t="shared" si="13"/>
        <v>0</v>
      </c>
      <c r="Q115">
        <f t="shared" si="14"/>
        <v>0</v>
      </c>
      <c r="R115">
        <f t="shared" si="15"/>
        <v>0</v>
      </c>
    </row>
    <row r="116" spans="1:23">
      <c r="A116">
        <v>37</v>
      </c>
      <c r="B116">
        <v>29</v>
      </c>
      <c r="C116">
        <v>16</v>
      </c>
      <c r="D116">
        <v>700.25350000000003</v>
      </c>
      <c r="E116">
        <v>547.64509999999996</v>
      </c>
      <c r="F116" t="s">
        <v>106</v>
      </c>
      <c r="H116">
        <v>37</v>
      </c>
      <c r="I116">
        <v>29</v>
      </c>
      <c r="J116">
        <v>16</v>
      </c>
      <c r="K116">
        <v>700.25350000000003</v>
      </c>
      <c r="L116">
        <v>547.64509999999996</v>
      </c>
      <c r="M116" t="s">
        <v>272</v>
      </c>
      <c r="O116">
        <f t="shared" si="12"/>
        <v>0</v>
      </c>
      <c r="P116">
        <f t="shared" si="13"/>
        <v>0</v>
      </c>
      <c r="Q116">
        <f t="shared" si="14"/>
        <v>0</v>
      </c>
      <c r="R116">
        <f t="shared" si="15"/>
        <v>0</v>
      </c>
    </row>
    <row r="117" spans="1:23">
      <c r="A117">
        <v>38</v>
      </c>
      <c r="B117">
        <v>29</v>
      </c>
      <c r="C117">
        <v>17</v>
      </c>
      <c r="D117">
        <v>1288.9573</v>
      </c>
      <c r="E117">
        <v>1008.0512</v>
      </c>
      <c r="F117" t="s">
        <v>107</v>
      </c>
      <c r="H117">
        <v>38</v>
      </c>
      <c r="I117">
        <v>29</v>
      </c>
      <c r="J117">
        <v>17</v>
      </c>
      <c r="K117">
        <v>1288.9572000000001</v>
      </c>
      <c r="L117">
        <v>1008.0512</v>
      </c>
      <c r="M117" t="s">
        <v>273</v>
      </c>
      <c r="O117">
        <f t="shared" si="12"/>
        <v>0</v>
      </c>
      <c r="P117">
        <f t="shared" si="13"/>
        <v>0</v>
      </c>
      <c r="Q117">
        <f t="shared" si="14"/>
        <v>9.9999999974897946E-5</v>
      </c>
      <c r="R117">
        <f t="shared" si="15"/>
        <v>0</v>
      </c>
    </row>
    <row r="118" spans="1:23">
      <c r="A118">
        <v>40</v>
      </c>
      <c r="B118">
        <v>31</v>
      </c>
      <c r="C118">
        <v>15</v>
      </c>
      <c r="D118">
        <v>39.353999999999999</v>
      </c>
      <c r="E118">
        <v>679.64</v>
      </c>
      <c r="F118" t="s">
        <v>109</v>
      </c>
      <c r="H118">
        <v>40</v>
      </c>
      <c r="I118">
        <v>31</v>
      </c>
      <c r="J118">
        <v>15</v>
      </c>
      <c r="K118">
        <v>39.353999999999999</v>
      </c>
      <c r="L118">
        <v>679.64</v>
      </c>
      <c r="M118" t="s">
        <v>274</v>
      </c>
      <c r="O118">
        <f t="shared" si="12"/>
        <v>0</v>
      </c>
      <c r="P118">
        <f t="shared" si="13"/>
        <v>0</v>
      </c>
      <c r="Q118">
        <f t="shared" si="14"/>
        <v>0</v>
      </c>
      <c r="R118">
        <f t="shared" si="15"/>
        <v>0</v>
      </c>
    </row>
    <row r="119" spans="1:23">
      <c r="A119">
        <v>41</v>
      </c>
      <c r="B119">
        <v>31</v>
      </c>
      <c r="C119">
        <v>16</v>
      </c>
      <c r="D119">
        <v>76.952299999999994</v>
      </c>
      <c r="E119">
        <v>547.64509999999996</v>
      </c>
      <c r="F119" t="s">
        <v>110</v>
      </c>
      <c r="H119">
        <v>41</v>
      </c>
      <c r="I119">
        <v>31</v>
      </c>
      <c r="J119">
        <v>16</v>
      </c>
      <c r="K119">
        <v>76.952299999999994</v>
      </c>
      <c r="L119">
        <v>547.64509999999996</v>
      </c>
      <c r="M119" t="s">
        <v>275</v>
      </c>
      <c r="O119">
        <f t="shared" si="12"/>
        <v>0</v>
      </c>
      <c r="P119">
        <f t="shared" si="13"/>
        <v>0</v>
      </c>
      <c r="Q119">
        <f t="shared" si="14"/>
        <v>0</v>
      </c>
      <c r="R119">
        <f t="shared" si="15"/>
        <v>0</v>
      </c>
    </row>
    <row r="120" spans="1:23">
      <c r="A120">
        <v>42</v>
      </c>
      <c r="B120">
        <v>31</v>
      </c>
      <c r="C120">
        <v>17</v>
      </c>
      <c r="D120">
        <v>141.64619999999999</v>
      </c>
      <c r="E120">
        <v>1008.0512</v>
      </c>
      <c r="F120" t="s">
        <v>111</v>
      </c>
      <c r="H120">
        <v>42</v>
      </c>
      <c r="I120">
        <v>31</v>
      </c>
      <c r="J120">
        <v>17</v>
      </c>
      <c r="K120">
        <v>141.64619999999999</v>
      </c>
      <c r="L120">
        <v>1008.0512</v>
      </c>
      <c r="M120" t="s">
        <v>276</v>
      </c>
      <c r="O120">
        <f t="shared" si="12"/>
        <v>0</v>
      </c>
      <c r="P120">
        <f t="shared" si="13"/>
        <v>0</v>
      </c>
      <c r="Q120">
        <f t="shared" si="14"/>
        <v>0</v>
      </c>
      <c r="R120">
        <f t="shared" si="15"/>
        <v>0</v>
      </c>
    </row>
    <row r="121" spans="1:23">
      <c r="A121">
        <v>43</v>
      </c>
      <c r="B121">
        <v>31</v>
      </c>
      <c r="C121">
        <v>27</v>
      </c>
      <c r="D121">
        <v>6.2279999999999998</v>
      </c>
      <c r="E121">
        <v>56.674100000000003</v>
      </c>
      <c r="F121" t="s">
        <v>112</v>
      </c>
      <c r="H121">
        <v>43</v>
      </c>
      <c r="I121">
        <v>31</v>
      </c>
      <c r="J121">
        <v>27</v>
      </c>
      <c r="K121">
        <v>6.2279999999999998</v>
      </c>
      <c r="L121">
        <v>56.674100000000003</v>
      </c>
      <c r="M121" t="s">
        <v>277</v>
      </c>
      <c r="O121">
        <f t="shared" si="12"/>
        <v>0</v>
      </c>
      <c r="P121">
        <f t="shared" si="13"/>
        <v>0</v>
      </c>
      <c r="Q121">
        <f t="shared" si="14"/>
        <v>0</v>
      </c>
      <c r="R121">
        <f t="shared" si="15"/>
        <v>0</v>
      </c>
    </row>
    <row r="122" spans="1:23">
      <c r="A122">
        <v>11</v>
      </c>
      <c r="B122">
        <v>32</v>
      </c>
      <c r="C122">
        <v>32</v>
      </c>
      <c r="D122">
        <v>5006.5078999999996</v>
      </c>
      <c r="E122">
        <v>5006.5078999999996</v>
      </c>
      <c r="F122" t="s">
        <v>80</v>
      </c>
      <c r="H122">
        <v>11</v>
      </c>
      <c r="I122">
        <v>32</v>
      </c>
      <c r="J122">
        <v>32</v>
      </c>
      <c r="K122">
        <v>5006.5078999999996</v>
      </c>
      <c r="L122">
        <v>5006.5078999999996</v>
      </c>
      <c r="M122" t="s">
        <v>278</v>
      </c>
      <c r="O122">
        <f t="shared" si="12"/>
        <v>0</v>
      </c>
      <c r="P122">
        <f t="shared" si="13"/>
        <v>0</v>
      </c>
      <c r="Q122">
        <f t="shared" si="14"/>
        <v>0</v>
      </c>
      <c r="R122">
        <f t="shared" si="15"/>
        <v>0</v>
      </c>
      <c r="T122">
        <v>26</v>
      </c>
      <c r="U122">
        <v>15</v>
      </c>
      <c r="V122">
        <v>37.988199999999999</v>
      </c>
      <c r="W122">
        <v>679.64009999999996</v>
      </c>
    </row>
    <row r="123" spans="1:23">
      <c r="A123">
        <v>20</v>
      </c>
      <c r="B123">
        <v>34</v>
      </c>
      <c r="C123">
        <v>32</v>
      </c>
      <c r="D123">
        <v>394.85</v>
      </c>
      <c r="E123">
        <v>5006.5078999999996</v>
      </c>
      <c r="F123" t="s">
        <v>89</v>
      </c>
      <c r="H123">
        <v>20</v>
      </c>
      <c r="I123">
        <v>34</v>
      </c>
      <c r="J123">
        <v>32</v>
      </c>
      <c r="K123">
        <v>394.85</v>
      </c>
      <c r="L123">
        <v>5006.5078999999996</v>
      </c>
      <c r="M123" t="s">
        <v>279</v>
      </c>
      <c r="O123">
        <f t="shared" si="12"/>
        <v>0</v>
      </c>
      <c r="P123">
        <f t="shared" si="13"/>
        <v>0</v>
      </c>
      <c r="Q123">
        <f t="shared" si="14"/>
        <v>0</v>
      </c>
      <c r="R123">
        <f t="shared" si="15"/>
        <v>0</v>
      </c>
      <c r="T123">
        <v>26</v>
      </c>
      <c r="U123">
        <v>16</v>
      </c>
      <c r="V123">
        <v>74.281499999999994</v>
      </c>
      <c r="W123">
        <v>547.64509999999996</v>
      </c>
    </row>
    <row r="124" spans="1:23">
      <c r="A124">
        <v>14</v>
      </c>
      <c r="B124">
        <v>35</v>
      </c>
      <c r="C124">
        <v>35</v>
      </c>
      <c r="D124">
        <v>21.84</v>
      </c>
      <c r="E124">
        <v>21.84</v>
      </c>
      <c r="F124" t="s">
        <v>83</v>
      </c>
      <c r="H124">
        <v>14</v>
      </c>
      <c r="I124">
        <v>35</v>
      </c>
      <c r="J124">
        <v>35</v>
      </c>
      <c r="K124">
        <v>21.84</v>
      </c>
      <c r="L124">
        <v>21.84</v>
      </c>
      <c r="M124" t="s">
        <v>280</v>
      </c>
      <c r="O124">
        <f t="shared" si="12"/>
        <v>0</v>
      </c>
      <c r="P124">
        <f t="shared" si="13"/>
        <v>0</v>
      </c>
      <c r="Q124">
        <f t="shared" si="14"/>
        <v>0</v>
      </c>
      <c r="R124">
        <f t="shared" si="15"/>
        <v>0</v>
      </c>
      <c r="T124">
        <v>26</v>
      </c>
      <c r="U124">
        <v>17</v>
      </c>
      <c r="V124">
        <v>137.07740000000001</v>
      </c>
      <c r="W124">
        <v>1010.611</v>
      </c>
    </row>
    <row r="125" spans="1:23">
      <c r="A125">
        <v>30</v>
      </c>
      <c r="B125">
        <v>37</v>
      </c>
      <c r="C125">
        <v>37</v>
      </c>
      <c r="D125">
        <v>76.745999999999995</v>
      </c>
      <c r="E125">
        <v>76.745999999999995</v>
      </c>
      <c r="F125" t="s">
        <v>99</v>
      </c>
      <c r="H125">
        <v>30</v>
      </c>
      <c r="I125">
        <v>37</v>
      </c>
      <c r="J125">
        <v>37</v>
      </c>
      <c r="K125">
        <v>76.745999999999995</v>
      </c>
      <c r="L125">
        <v>76.745999999999995</v>
      </c>
      <c r="M125" t="s">
        <v>281</v>
      </c>
      <c r="O125">
        <f t="shared" si="12"/>
        <v>0</v>
      </c>
      <c r="P125">
        <f t="shared" si="13"/>
        <v>0</v>
      </c>
      <c r="Q125">
        <f t="shared" si="14"/>
        <v>0</v>
      </c>
      <c r="R125">
        <f t="shared" si="15"/>
        <v>0</v>
      </c>
    </row>
    <row r="126" spans="1:23">
      <c r="A126">
        <v>34</v>
      </c>
      <c r="B126">
        <v>39</v>
      </c>
      <c r="C126">
        <v>37</v>
      </c>
      <c r="D126">
        <v>3.1440000000000001</v>
      </c>
      <c r="E126">
        <v>75</v>
      </c>
      <c r="F126" t="s">
        <v>103</v>
      </c>
      <c r="H126">
        <v>34</v>
      </c>
      <c r="I126">
        <v>39</v>
      </c>
      <c r="J126">
        <v>37</v>
      </c>
      <c r="K126">
        <v>3.1440000000000001</v>
      </c>
      <c r="L126">
        <v>75</v>
      </c>
      <c r="M126" t="s">
        <v>282</v>
      </c>
      <c r="O126">
        <f t="shared" si="12"/>
        <v>0</v>
      </c>
      <c r="P126">
        <f t="shared" si="13"/>
        <v>0</v>
      </c>
      <c r="Q126">
        <f t="shared" si="14"/>
        <v>0</v>
      </c>
      <c r="R126">
        <f t="shared" si="15"/>
        <v>0</v>
      </c>
    </row>
    <row r="127" spans="1:23">
      <c r="A127">
        <v>46</v>
      </c>
      <c r="B127">
        <v>41</v>
      </c>
      <c r="C127">
        <v>7</v>
      </c>
      <c r="D127">
        <v>174.22900000000001</v>
      </c>
      <c r="E127">
        <v>15</v>
      </c>
      <c r="F127" t="s">
        <v>115</v>
      </c>
      <c r="H127">
        <v>46</v>
      </c>
      <c r="I127">
        <v>41</v>
      </c>
      <c r="J127">
        <v>7</v>
      </c>
      <c r="K127">
        <v>174.22900000000001</v>
      </c>
      <c r="L127">
        <v>15</v>
      </c>
      <c r="M127" t="s">
        <v>283</v>
      </c>
      <c r="O127">
        <f t="shared" si="12"/>
        <v>0</v>
      </c>
      <c r="P127">
        <f t="shared" si="13"/>
        <v>0</v>
      </c>
      <c r="Q127">
        <f t="shared" si="14"/>
        <v>0</v>
      </c>
      <c r="R127">
        <f t="shared" si="15"/>
        <v>0</v>
      </c>
    </row>
    <row r="128" spans="1:23">
      <c r="A128">
        <v>2</v>
      </c>
      <c r="B128">
        <v>43</v>
      </c>
      <c r="C128">
        <v>43</v>
      </c>
      <c r="D128">
        <v>60</v>
      </c>
      <c r="E128">
        <v>60</v>
      </c>
      <c r="F128" t="s">
        <v>71</v>
      </c>
      <c r="H128">
        <v>2</v>
      </c>
      <c r="I128">
        <v>43</v>
      </c>
      <c r="J128">
        <v>43</v>
      </c>
      <c r="K128">
        <v>60</v>
      </c>
      <c r="L128">
        <v>60</v>
      </c>
      <c r="M128" t="s">
        <v>284</v>
      </c>
      <c r="O128">
        <f t="shared" si="12"/>
        <v>0</v>
      </c>
      <c r="P128">
        <f t="shared" si="13"/>
        <v>0</v>
      </c>
      <c r="Q128">
        <f t="shared" si="14"/>
        <v>0</v>
      </c>
      <c r="R128">
        <f t="shared" si="15"/>
        <v>0</v>
      </c>
    </row>
    <row r="129" spans="1:18">
      <c r="A129">
        <v>3</v>
      </c>
      <c r="B129">
        <v>46</v>
      </c>
      <c r="C129">
        <v>46</v>
      </c>
      <c r="D129">
        <v>1</v>
      </c>
      <c r="E129">
        <v>1</v>
      </c>
      <c r="F129" t="s">
        <v>72</v>
      </c>
      <c r="H129">
        <v>3</v>
      </c>
      <c r="I129">
        <v>46</v>
      </c>
      <c r="J129">
        <v>46</v>
      </c>
      <c r="K129">
        <v>1</v>
      </c>
      <c r="L129">
        <v>1</v>
      </c>
      <c r="M129" t="s">
        <v>285</v>
      </c>
      <c r="O129">
        <f t="shared" si="12"/>
        <v>0</v>
      </c>
      <c r="P129">
        <f t="shared" si="13"/>
        <v>0</v>
      </c>
      <c r="Q129">
        <f t="shared" si="14"/>
        <v>0</v>
      </c>
      <c r="R129">
        <f t="shared" si="15"/>
        <v>0</v>
      </c>
    </row>
    <row r="130" spans="1:18">
      <c r="A130">
        <v>4</v>
      </c>
      <c r="B130">
        <v>49</v>
      </c>
      <c r="C130">
        <v>49</v>
      </c>
      <c r="D130">
        <v>1</v>
      </c>
      <c r="E130">
        <v>1</v>
      </c>
      <c r="F130" t="s">
        <v>73</v>
      </c>
      <c r="H130">
        <v>4</v>
      </c>
      <c r="I130">
        <v>49</v>
      </c>
      <c r="J130">
        <v>49</v>
      </c>
      <c r="K130">
        <v>1</v>
      </c>
      <c r="L130">
        <v>1</v>
      </c>
      <c r="M130" t="s">
        <v>286</v>
      </c>
      <c r="O130">
        <f t="shared" si="12"/>
        <v>0</v>
      </c>
      <c r="P130">
        <f t="shared" si="13"/>
        <v>0</v>
      </c>
      <c r="Q130">
        <f t="shared" si="14"/>
        <v>0</v>
      </c>
      <c r="R130">
        <f t="shared" si="15"/>
        <v>0</v>
      </c>
    </row>
    <row r="131" spans="1:18">
      <c r="A131">
        <v>5</v>
      </c>
      <c r="B131">
        <v>51</v>
      </c>
      <c r="C131">
        <v>51</v>
      </c>
      <c r="D131">
        <v>1</v>
      </c>
      <c r="E131">
        <v>1</v>
      </c>
      <c r="F131" t="s">
        <v>74</v>
      </c>
      <c r="H131">
        <v>5</v>
      </c>
      <c r="I131">
        <v>51</v>
      </c>
      <c r="J131">
        <v>51</v>
      </c>
      <c r="K131">
        <v>1</v>
      </c>
      <c r="L131">
        <v>1</v>
      </c>
      <c r="M131" t="s">
        <v>287</v>
      </c>
      <c r="O131">
        <f t="shared" si="12"/>
        <v>0</v>
      </c>
      <c r="P131">
        <f t="shared" si="13"/>
        <v>0</v>
      </c>
      <c r="Q131">
        <f t="shared" si="14"/>
        <v>0</v>
      </c>
      <c r="R131">
        <f t="shared" si="15"/>
        <v>0</v>
      </c>
    </row>
    <row r="132" spans="1:18">
      <c r="A132">
        <v>6</v>
      </c>
      <c r="B132">
        <v>53</v>
      </c>
      <c r="C132">
        <v>53</v>
      </c>
      <c r="D132">
        <v>1</v>
      </c>
      <c r="E132">
        <v>1</v>
      </c>
      <c r="F132" t="s">
        <v>75</v>
      </c>
      <c r="H132">
        <v>6</v>
      </c>
      <c r="I132">
        <v>53</v>
      </c>
      <c r="J132">
        <v>53</v>
      </c>
      <c r="K132">
        <v>1</v>
      </c>
      <c r="L132">
        <v>1</v>
      </c>
      <c r="M132" t="s">
        <v>288</v>
      </c>
      <c r="O132">
        <f t="shared" si="12"/>
        <v>0</v>
      </c>
      <c r="P132">
        <f t="shared" si="13"/>
        <v>0</v>
      </c>
      <c r="Q132">
        <f t="shared" si="14"/>
        <v>0</v>
      </c>
      <c r="R132">
        <f t="shared" si="15"/>
        <v>0</v>
      </c>
    </row>
    <row r="133" spans="1:18">
      <c r="A133">
        <v>7</v>
      </c>
      <c r="B133">
        <v>55</v>
      </c>
      <c r="C133">
        <v>55</v>
      </c>
      <c r="D133">
        <v>1</v>
      </c>
      <c r="E133">
        <v>1</v>
      </c>
      <c r="F133" t="s">
        <v>76</v>
      </c>
      <c r="H133">
        <v>7</v>
      </c>
      <c r="I133">
        <v>55</v>
      </c>
      <c r="J133">
        <v>55</v>
      </c>
      <c r="K133">
        <v>1</v>
      </c>
      <c r="L133">
        <v>1</v>
      </c>
      <c r="M133" t="s">
        <v>289</v>
      </c>
      <c r="O133">
        <f t="shared" si="12"/>
        <v>0</v>
      </c>
      <c r="P133">
        <f t="shared" si="13"/>
        <v>0</v>
      </c>
      <c r="Q133">
        <f t="shared" si="14"/>
        <v>0</v>
      </c>
      <c r="R133">
        <f t="shared" si="15"/>
        <v>0</v>
      </c>
    </row>
    <row r="134" spans="1:18">
      <c r="A134">
        <v>8</v>
      </c>
      <c r="B134">
        <v>58</v>
      </c>
      <c r="C134">
        <v>58</v>
      </c>
      <c r="D134">
        <v>1</v>
      </c>
      <c r="E134">
        <v>1</v>
      </c>
      <c r="F134" t="s">
        <v>77</v>
      </c>
      <c r="H134">
        <v>8</v>
      </c>
      <c r="I134">
        <v>58</v>
      </c>
      <c r="J134">
        <v>58</v>
      </c>
      <c r="K134">
        <v>1</v>
      </c>
      <c r="L134">
        <v>1</v>
      </c>
      <c r="M134" t="s">
        <v>290</v>
      </c>
      <c r="O134">
        <f t="shared" si="12"/>
        <v>0</v>
      </c>
      <c r="P134">
        <f t="shared" si="13"/>
        <v>0</v>
      </c>
      <c r="Q134">
        <f t="shared" si="14"/>
        <v>0</v>
      </c>
      <c r="R134">
        <f t="shared" si="15"/>
        <v>0</v>
      </c>
    </row>
    <row r="135" spans="1:18">
      <c r="A135">
        <v>9</v>
      </c>
      <c r="B135">
        <v>63</v>
      </c>
      <c r="C135">
        <v>63</v>
      </c>
      <c r="D135">
        <v>3</v>
      </c>
      <c r="E135">
        <v>3</v>
      </c>
      <c r="F135" t="s">
        <v>78</v>
      </c>
      <c r="H135">
        <v>9</v>
      </c>
      <c r="I135">
        <v>63</v>
      </c>
      <c r="J135">
        <v>63</v>
      </c>
      <c r="K135">
        <v>3</v>
      </c>
      <c r="L135">
        <v>3</v>
      </c>
      <c r="M135" t="s">
        <v>291</v>
      </c>
      <c r="O135">
        <f t="shared" si="12"/>
        <v>0</v>
      </c>
      <c r="P135">
        <f t="shared" si="13"/>
        <v>0</v>
      </c>
      <c r="Q135">
        <f t="shared" si="14"/>
        <v>0</v>
      </c>
      <c r="R135">
        <f t="shared" si="15"/>
        <v>0</v>
      </c>
    </row>
    <row r="136" spans="1:18">
      <c r="A136">
        <v>15</v>
      </c>
      <c r="B136">
        <v>64</v>
      </c>
      <c r="C136">
        <v>64</v>
      </c>
      <c r="D136">
        <v>1006</v>
      </c>
      <c r="E136">
        <v>1006</v>
      </c>
      <c r="F136" t="s">
        <v>84</v>
      </c>
      <c r="H136">
        <v>15</v>
      </c>
      <c r="I136">
        <v>64</v>
      </c>
      <c r="J136">
        <v>64</v>
      </c>
      <c r="K136">
        <v>1006</v>
      </c>
      <c r="L136">
        <v>1006</v>
      </c>
      <c r="M136" t="s">
        <v>292</v>
      </c>
      <c r="O136">
        <f t="shared" si="12"/>
        <v>0</v>
      </c>
      <c r="P136">
        <f t="shared" si="13"/>
        <v>0</v>
      </c>
      <c r="Q136">
        <f t="shared" si="14"/>
        <v>0</v>
      </c>
      <c r="R136">
        <f t="shared" si="15"/>
        <v>0</v>
      </c>
    </row>
    <row r="137" spans="1:18">
      <c r="A137">
        <v>16</v>
      </c>
      <c r="B137">
        <v>67</v>
      </c>
      <c r="C137">
        <v>67</v>
      </c>
      <c r="D137">
        <v>920</v>
      </c>
      <c r="E137">
        <v>920</v>
      </c>
      <c r="F137" t="s">
        <v>85</v>
      </c>
      <c r="H137">
        <v>16</v>
      </c>
      <c r="I137">
        <v>67</v>
      </c>
      <c r="J137">
        <v>67</v>
      </c>
      <c r="K137">
        <v>920</v>
      </c>
      <c r="L137">
        <v>920</v>
      </c>
      <c r="M137" t="s">
        <v>293</v>
      </c>
      <c r="O137">
        <f t="shared" si="12"/>
        <v>0</v>
      </c>
      <c r="P137">
        <f t="shared" si="13"/>
        <v>0</v>
      </c>
      <c r="Q137">
        <f t="shared" si="14"/>
        <v>0</v>
      </c>
      <c r="R137">
        <f t="shared" si="15"/>
        <v>0</v>
      </c>
    </row>
    <row r="138" spans="1:18">
      <c r="A138">
        <v>17</v>
      </c>
      <c r="B138">
        <v>68</v>
      </c>
      <c r="C138">
        <v>68</v>
      </c>
      <c r="D138">
        <v>90</v>
      </c>
      <c r="E138">
        <v>90</v>
      </c>
      <c r="F138" t="s">
        <v>86</v>
      </c>
      <c r="H138">
        <v>17</v>
      </c>
      <c r="I138">
        <v>68</v>
      </c>
      <c r="J138">
        <v>68</v>
      </c>
      <c r="K138">
        <v>90</v>
      </c>
      <c r="L138">
        <v>90</v>
      </c>
      <c r="M138" t="s">
        <v>294</v>
      </c>
      <c r="O138">
        <f t="shared" si="12"/>
        <v>0</v>
      </c>
      <c r="P138">
        <f t="shared" si="13"/>
        <v>0</v>
      </c>
      <c r="Q138">
        <f t="shared" si="14"/>
        <v>0</v>
      </c>
      <c r="R138">
        <f t="shared" si="15"/>
        <v>0</v>
      </c>
    </row>
    <row r="139" spans="1:18">
      <c r="A139">
        <v>25</v>
      </c>
      <c r="B139">
        <v>70</v>
      </c>
      <c r="C139">
        <v>70</v>
      </c>
      <c r="D139">
        <v>2008</v>
      </c>
      <c r="E139">
        <v>2008</v>
      </c>
      <c r="F139" t="s">
        <v>94</v>
      </c>
      <c r="H139">
        <v>25</v>
      </c>
      <c r="I139">
        <v>70</v>
      </c>
      <c r="J139">
        <v>70</v>
      </c>
      <c r="K139">
        <v>2008</v>
      </c>
      <c r="L139">
        <v>2008</v>
      </c>
      <c r="M139" t="s">
        <v>295</v>
      </c>
      <c r="O139">
        <f t="shared" si="12"/>
        <v>0</v>
      </c>
      <c r="P139">
        <f t="shared" si="13"/>
        <v>0</v>
      </c>
      <c r="Q139">
        <f t="shared" si="14"/>
        <v>0</v>
      </c>
      <c r="R139">
        <f t="shared" si="15"/>
        <v>0</v>
      </c>
    </row>
    <row r="140" spans="1:18">
      <c r="A140">
        <v>26</v>
      </c>
      <c r="B140">
        <v>71</v>
      </c>
      <c r="C140">
        <v>71</v>
      </c>
      <c r="D140">
        <v>806</v>
      </c>
      <c r="E140">
        <v>806</v>
      </c>
      <c r="F140" t="s">
        <v>95</v>
      </c>
      <c r="H140">
        <v>26</v>
      </c>
      <c r="I140">
        <v>71</v>
      </c>
      <c r="J140">
        <v>71</v>
      </c>
      <c r="K140">
        <v>806</v>
      </c>
      <c r="L140">
        <v>806</v>
      </c>
      <c r="M140" t="s">
        <v>296</v>
      </c>
      <c r="O140">
        <f t="shared" si="12"/>
        <v>0</v>
      </c>
      <c r="P140">
        <f t="shared" si="13"/>
        <v>0</v>
      </c>
      <c r="Q140">
        <f t="shared" si="14"/>
        <v>0</v>
      </c>
      <c r="R140">
        <f t="shared" si="15"/>
        <v>0</v>
      </c>
    </row>
    <row r="141" spans="1:18">
      <c r="A141">
        <v>27</v>
      </c>
      <c r="B141">
        <v>72</v>
      </c>
      <c r="C141">
        <v>72</v>
      </c>
      <c r="D141">
        <v>1276</v>
      </c>
      <c r="E141">
        <v>1276</v>
      </c>
      <c r="F141" t="s">
        <v>96</v>
      </c>
      <c r="H141">
        <v>27</v>
      </c>
      <c r="I141">
        <v>72</v>
      </c>
      <c r="J141">
        <v>72</v>
      </c>
      <c r="K141">
        <v>1276</v>
      </c>
      <c r="L141">
        <v>1276</v>
      </c>
      <c r="M141" t="s">
        <v>297</v>
      </c>
      <c r="O141">
        <f t="shared" si="12"/>
        <v>0</v>
      </c>
      <c r="P141">
        <f t="shared" si="13"/>
        <v>0</v>
      </c>
      <c r="Q141">
        <f t="shared" si="14"/>
        <v>0</v>
      </c>
      <c r="R141">
        <f t="shared" si="15"/>
        <v>0</v>
      </c>
    </row>
    <row r="142" spans="1:18">
      <c r="A142">
        <v>33</v>
      </c>
      <c r="B142">
        <v>74</v>
      </c>
      <c r="C142">
        <v>74</v>
      </c>
      <c r="D142">
        <v>1755</v>
      </c>
      <c r="E142">
        <v>1755</v>
      </c>
      <c r="F142" t="s">
        <v>102</v>
      </c>
      <c r="H142">
        <v>33</v>
      </c>
      <c r="I142">
        <v>74</v>
      </c>
      <c r="J142">
        <v>74</v>
      </c>
      <c r="K142">
        <v>1755</v>
      </c>
      <c r="L142">
        <v>1755</v>
      </c>
      <c r="M142" t="s">
        <v>298</v>
      </c>
      <c r="O142">
        <f t="shared" si="12"/>
        <v>0</v>
      </c>
      <c r="P142">
        <f t="shared" si="13"/>
        <v>0</v>
      </c>
      <c r="Q142">
        <f t="shared" si="14"/>
        <v>0</v>
      </c>
      <c r="R142">
        <f t="shared" si="15"/>
        <v>0</v>
      </c>
    </row>
    <row r="143" spans="1:18">
      <c r="A143">
        <v>45</v>
      </c>
      <c r="B143">
        <v>77</v>
      </c>
      <c r="C143">
        <v>77</v>
      </c>
      <c r="D143">
        <v>4388</v>
      </c>
      <c r="E143">
        <v>4388</v>
      </c>
      <c r="F143" t="s">
        <v>114</v>
      </c>
      <c r="H143">
        <v>45</v>
      </c>
      <c r="I143">
        <v>77</v>
      </c>
      <c r="J143">
        <v>77</v>
      </c>
      <c r="K143">
        <v>4388</v>
      </c>
      <c r="L143">
        <v>4388</v>
      </c>
      <c r="M143" t="s">
        <v>299</v>
      </c>
      <c r="O143">
        <f t="shared" si="12"/>
        <v>0</v>
      </c>
      <c r="P143">
        <f t="shared" si="13"/>
        <v>0</v>
      </c>
      <c r="Q143">
        <f t="shared" si="14"/>
        <v>0</v>
      </c>
      <c r="R143">
        <f t="shared" si="15"/>
        <v>0</v>
      </c>
    </row>
    <row r="144" spans="1:18">
      <c r="A144">
        <v>47</v>
      </c>
      <c r="B144">
        <v>78</v>
      </c>
      <c r="C144">
        <v>78</v>
      </c>
      <c r="D144">
        <v>7743</v>
      </c>
      <c r="E144">
        <v>7743</v>
      </c>
      <c r="F144" t="s">
        <v>116</v>
      </c>
      <c r="H144">
        <v>47</v>
      </c>
      <c r="I144">
        <v>78</v>
      </c>
      <c r="J144">
        <v>78</v>
      </c>
      <c r="K144">
        <v>7743</v>
      </c>
      <c r="L144">
        <v>7743</v>
      </c>
      <c r="M144" t="s">
        <v>300</v>
      </c>
      <c r="O144">
        <f t="shared" si="12"/>
        <v>0</v>
      </c>
      <c r="P144">
        <f t="shared" si="13"/>
        <v>0</v>
      </c>
      <c r="Q144">
        <f t="shared" si="14"/>
        <v>0</v>
      </c>
      <c r="R144">
        <f t="shared" si="15"/>
        <v>0</v>
      </c>
    </row>
    <row r="145" spans="1:18">
      <c r="A145">
        <v>35</v>
      </c>
      <c r="B145">
        <v>79</v>
      </c>
      <c r="C145">
        <v>79</v>
      </c>
      <c r="D145">
        <v>925</v>
      </c>
      <c r="E145">
        <v>925</v>
      </c>
      <c r="F145" t="s">
        <v>104</v>
      </c>
      <c r="H145">
        <v>35</v>
      </c>
      <c r="I145">
        <v>79</v>
      </c>
      <c r="J145">
        <v>79</v>
      </c>
      <c r="K145">
        <v>925</v>
      </c>
      <c r="L145">
        <v>925</v>
      </c>
      <c r="M145" t="s">
        <v>301</v>
      </c>
      <c r="O145">
        <f t="shared" si="12"/>
        <v>0</v>
      </c>
      <c r="P145">
        <f t="shared" si="13"/>
        <v>0</v>
      </c>
      <c r="Q145">
        <f t="shared" si="14"/>
        <v>0</v>
      </c>
      <c r="R145">
        <f t="shared" si="15"/>
        <v>0</v>
      </c>
    </row>
    <row r="146" spans="1:18">
      <c r="A146">
        <v>39</v>
      </c>
      <c r="B146">
        <v>81</v>
      </c>
      <c r="C146">
        <v>81</v>
      </c>
      <c r="D146">
        <v>929</v>
      </c>
      <c r="E146">
        <v>929</v>
      </c>
      <c r="F146" t="s">
        <v>108</v>
      </c>
      <c r="H146">
        <v>39</v>
      </c>
      <c r="I146">
        <v>81</v>
      </c>
      <c r="J146">
        <v>81</v>
      </c>
      <c r="K146">
        <v>929</v>
      </c>
      <c r="L146">
        <v>929</v>
      </c>
      <c r="M146" t="s">
        <v>302</v>
      </c>
      <c r="O146">
        <f t="shared" si="12"/>
        <v>0</v>
      </c>
      <c r="P146">
        <f t="shared" si="13"/>
        <v>0</v>
      </c>
      <c r="Q146">
        <f t="shared" si="14"/>
        <v>0</v>
      </c>
      <c r="R146">
        <f t="shared" si="15"/>
        <v>0</v>
      </c>
    </row>
    <row r="147" spans="1:18">
      <c r="A147">
        <v>44</v>
      </c>
      <c r="B147">
        <v>83</v>
      </c>
      <c r="C147">
        <v>83</v>
      </c>
      <c r="D147">
        <v>5386</v>
      </c>
      <c r="E147">
        <v>5386</v>
      </c>
      <c r="F147" t="s">
        <v>113</v>
      </c>
      <c r="H147">
        <v>44</v>
      </c>
      <c r="I147">
        <v>83</v>
      </c>
      <c r="J147">
        <v>83</v>
      </c>
      <c r="K147">
        <v>5386</v>
      </c>
      <c r="L147">
        <v>5386</v>
      </c>
      <c r="M147" t="s">
        <v>303</v>
      </c>
      <c r="O147">
        <f t="shared" si="12"/>
        <v>0</v>
      </c>
      <c r="P147">
        <f t="shared" si="13"/>
        <v>0</v>
      </c>
      <c r="Q147">
        <f t="shared" si="14"/>
        <v>0</v>
      </c>
      <c r="R147">
        <f t="shared" si="15"/>
        <v>0</v>
      </c>
    </row>
    <row r="148" spans="1:18">
      <c r="A148">
        <v>48</v>
      </c>
      <c r="B148">
        <v>85</v>
      </c>
      <c r="C148">
        <v>85</v>
      </c>
      <c r="D148">
        <v>274</v>
      </c>
      <c r="E148">
        <v>274</v>
      </c>
      <c r="F148" t="s">
        <v>117</v>
      </c>
      <c r="H148">
        <v>48</v>
      </c>
      <c r="I148">
        <v>85</v>
      </c>
      <c r="J148">
        <v>85</v>
      </c>
      <c r="K148">
        <v>274</v>
      </c>
      <c r="L148">
        <v>274</v>
      </c>
      <c r="M148" t="s">
        <v>304</v>
      </c>
      <c r="O148">
        <f t="shared" si="12"/>
        <v>0</v>
      </c>
      <c r="P148">
        <f t="shared" si="13"/>
        <v>0</v>
      </c>
      <c r="Q148">
        <f t="shared" si="14"/>
        <v>0</v>
      </c>
      <c r="R148">
        <f t="shared" si="15"/>
        <v>0</v>
      </c>
    </row>
    <row r="149" spans="1:18">
      <c r="A149">
        <v>49</v>
      </c>
      <c r="B149">
        <v>86</v>
      </c>
      <c r="C149">
        <v>86</v>
      </c>
      <c r="D149">
        <v>168</v>
      </c>
      <c r="E149">
        <v>168</v>
      </c>
      <c r="F149" t="s">
        <v>118</v>
      </c>
      <c r="H149">
        <v>49</v>
      </c>
      <c r="I149">
        <v>86</v>
      </c>
      <c r="J149">
        <v>86</v>
      </c>
      <c r="K149">
        <v>168</v>
      </c>
      <c r="L149">
        <v>168</v>
      </c>
      <c r="M149" t="s">
        <v>305</v>
      </c>
      <c r="O149">
        <f t="shared" si="12"/>
        <v>0</v>
      </c>
      <c r="P149">
        <f t="shared" si="13"/>
        <v>0</v>
      </c>
      <c r="Q149">
        <f t="shared" si="14"/>
        <v>0</v>
      </c>
      <c r="R149">
        <f t="shared" si="15"/>
        <v>0</v>
      </c>
    </row>
    <row r="150" spans="1:18">
      <c r="A150">
        <v>50</v>
      </c>
      <c r="B150">
        <v>92</v>
      </c>
      <c r="C150">
        <v>15</v>
      </c>
      <c r="D150">
        <v>443.13400000000001</v>
      </c>
      <c r="E150">
        <v>679.64</v>
      </c>
      <c r="F150" t="s">
        <v>119</v>
      </c>
      <c r="H150">
        <v>50</v>
      </c>
      <c r="I150">
        <v>92</v>
      </c>
      <c r="J150">
        <v>15</v>
      </c>
      <c r="K150">
        <v>443.13400000000001</v>
      </c>
      <c r="L150">
        <v>679.64</v>
      </c>
      <c r="M150" t="s">
        <v>306</v>
      </c>
      <c r="O150">
        <f t="shared" si="12"/>
        <v>0</v>
      </c>
      <c r="P150">
        <f t="shared" si="13"/>
        <v>0</v>
      </c>
      <c r="Q150">
        <f t="shared" si="14"/>
        <v>0</v>
      </c>
      <c r="R150">
        <f t="shared" si="15"/>
        <v>0</v>
      </c>
    </row>
    <row r="151" spans="1:18">
      <c r="A151">
        <v>51</v>
      </c>
      <c r="B151">
        <v>92</v>
      </c>
      <c r="C151">
        <v>16</v>
      </c>
      <c r="D151">
        <v>866.49839999999995</v>
      </c>
      <c r="E151">
        <v>547.64509999999996</v>
      </c>
      <c r="F151" t="s">
        <v>120</v>
      </c>
      <c r="H151">
        <v>51</v>
      </c>
      <c r="I151">
        <v>92</v>
      </c>
      <c r="J151">
        <v>16</v>
      </c>
      <c r="K151">
        <v>866.49839999999995</v>
      </c>
      <c r="L151">
        <v>547.64509999999996</v>
      </c>
      <c r="M151" t="s">
        <v>307</v>
      </c>
      <c r="O151">
        <f t="shared" si="12"/>
        <v>0</v>
      </c>
      <c r="P151">
        <f t="shared" si="13"/>
        <v>0</v>
      </c>
      <c r="Q151">
        <f t="shared" si="14"/>
        <v>0</v>
      </c>
      <c r="R151">
        <f t="shared" si="15"/>
        <v>0</v>
      </c>
    </row>
    <row r="152" spans="1:18">
      <c r="A152">
        <v>52</v>
      </c>
      <c r="B152">
        <v>92</v>
      </c>
      <c r="C152">
        <v>17</v>
      </c>
      <c r="D152">
        <v>1598.8742</v>
      </c>
      <c r="E152">
        <v>1010.611</v>
      </c>
      <c r="F152" t="s">
        <v>121</v>
      </c>
      <c r="H152">
        <v>52</v>
      </c>
      <c r="I152">
        <v>92</v>
      </c>
      <c r="J152">
        <v>17</v>
      </c>
      <c r="K152">
        <v>1598.8742</v>
      </c>
      <c r="L152">
        <v>1010.611</v>
      </c>
      <c r="M152" t="s">
        <v>308</v>
      </c>
      <c r="O152">
        <f t="shared" si="12"/>
        <v>0</v>
      </c>
      <c r="P152">
        <f t="shared" si="13"/>
        <v>0</v>
      </c>
      <c r="Q152">
        <f t="shared" si="14"/>
        <v>0</v>
      </c>
      <c r="R152">
        <f t="shared" si="15"/>
        <v>0</v>
      </c>
    </row>
    <row r="153" spans="1:18">
      <c r="A153">
        <v>53</v>
      </c>
      <c r="B153">
        <v>92</v>
      </c>
      <c r="C153">
        <v>27</v>
      </c>
      <c r="D153">
        <v>13.853400000000001</v>
      </c>
      <c r="E153">
        <v>11.195600000000001</v>
      </c>
      <c r="F153" t="s">
        <v>122</v>
      </c>
      <c r="H153">
        <v>53</v>
      </c>
      <c r="I153">
        <v>92</v>
      </c>
      <c r="J153">
        <v>27</v>
      </c>
      <c r="K153">
        <v>13.853400000000001</v>
      </c>
      <c r="L153">
        <v>11.195600000000001</v>
      </c>
      <c r="M153" t="s">
        <v>309</v>
      </c>
      <c r="O153">
        <f t="shared" si="12"/>
        <v>0</v>
      </c>
      <c r="P153">
        <f t="shared" si="13"/>
        <v>0</v>
      </c>
      <c r="Q153">
        <f t="shared" si="14"/>
        <v>0</v>
      </c>
      <c r="R153">
        <f t="shared" si="15"/>
        <v>0</v>
      </c>
    </row>
    <row r="154" spans="1:18">
      <c r="A154">
        <v>55</v>
      </c>
      <c r="B154">
        <v>94</v>
      </c>
      <c r="C154">
        <v>94</v>
      </c>
      <c r="D154">
        <v>6415</v>
      </c>
      <c r="E154">
        <v>6415</v>
      </c>
      <c r="F154" t="s">
        <v>124</v>
      </c>
      <c r="H154">
        <v>55</v>
      </c>
      <c r="I154">
        <v>94</v>
      </c>
      <c r="J154">
        <v>94</v>
      </c>
      <c r="K154">
        <v>6415</v>
      </c>
      <c r="L154">
        <v>6415</v>
      </c>
      <c r="M154" t="s">
        <v>310</v>
      </c>
      <c r="O154">
        <f t="shared" si="12"/>
        <v>0</v>
      </c>
      <c r="P154">
        <f t="shared" si="13"/>
        <v>0</v>
      </c>
      <c r="Q154">
        <f t="shared" si="14"/>
        <v>0</v>
      </c>
      <c r="R154">
        <f t="shared" si="15"/>
        <v>0</v>
      </c>
    </row>
    <row r="155" spans="1:18">
      <c r="A155">
        <v>54</v>
      </c>
      <c r="B155">
        <v>96</v>
      </c>
      <c r="C155">
        <v>7</v>
      </c>
      <c r="D155">
        <v>10.042999999999999</v>
      </c>
      <c r="E155">
        <v>12.914</v>
      </c>
      <c r="F155" t="s">
        <v>123</v>
      </c>
      <c r="H155">
        <v>54</v>
      </c>
      <c r="I155">
        <v>96</v>
      </c>
      <c r="J155">
        <v>7</v>
      </c>
      <c r="K155">
        <v>10.042999999999999</v>
      </c>
      <c r="L155">
        <v>12.914</v>
      </c>
      <c r="M155" t="s">
        <v>311</v>
      </c>
      <c r="O155">
        <f t="shared" si="12"/>
        <v>0</v>
      </c>
      <c r="P155">
        <f t="shared" si="13"/>
        <v>0</v>
      </c>
      <c r="Q155">
        <f t="shared" si="14"/>
        <v>0</v>
      </c>
      <c r="R155">
        <f t="shared" si="15"/>
        <v>0</v>
      </c>
    </row>
    <row r="156" spans="1:18">
      <c r="A156">
        <v>56</v>
      </c>
      <c r="B156">
        <v>98</v>
      </c>
      <c r="C156">
        <v>98</v>
      </c>
      <c r="D156">
        <v>112.246</v>
      </c>
      <c r="E156">
        <v>112.246</v>
      </c>
      <c r="F156" t="s">
        <v>125</v>
      </c>
      <c r="H156">
        <v>56</v>
      </c>
      <c r="I156">
        <v>98</v>
      </c>
      <c r="J156">
        <v>98</v>
      </c>
      <c r="K156">
        <v>112.246</v>
      </c>
      <c r="L156">
        <v>112.246</v>
      </c>
      <c r="M156" t="s">
        <v>312</v>
      </c>
      <c r="O156">
        <f t="shared" si="12"/>
        <v>0</v>
      </c>
      <c r="P156">
        <f t="shared" si="13"/>
        <v>0</v>
      </c>
      <c r="Q156">
        <f t="shared" si="14"/>
        <v>0</v>
      </c>
      <c r="R156">
        <f t="shared" si="15"/>
        <v>0</v>
      </c>
    </row>
    <row r="157" spans="1:18">
      <c r="A157">
        <v>57</v>
      </c>
      <c r="B157">
        <v>99</v>
      </c>
      <c r="C157">
        <v>99</v>
      </c>
      <c r="D157">
        <v>4570</v>
      </c>
      <c r="E157">
        <v>4570</v>
      </c>
      <c r="F157" t="s">
        <v>126</v>
      </c>
      <c r="H157">
        <v>57</v>
      </c>
      <c r="I157">
        <v>99</v>
      </c>
      <c r="J157">
        <v>99</v>
      </c>
      <c r="K157">
        <v>4570</v>
      </c>
      <c r="L157">
        <v>4570</v>
      </c>
      <c r="M157" t="s">
        <v>313</v>
      </c>
      <c r="O157">
        <f t="shared" si="12"/>
        <v>0</v>
      </c>
      <c r="P157">
        <f t="shared" si="13"/>
        <v>0</v>
      </c>
      <c r="Q157">
        <f t="shared" si="14"/>
        <v>0</v>
      </c>
      <c r="R157">
        <f t="shared" si="15"/>
        <v>0</v>
      </c>
    </row>
    <row r="158" spans="1:18">
      <c r="A158">
        <v>58</v>
      </c>
      <c r="B158">
        <v>101</v>
      </c>
      <c r="C158">
        <v>15</v>
      </c>
      <c r="D158">
        <v>24.7409</v>
      </c>
      <c r="E158">
        <v>679.64</v>
      </c>
      <c r="F158" t="s">
        <v>127</v>
      </c>
      <c r="H158">
        <v>58</v>
      </c>
      <c r="I158">
        <v>101</v>
      </c>
      <c r="J158">
        <v>15</v>
      </c>
      <c r="K158">
        <v>24.7409</v>
      </c>
      <c r="L158">
        <v>679.64</v>
      </c>
      <c r="M158" t="s">
        <v>314</v>
      </c>
      <c r="O158">
        <f t="shared" si="12"/>
        <v>0</v>
      </c>
      <c r="P158">
        <f t="shared" si="13"/>
        <v>0</v>
      </c>
      <c r="Q158">
        <f t="shared" si="14"/>
        <v>0</v>
      </c>
      <c r="R158">
        <f t="shared" si="15"/>
        <v>0</v>
      </c>
    </row>
    <row r="159" spans="1:18">
      <c r="A159">
        <v>59</v>
      </c>
      <c r="B159">
        <v>101</v>
      </c>
      <c r="C159">
        <v>16</v>
      </c>
      <c r="D159">
        <v>48.378</v>
      </c>
      <c r="E159">
        <v>547.64509999999996</v>
      </c>
      <c r="F159" t="s">
        <v>128</v>
      </c>
      <c r="H159">
        <v>59</v>
      </c>
      <c r="I159">
        <v>101</v>
      </c>
      <c r="J159">
        <v>16</v>
      </c>
      <c r="K159">
        <v>48.378</v>
      </c>
      <c r="L159">
        <v>547.64509999999996</v>
      </c>
      <c r="M159" t="s">
        <v>315</v>
      </c>
      <c r="O159">
        <f t="shared" si="12"/>
        <v>0</v>
      </c>
      <c r="P159">
        <f t="shared" si="13"/>
        <v>0</v>
      </c>
      <c r="Q159">
        <f t="shared" si="14"/>
        <v>0</v>
      </c>
      <c r="R159">
        <f t="shared" si="15"/>
        <v>0</v>
      </c>
    </row>
    <row r="160" spans="1:18">
      <c r="A160">
        <v>60</v>
      </c>
      <c r="B160">
        <v>101</v>
      </c>
      <c r="C160">
        <v>17</v>
      </c>
      <c r="D160">
        <v>87.633899999999997</v>
      </c>
      <c r="E160">
        <v>992.38829999999996</v>
      </c>
      <c r="F160" t="s">
        <v>129</v>
      </c>
      <c r="H160">
        <v>60</v>
      </c>
      <c r="I160">
        <v>101</v>
      </c>
      <c r="J160">
        <v>17</v>
      </c>
      <c r="K160">
        <v>87.633899999999997</v>
      </c>
      <c r="L160">
        <v>992.38829999999996</v>
      </c>
      <c r="M160" t="s">
        <v>316</v>
      </c>
      <c r="O160">
        <f t="shared" si="12"/>
        <v>0</v>
      </c>
      <c r="P160">
        <f t="shared" si="13"/>
        <v>0</v>
      </c>
      <c r="Q160">
        <f t="shared" si="14"/>
        <v>0</v>
      </c>
      <c r="R160">
        <f t="shared" si="15"/>
        <v>0</v>
      </c>
    </row>
    <row r="161" spans="1:18">
      <c r="A161">
        <v>61</v>
      </c>
      <c r="B161">
        <v>104</v>
      </c>
      <c r="C161">
        <v>37</v>
      </c>
      <c r="D161">
        <v>4.7E-2</v>
      </c>
      <c r="E161">
        <v>1.746</v>
      </c>
      <c r="F161" t="s">
        <v>130</v>
      </c>
      <c r="H161">
        <v>61</v>
      </c>
      <c r="I161">
        <v>104</v>
      </c>
      <c r="J161">
        <v>37</v>
      </c>
      <c r="K161">
        <v>4.7E-2</v>
      </c>
      <c r="L161">
        <v>1.746</v>
      </c>
      <c r="M161" t="s">
        <v>317</v>
      </c>
      <c r="O161">
        <f t="shared" si="12"/>
        <v>0</v>
      </c>
      <c r="P161">
        <f t="shared" si="13"/>
        <v>0</v>
      </c>
      <c r="Q161">
        <f t="shared" si="14"/>
        <v>0</v>
      </c>
      <c r="R161">
        <f t="shared" si="15"/>
        <v>0</v>
      </c>
    </row>
    <row r="162" spans="1:18">
      <c r="A162">
        <v>62</v>
      </c>
      <c r="B162">
        <v>105</v>
      </c>
      <c r="C162">
        <v>105</v>
      </c>
      <c r="D162">
        <v>15</v>
      </c>
      <c r="E162">
        <v>15</v>
      </c>
      <c r="F162" t="s">
        <v>131</v>
      </c>
      <c r="H162">
        <v>62</v>
      </c>
      <c r="I162">
        <v>105</v>
      </c>
      <c r="J162">
        <v>105</v>
      </c>
      <c r="K162">
        <v>15</v>
      </c>
      <c r="L162">
        <v>15</v>
      </c>
      <c r="M162" t="s">
        <v>318</v>
      </c>
      <c r="O162">
        <f t="shared" si="12"/>
        <v>0</v>
      </c>
      <c r="P162">
        <f t="shared" si="13"/>
        <v>0</v>
      </c>
      <c r="Q162">
        <f t="shared" si="14"/>
        <v>0</v>
      </c>
      <c r="R162">
        <f t="shared" si="15"/>
        <v>0</v>
      </c>
    </row>
    <row r="163" spans="1:18">
      <c r="A163">
        <v>63</v>
      </c>
      <c r="B163">
        <v>106</v>
      </c>
      <c r="C163">
        <v>106</v>
      </c>
      <c r="D163">
        <v>4492</v>
      </c>
      <c r="E163">
        <v>4492</v>
      </c>
      <c r="F163" t="s">
        <v>132</v>
      </c>
      <c r="H163">
        <v>63</v>
      </c>
      <c r="I163">
        <v>106</v>
      </c>
      <c r="J163">
        <v>106</v>
      </c>
      <c r="K163">
        <v>4492</v>
      </c>
      <c r="L163">
        <v>4492</v>
      </c>
      <c r="M163" t="s">
        <v>319</v>
      </c>
      <c r="O163">
        <f t="shared" si="12"/>
        <v>0</v>
      </c>
      <c r="P163">
        <f t="shared" si="13"/>
        <v>0</v>
      </c>
      <c r="Q163">
        <f t="shared" si="14"/>
        <v>0</v>
      </c>
      <c r="R163">
        <f t="shared" si="15"/>
        <v>0</v>
      </c>
    </row>
    <row r="164" spans="1:18">
      <c r="A164">
        <v>64</v>
      </c>
      <c r="B164">
        <v>108</v>
      </c>
      <c r="C164">
        <v>108</v>
      </c>
      <c r="D164">
        <v>0.53749999999999998</v>
      </c>
      <c r="E164">
        <v>0.53749999999999998</v>
      </c>
      <c r="F164" t="s">
        <v>133</v>
      </c>
      <c r="H164">
        <v>64</v>
      </c>
      <c r="I164">
        <v>108</v>
      </c>
      <c r="J164">
        <v>108</v>
      </c>
      <c r="K164">
        <v>0.53749999999999998</v>
      </c>
      <c r="L164">
        <v>0.53749999999999998</v>
      </c>
      <c r="M164" t="s">
        <v>320</v>
      </c>
      <c r="O164">
        <f t="shared" si="12"/>
        <v>0</v>
      </c>
      <c r="P164">
        <f t="shared" si="13"/>
        <v>0</v>
      </c>
      <c r="Q164">
        <f t="shared" si="14"/>
        <v>0</v>
      </c>
      <c r="R164">
        <f t="shared" si="15"/>
        <v>0</v>
      </c>
    </row>
    <row r="165" spans="1:18">
      <c r="A165">
        <v>65</v>
      </c>
      <c r="B165">
        <v>109</v>
      </c>
      <c r="C165">
        <v>109</v>
      </c>
      <c r="D165">
        <v>235</v>
      </c>
      <c r="E165">
        <v>235</v>
      </c>
      <c r="F165" t="s">
        <v>134</v>
      </c>
      <c r="H165">
        <v>65</v>
      </c>
      <c r="I165">
        <v>109</v>
      </c>
      <c r="J165">
        <v>109</v>
      </c>
      <c r="K165">
        <v>235</v>
      </c>
      <c r="L165">
        <v>235</v>
      </c>
      <c r="M165" t="s">
        <v>321</v>
      </c>
      <c r="O165">
        <f t="shared" si="12"/>
        <v>0</v>
      </c>
      <c r="P165">
        <f t="shared" si="13"/>
        <v>0</v>
      </c>
      <c r="Q165">
        <f t="shared" si="14"/>
        <v>0</v>
      </c>
      <c r="R165">
        <f t="shared" si="15"/>
        <v>0</v>
      </c>
    </row>
    <row r="166" spans="1:18">
      <c r="A166">
        <v>66</v>
      </c>
      <c r="B166">
        <v>110</v>
      </c>
      <c r="C166">
        <v>110</v>
      </c>
      <c r="D166">
        <v>55</v>
      </c>
      <c r="E166">
        <v>55</v>
      </c>
      <c r="F166" t="s">
        <v>135</v>
      </c>
      <c r="H166">
        <v>66</v>
      </c>
      <c r="I166">
        <v>110</v>
      </c>
      <c r="J166">
        <v>110</v>
      </c>
      <c r="K166">
        <v>55</v>
      </c>
      <c r="L166">
        <v>55</v>
      </c>
      <c r="M166" t="s">
        <v>322</v>
      </c>
      <c r="O166">
        <f t="shared" ref="O166:O195" si="16">B166-I166</f>
        <v>0</v>
      </c>
      <c r="P166">
        <f t="shared" ref="P166:P195" si="17">C166-J166</f>
        <v>0</v>
      </c>
      <c r="Q166">
        <f t="shared" ref="Q166:Q195" si="18">D166-K166</f>
        <v>0</v>
      </c>
      <c r="R166">
        <f t="shared" ref="R166:R195" si="19">E166-L166</f>
        <v>0</v>
      </c>
    </row>
    <row r="167" spans="1:18">
      <c r="A167">
        <v>75</v>
      </c>
      <c r="B167">
        <v>112</v>
      </c>
      <c r="C167">
        <v>112</v>
      </c>
      <c r="D167">
        <v>15925</v>
      </c>
      <c r="E167">
        <v>15925</v>
      </c>
      <c r="F167" t="s">
        <v>144</v>
      </c>
      <c r="H167">
        <v>82</v>
      </c>
      <c r="I167">
        <v>112</v>
      </c>
      <c r="J167">
        <v>112</v>
      </c>
      <c r="K167">
        <v>15925</v>
      </c>
      <c r="L167">
        <v>15925</v>
      </c>
      <c r="M167" t="s">
        <v>323</v>
      </c>
      <c r="O167">
        <f t="shared" si="16"/>
        <v>0</v>
      </c>
      <c r="P167">
        <f t="shared" si="17"/>
        <v>0</v>
      </c>
      <c r="Q167">
        <f t="shared" si="18"/>
        <v>0</v>
      </c>
      <c r="R167">
        <f t="shared" si="19"/>
        <v>0</v>
      </c>
    </row>
    <row r="168" spans="1:18">
      <c r="A168">
        <v>76</v>
      </c>
      <c r="B168">
        <v>113</v>
      </c>
      <c r="C168">
        <v>113</v>
      </c>
      <c r="D168">
        <v>191</v>
      </c>
      <c r="E168">
        <v>191</v>
      </c>
      <c r="F168" t="s">
        <v>145</v>
      </c>
      <c r="H168">
        <v>83</v>
      </c>
      <c r="I168">
        <v>113</v>
      </c>
      <c r="J168">
        <v>113</v>
      </c>
      <c r="K168">
        <v>191</v>
      </c>
      <c r="L168">
        <v>191</v>
      </c>
      <c r="M168" t="s">
        <v>324</v>
      </c>
      <c r="O168">
        <f t="shared" si="16"/>
        <v>0</v>
      </c>
      <c r="P168">
        <f t="shared" si="17"/>
        <v>0</v>
      </c>
      <c r="Q168">
        <f t="shared" si="18"/>
        <v>0</v>
      </c>
      <c r="R168">
        <f t="shared" si="19"/>
        <v>0</v>
      </c>
    </row>
    <row r="169" spans="1:18">
      <c r="A169">
        <v>77</v>
      </c>
      <c r="B169">
        <v>114</v>
      </c>
      <c r="C169">
        <v>114</v>
      </c>
      <c r="D169">
        <v>468</v>
      </c>
      <c r="E169">
        <v>468</v>
      </c>
      <c r="F169" t="s">
        <v>146</v>
      </c>
      <c r="H169">
        <v>85</v>
      </c>
      <c r="I169">
        <v>114</v>
      </c>
      <c r="J169">
        <v>114</v>
      </c>
      <c r="K169">
        <v>468</v>
      </c>
      <c r="L169">
        <v>468</v>
      </c>
      <c r="M169" t="s">
        <v>325</v>
      </c>
      <c r="O169">
        <f t="shared" si="16"/>
        <v>0</v>
      </c>
      <c r="P169">
        <f t="shared" si="17"/>
        <v>0</v>
      </c>
      <c r="Q169">
        <f t="shared" si="18"/>
        <v>0</v>
      </c>
      <c r="R169">
        <f t="shared" si="19"/>
        <v>0</v>
      </c>
    </row>
    <row r="170" spans="1:18">
      <c r="A170">
        <v>67</v>
      </c>
      <c r="B170">
        <v>122</v>
      </c>
      <c r="C170">
        <v>122</v>
      </c>
      <c r="D170">
        <v>5585.1589999999997</v>
      </c>
      <c r="E170">
        <v>5585.1589999999997</v>
      </c>
      <c r="F170" t="s">
        <v>136</v>
      </c>
      <c r="H170">
        <v>67</v>
      </c>
      <c r="I170">
        <v>122</v>
      </c>
      <c r="J170">
        <v>122</v>
      </c>
      <c r="K170">
        <v>5585.1589999999997</v>
      </c>
      <c r="L170">
        <v>5585.1589999999997</v>
      </c>
      <c r="M170" t="s">
        <v>326</v>
      </c>
      <c r="O170">
        <f t="shared" si="16"/>
        <v>0</v>
      </c>
      <c r="P170">
        <f t="shared" si="17"/>
        <v>0</v>
      </c>
      <c r="Q170">
        <f t="shared" si="18"/>
        <v>0</v>
      </c>
      <c r="R170">
        <f t="shared" si="19"/>
        <v>0</v>
      </c>
    </row>
    <row r="171" spans="1:18">
      <c r="A171">
        <v>68</v>
      </c>
      <c r="B171">
        <v>123</v>
      </c>
      <c r="C171">
        <v>123</v>
      </c>
      <c r="D171">
        <v>175</v>
      </c>
      <c r="E171">
        <v>175</v>
      </c>
      <c r="F171" t="s">
        <v>137</v>
      </c>
      <c r="H171">
        <v>68</v>
      </c>
      <c r="I171">
        <v>123</v>
      </c>
      <c r="J171">
        <v>123</v>
      </c>
      <c r="K171">
        <v>175</v>
      </c>
      <c r="L171">
        <v>175</v>
      </c>
      <c r="M171" t="s">
        <v>327</v>
      </c>
      <c r="O171">
        <f t="shared" si="16"/>
        <v>0</v>
      </c>
      <c r="P171">
        <f t="shared" si="17"/>
        <v>0</v>
      </c>
      <c r="Q171">
        <f t="shared" si="18"/>
        <v>0</v>
      </c>
      <c r="R171">
        <f t="shared" si="19"/>
        <v>0</v>
      </c>
    </row>
    <row r="172" spans="1:18">
      <c r="A172">
        <v>79</v>
      </c>
      <c r="B172">
        <v>124</v>
      </c>
      <c r="C172">
        <v>124</v>
      </c>
      <c r="D172">
        <v>2607.6527000000001</v>
      </c>
      <c r="E172">
        <v>2607.6527000000001</v>
      </c>
      <c r="F172" t="s">
        <v>147</v>
      </c>
      <c r="H172">
        <v>86</v>
      </c>
      <c r="I172">
        <v>124</v>
      </c>
      <c r="J172">
        <v>124</v>
      </c>
      <c r="K172">
        <v>2607.6527000000001</v>
      </c>
      <c r="L172">
        <v>2607.6527000000001</v>
      </c>
      <c r="M172" t="s">
        <v>328</v>
      </c>
      <c r="O172">
        <f t="shared" si="16"/>
        <v>0</v>
      </c>
      <c r="P172">
        <f t="shared" si="17"/>
        <v>0</v>
      </c>
      <c r="Q172">
        <f t="shared" si="18"/>
        <v>0</v>
      </c>
      <c r="R172">
        <f t="shared" si="19"/>
        <v>0</v>
      </c>
    </row>
    <row r="173" spans="1:18">
      <c r="A173">
        <v>69</v>
      </c>
      <c r="B173">
        <v>131</v>
      </c>
      <c r="C173">
        <v>131</v>
      </c>
      <c r="D173">
        <v>200</v>
      </c>
      <c r="E173">
        <v>200</v>
      </c>
      <c r="F173" t="s">
        <v>138</v>
      </c>
      <c r="H173">
        <v>69</v>
      </c>
      <c r="I173">
        <v>131</v>
      </c>
      <c r="J173">
        <v>131</v>
      </c>
      <c r="K173">
        <v>200</v>
      </c>
      <c r="L173">
        <v>200</v>
      </c>
      <c r="M173" t="s">
        <v>329</v>
      </c>
      <c r="O173">
        <f t="shared" si="16"/>
        <v>0</v>
      </c>
      <c r="P173">
        <f t="shared" si="17"/>
        <v>0</v>
      </c>
      <c r="Q173">
        <f t="shared" si="18"/>
        <v>0</v>
      </c>
      <c r="R173">
        <f t="shared" si="19"/>
        <v>0</v>
      </c>
    </row>
    <row r="174" spans="1:18">
      <c r="A174">
        <v>80</v>
      </c>
      <c r="B174">
        <v>133</v>
      </c>
      <c r="C174">
        <v>133</v>
      </c>
      <c r="D174">
        <v>470</v>
      </c>
      <c r="E174">
        <v>470</v>
      </c>
      <c r="F174" t="s">
        <v>148</v>
      </c>
      <c r="H174">
        <v>87</v>
      </c>
      <c r="I174">
        <v>133</v>
      </c>
      <c r="J174">
        <v>133</v>
      </c>
      <c r="K174">
        <v>470</v>
      </c>
      <c r="L174">
        <v>470</v>
      </c>
      <c r="M174" t="s">
        <v>330</v>
      </c>
      <c r="O174">
        <f t="shared" si="16"/>
        <v>0</v>
      </c>
      <c r="P174">
        <f t="shared" si="17"/>
        <v>0</v>
      </c>
      <c r="Q174">
        <f t="shared" si="18"/>
        <v>0</v>
      </c>
      <c r="R174">
        <f t="shared" si="19"/>
        <v>0</v>
      </c>
    </row>
    <row r="175" spans="1:18">
      <c r="A175">
        <v>70</v>
      </c>
      <c r="B175">
        <v>136</v>
      </c>
      <c r="C175">
        <v>136</v>
      </c>
      <c r="D175">
        <v>5</v>
      </c>
      <c r="E175">
        <v>5</v>
      </c>
      <c r="F175" t="s">
        <v>139</v>
      </c>
      <c r="H175">
        <v>70</v>
      </c>
      <c r="I175">
        <v>136</v>
      </c>
      <c r="J175">
        <v>136</v>
      </c>
      <c r="K175">
        <v>5</v>
      </c>
      <c r="L175">
        <v>5</v>
      </c>
      <c r="M175" t="s">
        <v>331</v>
      </c>
      <c r="O175">
        <f t="shared" si="16"/>
        <v>0</v>
      </c>
      <c r="P175">
        <f t="shared" si="17"/>
        <v>0</v>
      </c>
      <c r="Q175">
        <f t="shared" si="18"/>
        <v>0</v>
      </c>
      <c r="R175">
        <f t="shared" si="19"/>
        <v>0</v>
      </c>
    </row>
    <row r="176" spans="1:18">
      <c r="A176">
        <v>71</v>
      </c>
      <c r="B176">
        <v>137</v>
      </c>
      <c r="C176">
        <v>137</v>
      </c>
      <c r="D176">
        <v>25</v>
      </c>
      <c r="E176">
        <v>25</v>
      </c>
      <c r="F176" t="s">
        <v>140</v>
      </c>
      <c r="H176">
        <v>71</v>
      </c>
      <c r="I176">
        <v>137</v>
      </c>
      <c r="J176">
        <v>137</v>
      </c>
      <c r="K176">
        <v>25</v>
      </c>
      <c r="L176">
        <v>25</v>
      </c>
      <c r="M176" t="s">
        <v>332</v>
      </c>
      <c r="O176">
        <f t="shared" si="16"/>
        <v>0</v>
      </c>
      <c r="P176">
        <f t="shared" si="17"/>
        <v>0</v>
      </c>
      <c r="Q176">
        <f t="shared" si="18"/>
        <v>0</v>
      </c>
      <c r="R176">
        <f t="shared" si="19"/>
        <v>0</v>
      </c>
    </row>
    <row r="177" spans="1:18">
      <c r="A177">
        <v>72</v>
      </c>
      <c r="B177">
        <v>151</v>
      </c>
      <c r="C177">
        <v>151</v>
      </c>
      <c r="D177">
        <v>527</v>
      </c>
      <c r="E177">
        <v>527</v>
      </c>
      <c r="F177" t="s">
        <v>141</v>
      </c>
      <c r="H177">
        <v>72</v>
      </c>
      <c r="I177">
        <v>151</v>
      </c>
      <c r="J177">
        <v>151</v>
      </c>
      <c r="K177">
        <v>527</v>
      </c>
      <c r="L177">
        <v>527</v>
      </c>
      <c r="M177" t="s">
        <v>333</v>
      </c>
      <c r="O177">
        <f t="shared" si="16"/>
        <v>0</v>
      </c>
      <c r="P177">
        <f t="shared" si="17"/>
        <v>0</v>
      </c>
      <c r="Q177">
        <f t="shared" si="18"/>
        <v>0</v>
      </c>
      <c r="R177">
        <f t="shared" si="19"/>
        <v>0</v>
      </c>
    </row>
    <row r="178" spans="1:18">
      <c r="A178">
        <v>81</v>
      </c>
      <c r="B178">
        <v>155</v>
      </c>
      <c r="C178">
        <v>155</v>
      </c>
      <c r="D178">
        <v>2075</v>
      </c>
      <c r="E178">
        <v>2075</v>
      </c>
      <c r="F178" t="s">
        <v>149</v>
      </c>
      <c r="H178">
        <v>88</v>
      </c>
      <c r="I178">
        <v>155</v>
      </c>
      <c r="J178">
        <v>155</v>
      </c>
      <c r="K178">
        <v>2075</v>
      </c>
      <c r="L178">
        <v>2075</v>
      </c>
      <c r="M178" t="s">
        <v>334</v>
      </c>
      <c r="O178">
        <f t="shared" si="16"/>
        <v>0</v>
      </c>
      <c r="P178">
        <f t="shared" si="17"/>
        <v>0</v>
      </c>
      <c r="Q178">
        <f t="shared" si="18"/>
        <v>0</v>
      </c>
      <c r="R178">
        <f t="shared" si="19"/>
        <v>0</v>
      </c>
    </row>
    <row r="179" spans="1:18">
      <c r="A179">
        <v>82</v>
      </c>
      <c r="B179">
        <v>156</v>
      </c>
      <c r="C179">
        <v>156</v>
      </c>
      <c r="D179">
        <v>557</v>
      </c>
      <c r="E179">
        <v>557</v>
      </c>
      <c r="F179" t="s">
        <v>150</v>
      </c>
      <c r="H179">
        <v>89</v>
      </c>
      <c r="I179">
        <v>156</v>
      </c>
      <c r="J179">
        <v>156</v>
      </c>
      <c r="K179">
        <v>557</v>
      </c>
      <c r="L179">
        <v>557</v>
      </c>
      <c r="M179" t="s">
        <v>335</v>
      </c>
      <c r="O179">
        <f t="shared" si="16"/>
        <v>0</v>
      </c>
      <c r="P179">
        <f t="shared" si="17"/>
        <v>0</v>
      </c>
      <c r="Q179">
        <f t="shared" si="18"/>
        <v>0</v>
      </c>
      <c r="R179">
        <f t="shared" si="19"/>
        <v>0</v>
      </c>
    </row>
    <row r="180" spans="1:18">
      <c r="A180">
        <v>83</v>
      </c>
      <c r="B180">
        <v>157</v>
      </c>
      <c r="C180">
        <v>157</v>
      </c>
      <c r="D180">
        <v>667</v>
      </c>
      <c r="E180">
        <v>667</v>
      </c>
      <c r="F180" t="s">
        <v>151</v>
      </c>
      <c r="H180">
        <v>90</v>
      </c>
      <c r="I180">
        <v>157</v>
      </c>
      <c r="J180">
        <v>157</v>
      </c>
      <c r="K180">
        <v>667</v>
      </c>
      <c r="L180">
        <v>667</v>
      </c>
      <c r="M180" t="s">
        <v>336</v>
      </c>
      <c r="O180">
        <f t="shared" si="16"/>
        <v>0</v>
      </c>
      <c r="P180">
        <f t="shared" si="17"/>
        <v>0</v>
      </c>
      <c r="Q180">
        <f t="shared" si="18"/>
        <v>0</v>
      </c>
      <c r="R180">
        <f t="shared" si="19"/>
        <v>0</v>
      </c>
    </row>
    <row r="181" spans="1:18">
      <c r="A181">
        <v>74</v>
      </c>
      <c r="B181">
        <v>158</v>
      </c>
      <c r="C181">
        <v>158</v>
      </c>
      <c r="D181">
        <v>1</v>
      </c>
      <c r="E181">
        <v>1</v>
      </c>
      <c r="F181" t="s">
        <v>143</v>
      </c>
      <c r="H181">
        <v>84</v>
      </c>
      <c r="I181">
        <v>158</v>
      </c>
      <c r="J181">
        <v>158</v>
      </c>
      <c r="K181">
        <v>1</v>
      </c>
      <c r="L181">
        <v>1</v>
      </c>
      <c r="M181" t="s">
        <v>337</v>
      </c>
      <c r="O181">
        <f t="shared" si="16"/>
        <v>0</v>
      </c>
      <c r="P181">
        <f t="shared" si="17"/>
        <v>0</v>
      </c>
      <c r="Q181">
        <f t="shared" si="18"/>
        <v>0</v>
      </c>
      <c r="R181">
        <f t="shared" si="19"/>
        <v>0</v>
      </c>
    </row>
    <row r="182" spans="1:18">
      <c r="A182">
        <v>84</v>
      </c>
      <c r="B182">
        <v>161</v>
      </c>
      <c r="C182">
        <v>124</v>
      </c>
      <c r="D182">
        <v>57.306899999999999</v>
      </c>
      <c r="E182">
        <v>2500</v>
      </c>
      <c r="F182" t="s">
        <v>152</v>
      </c>
      <c r="H182">
        <v>91</v>
      </c>
      <c r="I182">
        <v>161</v>
      </c>
      <c r="J182">
        <v>124</v>
      </c>
      <c r="K182">
        <v>57.306899999999999</v>
      </c>
      <c r="L182">
        <v>2500</v>
      </c>
      <c r="M182" t="s">
        <v>338</v>
      </c>
      <c r="O182">
        <f t="shared" si="16"/>
        <v>0</v>
      </c>
      <c r="P182">
        <f t="shared" si="17"/>
        <v>0</v>
      </c>
      <c r="Q182">
        <f t="shared" si="18"/>
        <v>0</v>
      </c>
      <c r="R182">
        <f t="shared" si="19"/>
        <v>0</v>
      </c>
    </row>
    <row r="183" spans="1:18">
      <c r="A183">
        <v>85</v>
      </c>
      <c r="B183">
        <v>164</v>
      </c>
      <c r="C183">
        <v>164</v>
      </c>
      <c r="D183">
        <v>2918.857</v>
      </c>
      <c r="E183">
        <v>2918.857</v>
      </c>
      <c r="F183" t="s">
        <v>153</v>
      </c>
      <c r="H183">
        <v>92</v>
      </c>
      <c r="I183">
        <v>164</v>
      </c>
      <c r="J183">
        <v>164</v>
      </c>
      <c r="K183">
        <v>2918.857</v>
      </c>
      <c r="L183">
        <v>2918.857</v>
      </c>
      <c r="M183" t="s">
        <v>339</v>
      </c>
      <c r="O183">
        <f t="shared" si="16"/>
        <v>0</v>
      </c>
      <c r="P183">
        <f t="shared" si="17"/>
        <v>0</v>
      </c>
      <c r="Q183">
        <f t="shared" si="18"/>
        <v>0</v>
      </c>
      <c r="R183">
        <f t="shared" si="19"/>
        <v>0</v>
      </c>
    </row>
    <row r="184" spans="1:18">
      <c r="A184">
        <v>73</v>
      </c>
      <c r="B184">
        <v>166</v>
      </c>
      <c r="C184">
        <v>166</v>
      </c>
      <c r="D184">
        <v>1600</v>
      </c>
      <c r="E184">
        <v>1600</v>
      </c>
      <c r="F184" t="s">
        <v>142</v>
      </c>
      <c r="H184">
        <v>73</v>
      </c>
      <c r="I184">
        <v>166</v>
      </c>
      <c r="J184">
        <v>166</v>
      </c>
      <c r="K184">
        <v>1600</v>
      </c>
      <c r="L184">
        <v>1600</v>
      </c>
      <c r="M184" t="s">
        <v>340</v>
      </c>
      <c r="O184">
        <f t="shared" si="16"/>
        <v>0</v>
      </c>
      <c r="P184">
        <f t="shared" si="17"/>
        <v>0</v>
      </c>
      <c r="Q184">
        <f t="shared" si="18"/>
        <v>0</v>
      </c>
      <c r="R184">
        <f t="shared" si="19"/>
        <v>0</v>
      </c>
    </row>
    <row r="185" spans="1:18">
      <c r="A185">
        <v>86</v>
      </c>
      <c r="B185">
        <v>171</v>
      </c>
      <c r="C185">
        <v>17</v>
      </c>
      <c r="D185">
        <v>0.3236</v>
      </c>
      <c r="E185">
        <v>19.652200000000001</v>
      </c>
      <c r="F185" t="s">
        <v>154</v>
      </c>
      <c r="H185">
        <v>74</v>
      </c>
      <c r="I185">
        <v>171</v>
      </c>
      <c r="J185">
        <v>17</v>
      </c>
      <c r="K185">
        <v>0.3236</v>
      </c>
      <c r="L185">
        <v>19.652200000000001</v>
      </c>
      <c r="M185" t="s">
        <v>341</v>
      </c>
      <c r="O185">
        <f t="shared" si="16"/>
        <v>0</v>
      </c>
      <c r="P185">
        <f t="shared" si="17"/>
        <v>0</v>
      </c>
      <c r="Q185">
        <f t="shared" si="18"/>
        <v>0</v>
      </c>
      <c r="R185">
        <f t="shared" si="19"/>
        <v>0</v>
      </c>
    </row>
    <row r="186" spans="1:18">
      <c r="A186">
        <v>87</v>
      </c>
      <c r="B186">
        <v>171</v>
      </c>
      <c r="C186">
        <v>27</v>
      </c>
      <c r="D186">
        <v>0.14419999999999999</v>
      </c>
      <c r="E186">
        <v>11.195600000000001</v>
      </c>
      <c r="F186" t="s">
        <v>155</v>
      </c>
      <c r="H186">
        <v>75</v>
      </c>
      <c r="I186">
        <v>171</v>
      </c>
      <c r="J186">
        <v>27</v>
      </c>
      <c r="K186">
        <v>0.14419999999999999</v>
      </c>
      <c r="L186">
        <v>11.195600000000001</v>
      </c>
      <c r="M186" t="s">
        <v>342</v>
      </c>
      <c r="O186">
        <f t="shared" si="16"/>
        <v>0</v>
      </c>
      <c r="P186">
        <f t="shared" si="17"/>
        <v>0</v>
      </c>
      <c r="Q186">
        <f t="shared" si="18"/>
        <v>0</v>
      </c>
      <c r="R186">
        <f t="shared" si="19"/>
        <v>0</v>
      </c>
    </row>
    <row r="187" spans="1:18">
      <c r="A187">
        <v>88</v>
      </c>
      <c r="B187">
        <v>173</v>
      </c>
      <c r="C187">
        <v>15</v>
      </c>
      <c r="D187">
        <v>544.95190000000002</v>
      </c>
      <c r="E187">
        <v>679.64</v>
      </c>
      <c r="F187" t="s">
        <v>164</v>
      </c>
      <c r="H187">
        <v>76</v>
      </c>
      <c r="I187">
        <v>173</v>
      </c>
      <c r="J187">
        <v>15</v>
      </c>
      <c r="K187">
        <v>544.95190000000002</v>
      </c>
      <c r="L187">
        <v>679.64</v>
      </c>
      <c r="M187" t="s">
        <v>343</v>
      </c>
      <c r="O187">
        <f t="shared" si="16"/>
        <v>0</v>
      </c>
      <c r="P187">
        <f t="shared" si="17"/>
        <v>0</v>
      </c>
      <c r="Q187">
        <f t="shared" si="18"/>
        <v>0</v>
      </c>
      <c r="R187">
        <f t="shared" si="19"/>
        <v>0</v>
      </c>
    </row>
    <row r="188" spans="1:18">
      <c r="A188">
        <v>89</v>
      </c>
      <c r="B188">
        <v>173</v>
      </c>
      <c r="C188">
        <v>16</v>
      </c>
      <c r="D188">
        <v>1065.5911000000001</v>
      </c>
      <c r="E188">
        <v>547.64509999999996</v>
      </c>
      <c r="F188" t="s">
        <v>165</v>
      </c>
      <c r="H188">
        <v>77</v>
      </c>
      <c r="I188">
        <v>173</v>
      </c>
      <c r="J188">
        <v>16</v>
      </c>
      <c r="K188">
        <v>1065.5911000000001</v>
      </c>
      <c r="L188">
        <v>547.64509999999996</v>
      </c>
      <c r="M188" t="s">
        <v>344</v>
      </c>
      <c r="O188">
        <f t="shared" si="16"/>
        <v>0</v>
      </c>
      <c r="P188">
        <f t="shared" si="17"/>
        <v>0</v>
      </c>
      <c r="Q188">
        <f t="shared" si="18"/>
        <v>0</v>
      </c>
      <c r="R188">
        <f t="shared" si="19"/>
        <v>0</v>
      </c>
    </row>
    <row r="189" spans="1:18">
      <c r="A189">
        <v>90</v>
      </c>
      <c r="B189">
        <v>173</v>
      </c>
      <c r="C189">
        <v>17</v>
      </c>
      <c r="D189">
        <v>168.14699999999999</v>
      </c>
      <c r="E189">
        <v>86.4482</v>
      </c>
      <c r="F189" t="s">
        <v>166</v>
      </c>
      <c r="H189">
        <v>78</v>
      </c>
      <c r="I189">
        <v>173</v>
      </c>
      <c r="J189">
        <v>17</v>
      </c>
      <c r="K189">
        <v>168.14699999999999</v>
      </c>
      <c r="L189">
        <v>86.4482</v>
      </c>
      <c r="M189" t="s">
        <v>345</v>
      </c>
      <c r="O189">
        <f t="shared" si="16"/>
        <v>0</v>
      </c>
      <c r="P189">
        <f t="shared" si="17"/>
        <v>0</v>
      </c>
      <c r="Q189">
        <f t="shared" si="18"/>
        <v>0</v>
      </c>
      <c r="R189">
        <f t="shared" si="19"/>
        <v>0</v>
      </c>
    </row>
    <row r="190" spans="1:18">
      <c r="A190">
        <v>91</v>
      </c>
      <c r="B190">
        <v>174</v>
      </c>
      <c r="C190">
        <v>174</v>
      </c>
      <c r="D190">
        <v>700</v>
      </c>
      <c r="E190">
        <v>700</v>
      </c>
      <c r="F190" t="s">
        <v>156</v>
      </c>
      <c r="H190">
        <v>79</v>
      </c>
      <c r="I190">
        <v>174</v>
      </c>
      <c r="J190">
        <v>174</v>
      </c>
      <c r="K190">
        <v>700</v>
      </c>
      <c r="L190">
        <v>700</v>
      </c>
      <c r="M190" t="s">
        <v>346</v>
      </c>
      <c r="O190">
        <f t="shared" si="16"/>
        <v>0</v>
      </c>
      <c r="P190">
        <f t="shared" si="17"/>
        <v>0</v>
      </c>
      <c r="Q190">
        <f t="shared" si="18"/>
        <v>0</v>
      </c>
      <c r="R190">
        <f t="shared" si="19"/>
        <v>0</v>
      </c>
    </row>
    <row r="191" spans="1:18">
      <c r="A191">
        <v>92</v>
      </c>
      <c r="B191">
        <v>178</v>
      </c>
      <c r="C191">
        <v>178</v>
      </c>
      <c r="D191">
        <v>1252</v>
      </c>
      <c r="E191">
        <v>1252</v>
      </c>
      <c r="F191" t="s">
        <v>157</v>
      </c>
      <c r="H191">
        <v>80</v>
      </c>
      <c r="I191">
        <v>178</v>
      </c>
      <c r="J191">
        <v>178</v>
      </c>
      <c r="K191">
        <v>1252</v>
      </c>
      <c r="L191">
        <v>1252</v>
      </c>
      <c r="M191" t="s">
        <v>347</v>
      </c>
      <c r="O191">
        <f t="shared" si="16"/>
        <v>0</v>
      </c>
      <c r="P191">
        <f t="shared" si="17"/>
        <v>0</v>
      </c>
      <c r="Q191">
        <f t="shared" si="18"/>
        <v>0</v>
      </c>
      <c r="R191">
        <f t="shared" si="19"/>
        <v>0</v>
      </c>
    </row>
    <row r="192" spans="1:18">
      <c r="A192">
        <v>93</v>
      </c>
      <c r="B192">
        <v>182</v>
      </c>
      <c r="C192">
        <v>182</v>
      </c>
      <c r="D192">
        <v>1500</v>
      </c>
      <c r="E192">
        <v>1500</v>
      </c>
      <c r="F192" t="s">
        <v>158</v>
      </c>
      <c r="H192">
        <v>81</v>
      </c>
      <c r="I192">
        <v>182</v>
      </c>
      <c r="J192">
        <v>182</v>
      </c>
      <c r="K192">
        <v>1500</v>
      </c>
      <c r="L192">
        <v>1500</v>
      </c>
      <c r="M192" t="s">
        <v>348</v>
      </c>
      <c r="O192">
        <f t="shared" si="16"/>
        <v>0</v>
      </c>
      <c r="P192">
        <f t="shared" si="17"/>
        <v>0</v>
      </c>
      <c r="Q192">
        <f t="shared" si="18"/>
        <v>0</v>
      </c>
      <c r="R192">
        <f t="shared" si="19"/>
        <v>0</v>
      </c>
    </row>
    <row r="193" spans="1:18">
      <c r="A193">
        <v>94</v>
      </c>
      <c r="B193">
        <v>183</v>
      </c>
      <c r="C193">
        <v>183</v>
      </c>
      <c r="D193">
        <v>480</v>
      </c>
      <c r="E193">
        <v>480</v>
      </c>
      <c r="F193" t="s">
        <v>159</v>
      </c>
      <c r="H193">
        <v>93</v>
      </c>
      <c r="I193">
        <v>183</v>
      </c>
      <c r="J193">
        <v>183</v>
      </c>
      <c r="K193">
        <v>480</v>
      </c>
      <c r="L193">
        <v>480</v>
      </c>
      <c r="M193" t="s">
        <v>349</v>
      </c>
      <c r="O193">
        <f t="shared" si="16"/>
        <v>0</v>
      </c>
      <c r="P193">
        <f t="shared" si="17"/>
        <v>0</v>
      </c>
      <c r="Q193">
        <f t="shared" si="18"/>
        <v>0</v>
      </c>
      <c r="R193">
        <f t="shared" si="19"/>
        <v>0</v>
      </c>
    </row>
    <row r="194" spans="1:18">
      <c r="A194">
        <v>95</v>
      </c>
      <c r="B194">
        <v>184</v>
      </c>
      <c r="C194">
        <v>184</v>
      </c>
      <c r="D194">
        <v>20</v>
      </c>
      <c r="E194">
        <v>20</v>
      </c>
      <c r="F194" t="s">
        <v>160</v>
      </c>
      <c r="H194">
        <v>94</v>
      </c>
      <c r="I194">
        <v>184</v>
      </c>
      <c r="J194">
        <v>184</v>
      </c>
      <c r="K194">
        <v>20</v>
      </c>
      <c r="L194">
        <v>20</v>
      </c>
      <c r="M194" t="s">
        <v>350</v>
      </c>
      <c r="O194">
        <f t="shared" si="16"/>
        <v>0</v>
      </c>
      <c r="P194">
        <f t="shared" si="17"/>
        <v>0</v>
      </c>
      <c r="Q194">
        <f t="shared" si="18"/>
        <v>0</v>
      </c>
      <c r="R194">
        <f t="shared" si="19"/>
        <v>0</v>
      </c>
    </row>
    <row r="195" spans="1:18">
      <c r="A195">
        <v>96</v>
      </c>
      <c r="B195">
        <v>185</v>
      </c>
      <c r="C195">
        <v>185</v>
      </c>
      <c r="D195">
        <v>1000</v>
      </c>
      <c r="E195">
        <v>1000</v>
      </c>
      <c r="F195" t="s">
        <v>161</v>
      </c>
      <c r="H195">
        <v>95</v>
      </c>
      <c r="I195">
        <v>185</v>
      </c>
      <c r="J195">
        <v>185</v>
      </c>
      <c r="K195">
        <v>1000</v>
      </c>
      <c r="L195">
        <v>1000</v>
      </c>
      <c r="M195" t="s">
        <v>351</v>
      </c>
      <c r="O195">
        <f t="shared" si="16"/>
        <v>0</v>
      </c>
      <c r="P195">
        <f t="shared" si="17"/>
        <v>0</v>
      </c>
      <c r="Q195">
        <f t="shared" si="18"/>
        <v>0</v>
      </c>
      <c r="R195">
        <f t="shared" si="19"/>
        <v>0</v>
      </c>
    </row>
    <row r="196" spans="1:18">
      <c r="A196" t="s">
        <v>45</v>
      </c>
      <c r="B196" t="s">
        <v>45</v>
      </c>
      <c r="C196" t="s">
        <v>45</v>
      </c>
      <c r="D196" t="s">
        <v>45</v>
      </c>
      <c r="E196" t="s">
        <v>45</v>
      </c>
      <c r="F196" t="s">
        <v>45</v>
      </c>
      <c r="H196" t="s">
        <v>45</v>
      </c>
      <c r="I196" t="s">
        <v>45</v>
      </c>
      <c r="J196" t="s">
        <v>45</v>
      </c>
      <c r="K196" t="s">
        <v>45</v>
      </c>
      <c r="L196" t="s">
        <v>45</v>
      </c>
      <c r="M196" t="s">
        <v>45</v>
      </c>
    </row>
    <row r="197" spans="1:18">
      <c r="D197" s="19">
        <f>SUM(D101:D195)</f>
        <v>100934.57429999999</v>
      </c>
      <c r="E197" s="19">
        <f>SUM(E101:E195)</f>
        <v>113161.1571</v>
      </c>
      <c r="K197" s="19">
        <f>SUM(K101:K196)</f>
        <v>100934.57429999999</v>
      </c>
      <c r="L197" s="19">
        <f>SUM(L101:L196)</f>
        <v>113161.1571</v>
      </c>
      <c r="Q197" s="19">
        <f>SUM(Q101:Q196)</f>
        <v>-2.8421709430404007E-14</v>
      </c>
      <c r="R197" s="19">
        <f>SUM(R101:R196)</f>
        <v>0</v>
      </c>
    </row>
    <row r="198" spans="1:18">
      <c r="K198" s="19">
        <f>+K197-K98</f>
        <v>0</v>
      </c>
      <c r="L198" s="19">
        <f>+L197-L98</f>
        <v>-1.2004999999917345</v>
      </c>
    </row>
  </sheetData>
  <sortState ref="H101:L195">
    <sortCondition ref="I101:I195"/>
    <sortCondition ref="J101:J195"/>
  </sortState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J28"/>
  <sheetViews>
    <sheetView topLeftCell="A13" zoomScale="115" zoomScaleNormal="115" workbookViewId="0">
      <selection activeCell="E22" sqref="E22"/>
    </sheetView>
  </sheetViews>
  <sheetFormatPr defaultRowHeight="14.5"/>
  <cols>
    <col min="1" max="1" width="30.36328125" customWidth="1"/>
    <col min="2" max="3" width="13.26953125" customWidth="1"/>
    <col min="4" max="4" width="9.26953125" bestFit="1" customWidth="1"/>
  </cols>
  <sheetData>
    <row r="2" spans="1:3">
      <c r="A2">
        <v>31</v>
      </c>
      <c r="B2">
        <v>15</v>
      </c>
      <c r="C2" s="26">
        <v>39.353999999999999</v>
      </c>
    </row>
    <row r="4" spans="1:3">
      <c r="A4" t="s">
        <v>352</v>
      </c>
    </row>
    <row r="5" spans="1:3">
      <c r="A5" t="s">
        <v>353</v>
      </c>
    </row>
    <row r="6" spans="1:3">
      <c r="A6" t="s">
        <v>354</v>
      </c>
    </row>
    <row r="7" spans="1:3">
      <c r="A7" t="s">
        <v>355</v>
      </c>
    </row>
    <row r="8" spans="1:3">
      <c r="A8" t="s">
        <v>356</v>
      </c>
    </row>
    <row r="10" spans="1:3">
      <c r="B10" s="17" t="s">
        <v>362</v>
      </c>
      <c r="C10" s="17" t="s">
        <v>363</v>
      </c>
    </row>
    <row r="11" spans="1:3">
      <c r="A11" t="s">
        <v>357</v>
      </c>
      <c r="B11" s="26">
        <v>39.353999999999999</v>
      </c>
      <c r="C11" s="26">
        <v>679.64</v>
      </c>
    </row>
    <row r="12" spans="1:3">
      <c r="A12" t="s">
        <v>358</v>
      </c>
      <c r="B12" s="26">
        <v>76.952299999999994</v>
      </c>
      <c r="C12" s="26">
        <v>547.64509999999996</v>
      </c>
    </row>
    <row r="13" spans="1:3">
      <c r="A13" t="s">
        <v>359</v>
      </c>
      <c r="B13" s="26">
        <v>0.34710000000001201</v>
      </c>
      <c r="C13" s="26">
        <v>2.5590165410320398</v>
      </c>
    </row>
    <row r="14" spans="1:3">
      <c r="A14" t="s">
        <v>360</v>
      </c>
      <c r="B14" s="26">
        <v>141.64619999999999</v>
      </c>
      <c r="C14" s="26">
        <v>1008.0512</v>
      </c>
    </row>
    <row r="15" spans="1:3">
      <c r="A15" t="s">
        <v>361</v>
      </c>
      <c r="B15" s="26">
        <v>1.2303999999999999</v>
      </c>
      <c r="C15" s="26">
        <v>11.196501708413599</v>
      </c>
    </row>
    <row r="17" spans="1:10">
      <c r="A17">
        <v>26</v>
      </c>
      <c r="B17" s="26">
        <f>+B13</f>
        <v>0.34710000000001201</v>
      </c>
      <c r="C17" s="26">
        <f>+C13</f>
        <v>2.5590165410320398</v>
      </c>
    </row>
    <row r="18" spans="1:10">
      <c r="A18">
        <v>31</v>
      </c>
      <c r="B18" s="26">
        <f>+B11+B12+B14+B15</f>
        <v>259.18289999999996</v>
      </c>
      <c r="C18" s="26">
        <f>+C11+C12+C14+C15</f>
        <v>2246.5328017084134</v>
      </c>
    </row>
    <row r="21" spans="1:10">
      <c r="B21" t="s">
        <v>37</v>
      </c>
      <c r="C21" t="s">
        <v>8</v>
      </c>
      <c r="D21" t="s">
        <v>364</v>
      </c>
      <c r="E21" t="s">
        <v>367</v>
      </c>
    </row>
    <row r="22" spans="1:10">
      <c r="A22" t="s">
        <v>365</v>
      </c>
      <c r="B22" s="27">
        <v>0</v>
      </c>
      <c r="C22" s="27">
        <v>37.988199999999999</v>
      </c>
      <c r="D22" s="27">
        <v>679.64</v>
      </c>
      <c r="E22">
        <f>D22/C22*B22</f>
        <v>0</v>
      </c>
      <c r="H22" t="s">
        <v>369</v>
      </c>
      <c r="I22" t="s">
        <v>368</v>
      </c>
      <c r="J22" t="s">
        <v>370</v>
      </c>
    </row>
    <row r="23" spans="1:10">
      <c r="A23" t="s">
        <v>357</v>
      </c>
      <c r="B23" s="27">
        <v>39.353999999999999</v>
      </c>
      <c r="C23" s="27">
        <v>39.353999999999999</v>
      </c>
      <c r="D23" s="27">
        <v>679.64</v>
      </c>
      <c r="E23">
        <f t="shared" ref="E23:E28" si="0">D23/C23*B23</f>
        <v>679.64</v>
      </c>
      <c r="F23" s="26">
        <f>+E23-C11</f>
        <v>0</v>
      </c>
      <c r="H23" s="27">
        <f>+B22+B23</f>
        <v>39.353999999999999</v>
      </c>
      <c r="I23" s="27">
        <f>+C22+C23</f>
        <v>77.342199999999991</v>
      </c>
      <c r="J23" s="27">
        <f>+D22+D23</f>
        <v>1359.28</v>
      </c>
    </row>
    <row r="24" spans="1:10">
      <c r="A24" t="s">
        <v>366</v>
      </c>
      <c r="B24" s="27">
        <v>0</v>
      </c>
      <c r="C24" s="27">
        <v>74.281599999999997</v>
      </c>
      <c r="D24" s="27">
        <v>547.64509999999996</v>
      </c>
      <c r="E24">
        <f t="shared" si="0"/>
        <v>0</v>
      </c>
    </row>
    <row r="25" spans="1:10">
      <c r="A25" t="s">
        <v>358</v>
      </c>
      <c r="B25" s="27">
        <v>76.952299999999994</v>
      </c>
      <c r="C25" s="27">
        <v>76.952299999999994</v>
      </c>
      <c r="D25" s="27">
        <v>547.64509999999996</v>
      </c>
      <c r="E25">
        <f t="shared" si="0"/>
        <v>547.64509999999996</v>
      </c>
      <c r="F25" s="26">
        <f>+E25-C12</f>
        <v>0</v>
      </c>
    </row>
    <row r="26" spans="1:10">
      <c r="A26" t="s">
        <v>359</v>
      </c>
      <c r="B26" s="27">
        <v>0.34710000000001201</v>
      </c>
      <c r="C26" s="27">
        <v>137.07730000000001</v>
      </c>
      <c r="D26" s="27">
        <v>1010.611</v>
      </c>
      <c r="E26">
        <f t="shared" si="0"/>
        <v>2.5590165410320465</v>
      </c>
      <c r="F26" s="26">
        <f>+E26-C13</f>
        <v>6.6613381477509392E-15</v>
      </c>
    </row>
    <row r="27" spans="1:10">
      <c r="A27" t="s">
        <v>360</v>
      </c>
      <c r="B27" s="27">
        <v>141.64619999999999</v>
      </c>
      <c r="C27" s="27">
        <v>141.64619999999999</v>
      </c>
      <c r="D27" s="27">
        <v>1008.0512</v>
      </c>
      <c r="E27">
        <f t="shared" si="0"/>
        <v>1008.0512</v>
      </c>
      <c r="F27" s="26">
        <f t="shared" ref="F27:F28" si="1">+E27-C14</f>
        <v>0</v>
      </c>
    </row>
    <row r="28" spans="1:10">
      <c r="A28" t="s">
        <v>361</v>
      </c>
      <c r="B28" s="27">
        <v>1.2303999999999999</v>
      </c>
      <c r="C28" s="27">
        <v>6.2279999999999998</v>
      </c>
      <c r="D28" s="27">
        <v>56.674100000000003</v>
      </c>
      <c r="E28">
        <f t="shared" si="0"/>
        <v>11.196501708413617</v>
      </c>
      <c r="F28" s="26">
        <f t="shared" si="1"/>
        <v>1.7763568394002505E-14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5"/>
  <cols>
    <col min="2" max="2" width="9.81640625" customWidth="1"/>
    <col min="3" max="3" width="11.1796875" customWidth="1"/>
    <col min="6" max="7" width="9.6328125" hidden="1" customWidth="1"/>
    <col min="8" max="10" width="0" hidden="1" customWidth="1"/>
    <col min="11" max="12" width="30.81640625" customWidth="1"/>
    <col min="13" max="13" width="2.08984375" customWidth="1"/>
  </cols>
  <sheetData>
    <row r="1" spans="1:16">
      <c r="D1" s="17" t="s">
        <v>8</v>
      </c>
      <c r="E1" s="17" t="s">
        <v>59</v>
      </c>
      <c r="O1" s="2" t="s">
        <v>375</v>
      </c>
      <c r="P1" s="2" t="s">
        <v>376</v>
      </c>
    </row>
    <row r="2" spans="1:16">
      <c r="A2" s="2" t="s">
        <v>371</v>
      </c>
    </row>
    <row r="3" spans="1:16">
      <c r="A3" s="10">
        <v>7</v>
      </c>
      <c r="B3" s="10" t="s">
        <v>19</v>
      </c>
      <c r="C3" s="11">
        <v>41492</v>
      </c>
      <c r="D3" s="10">
        <v>24.091999999999999</v>
      </c>
      <c r="E3" s="29">
        <v>250.44120000000001</v>
      </c>
      <c r="F3" s="29">
        <v>6033.63</v>
      </c>
      <c r="G3" s="29">
        <v>6033.63</v>
      </c>
      <c r="H3" s="10"/>
      <c r="I3" s="10">
        <v>1</v>
      </c>
      <c r="J3" s="10"/>
      <c r="K3" s="10"/>
      <c r="L3" s="10"/>
      <c r="N3">
        <f>D3</f>
        <v>24.091999999999999</v>
      </c>
    </row>
    <row r="4" spans="1:16">
      <c r="A4" s="10">
        <v>39</v>
      </c>
      <c r="B4" s="10" t="s">
        <v>23</v>
      </c>
      <c r="C4" s="11">
        <v>41673</v>
      </c>
      <c r="D4" s="31">
        <v>3.1440000000000001</v>
      </c>
      <c r="E4" s="29">
        <v>304.8664</v>
      </c>
      <c r="F4" s="29">
        <v>958.5</v>
      </c>
      <c r="G4" s="29">
        <v>958.5</v>
      </c>
      <c r="H4" s="10"/>
      <c r="I4" s="10">
        <v>1</v>
      </c>
      <c r="J4" s="10"/>
      <c r="K4" s="10" t="s">
        <v>372</v>
      </c>
      <c r="L4" s="10"/>
      <c r="N4">
        <f>N3+D4</f>
        <v>27.235999999999997</v>
      </c>
    </row>
    <row r="5" spans="1:16">
      <c r="A5" s="10">
        <v>40</v>
      </c>
      <c r="B5" s="10" t="s">
        <v>24</v>
      </c>
      <c r="C5" s="11">
        <v>42047</v>
      </c>
      <c r="D5" s="10">
        <v>15</v>
      </c>
      <c r="E5" s="29">
        <v>457.97989999999999</v>
      </c>
      <c r="F5" s="29">
        <v>6869.7</v>
      </c>
      <c r="G5" s="29">
        <v>6869.7</v>
      </c>
      <c r="H5" s="10"/>
      <c r="I5" s="10">
        <v>1</v>
      </c>
      <c r="J5" s="10"/>
      <c r="K5" s="10"/>
      <c r="L5" s="10" t="s">
        <v>373</v>
      </c>
      <c r="N5">
        <f>N4-D5</f>
        <v>12.235999999999997</v>
      </c>
      <c r="O5">
        <v>15</v>
      </c>
      <c r="P5" s="14">
        <v>15</v>
      </c>
    </row>
    <row r="6" spans="1:16">
      <c r="A6" s="10">
        <v>96</v>
      </c>
      <c r="B6" s="10" t="s">
        <v>23</v>
      </c>
      <c r="C6" s="11">
        <v>42208</v>
      </c>
      <c r="D6" s="15">
        <v>10.042999999999999</v>
      </c>
      <c r="E6" s="29">
        <v>591.1232</v>
      </c>
      <c r="F6" s="29">
        <v>5936.65</v>
      </c>
      <c r="G6" s="29">
        <v>5936.65</v>
      </c>
      <c r="H6" s="10"/>
      <c r="I6" s="10">
        <v>1</v>
      </c>
      <c r="J6" s="10"/>
      <c r="K6" s="10" t="s">
        <v>373</v>
      </c>
      <c r="L6" s="10"/>
      <c r="N6">
        <f>N5+D6</f>
        <v>22.278999999999996</v>
      </c>
    </row>
    <row r="7" spans="1:16">
      <c r="A7" s="10">
        <v>104</v>
      </c>
      <c r="B7" s="10" t="s">
        <v>23</v>
      </c>
      <c r="C7" s="11">
        <v>42311</v>
      </c>
      <c r="D7" s="32">
        <v>4.7E-2</v>
      </c>
      <c r="E7" s="29">
        <v>507.0213</v>
      </c>
      <c r="F7" s="29">
        <v>23.83</v>
      </c>
      <c r="G7" s="29">
        <v>23.83</v>
      </c>
      <c r="H7" s="10"/>
      <c r="I7" s="10">
        <v>1</v>
      </c>
      <c r="J7" s="10"/>
      <c r="K7" s="10" t="s">
        <v>372</v>
      </c>
      <c r="L7" s="10"/>
      <c r="N7">
        <f>N6+D7</f>
        <v>22.325999999999997</v>
      </c>
    </row>
    <row r="10" spans="1:16">
      <c r="A10" s="2" t="s">
        <v>30</v>
      </c>
    </row>
    <row r="11" spans="1:16">
      <c r="A11" s="10">
        <v>41</v>
      </c>
      <c r="B11" s="10" t="s">
        <v>23</v>
      </c>
      <c r="C11" s="11">
        <v>42047</v>
      </c>
      <c r="D11" s="13">
        <v>174.22900000000001</v>
      </c>
      <c r="E11" s="29">
        <v>39.429099999999998</v>
      </c>
      <c r="F11" s="29">
        <v>6869.7</v>
      </c>
      <c r="G11" s="29">
        <v>6869.7</v>
      </c>
      <c r="H11" s="10"/>
      <c r="I11" s="10">
        <v>1</v>
      </c>
      <c r="J11" s="10"/>
      <c r="K11" s="10" t="s">
        <v>374</v>
      </c>
      <c r="L11" s="10"/>
      <c r="N11">
        <f>D11</f>
        <v>174.22900000000001</v>
      </c>
    </row>
    <row r="12" spans="1:16" ht="15" thickBot="1">
      <c r="A12" s="10">
        <v>95</v>
      </c>
      <c r="B12" s="10" t="s">
        <v>24</v>
      </c>
      <c r="C12" s="11">
        <v>42207</v>
      </c>
      <c r="D12" s="10">
        <v>150</v>
      </c>
      <c r="E12" s="29">
        <v>39.5777</v>
      </c>
      <c r="F12" s="29">
        <v>5936.65</v>
      </c>
      <c r="G12" s="29">
        <v>5936.65</v>
      </c>
      <c r="H12" s="10"/>
      <c r="I12" s="10">
        <v>1</v>
      </c>
      <c r="J12" s="10"/>
      <c r="K12" s="10"/>
      <c r="L12" s="10" t="s">
        <v>374</v>
      </c>
      <c r="N12" s="19">
        <f>N11-D12</f>
        <v>24.229000000000013</v>
      </c>
      <c r="O12" s="19">
        <f>D12</f>
        <v>150</v>
      </c>
      <c r="P12" s="1">
        <f>P$5/D$11*O12</f>
        <v>12.914038420699194</v>
      </c>
    </row>
    <row r="13" spans="1:16" ht="15.5" thickTop="1" thickBot="1">
      <c r="A13" s="10">
        <v>187</v>
      </c>
      <c r="B13" s="10" t="s">
        <v>20</v>
      </c>
      <c r="C13" s="11">
        <v>44176</v>
      </c>
      <c r="D13" s="10">
        <v>24.228999999999999</v>
      </c>
      <c r="E13" s="29">
        <v>42.515799999999999</v>
      </c>
      <c r="F13" s="29">
        <v>1030.1199999999999</v>
      </c>
      <c r="G13" s="29">
        <v>1030.1199999999999</v>
      </c>
      <c r="H13" s="10"/>
      <c r="I13" s="10">
        <v>1</v>
      </c>
      <c r="J13" s="29">
        <v>0</v>
      </c>
      <c r="K13" s="10"/>
      <c r="L13" s="10"/>
      <c r="N13" s="19">
        <f>N12-D13</f>
        <v>0</v>
      </c>
      <c r="O13" s="19">
        <f>D13</f>
        <v>24.228999999999999</v>
      </c>
      <c r="P13" s="30">
        <f>P$5/D$11*O13</f>
        <v>2.0859615793008053</v>
      </c>
    </row>
    <row r="14" spans="1:16" ht="15.5" thickTop="1" thickBot="1">
      <c r="O14" s="19"/>
    </row>
    <row r="15" spans="1:16" ht="15.5" thickTop="1" thickBot="1">
      <c r="P15" s="30">
        <f>+N3-P13</f>
        <v>22.006038420699195</v>
      </c>
    </row>
    <row r="16" spans="1:16" ht="15" thickTop="1">
      <c r="A16" s="2" t="s">
        <v>377</v>
      </c>
    </row>
    <row r="17" spans="1:16">
      <c r="A17" s="10">
        <v>37</v>
      </c>
      <c r="B17" s="10" t="s">
        <v>19</v>
      </c>
      <c r="C17" s="11">
        <v>41534</v>
      </c>
      <c r="D17" s="10">
        <v>76.745999999999995</v>
      </c>
      <c r="E17" s="29">
        <v>13.03</v>
      </c>
      <c r="F17" s="29">
        <v>1000</v>
      </c>
      <c r="G17" s="29">
        <v>1000</v>
      </c>
      <c r="H17" s="10"/>
      <c r="I17" s="10">
        <v>1</v>
      </c>
      <c r="J17" s="10"/>
      <c r="K17" s="10"/>
    </row>
    <row r="18" spans="1:16">
      <c r="A18" s="10">
        <v>38</v>
      </c>
      <c r="B18" s="10" t="s">
        <v>24</v>
      </c>
      <c r="C18" s="11">
        <v>41673</v>
      </c>
      <c r="D18" s="10">
        <v>75</v>
      </c>
      <c r="E18" s="29">
        <v>12.78</v>
      </c>
      <c r="F18" s="29">
        <v>958.5</v>
      </c>
      <c r="G18" s="29">
        <v>958.5</v>
      </c>
      <c r="H18" s="10"/>
      <c r="I18" s="10">
        <v>1</v>
      </c>
      <c r="J18" s="10"/>
      <c r="K18" s="10" t="s">
        <v>374</v>
      </c>
      <c r="O18">
        <f>D18</f>
        <v>75</v>
      </c>
      <c r="P18" s="25">
        <f>D18</f>
        <v>75</v>
      </c>
    </row>
    <row r="19" spans="1:16">
      <c r="A19" s="10">
        <v>103</v>
      </c>
      <c r="B19" s="10" t="s">
        <v>24</v>
      </c>
      <c r="C19" s="11">
        <v>42310</v>
      </c>
      <c r="D19" s="10">
        <v>1.746</v>
      </c>
      <c r="E19" s="29">
        <v>13.648300000000001</v>
      </c>
      <c r="F19" s="29">
        <v>23.83</v>
      </c>
      <c r="G19" s="29">
        <v>23.83</v>
      </c>
      <c r="H19" s="10"/>
      <c r="I19" s="10">
        <v>1</v>
      </c>
      <c r="J19" s="10"/>
      <c r="K19" s="10" t="s">
        <v>374</v>
      </c>
      <c r="O19">
        <f>D19</f>
        <v>1.746</v>
      </c>
      <c r="P19" s="32">
        <f>D19</f>
        <v>1.746</v>
      </c>
    </row>
    <row r="20" spans="1:16">
      <c r="P20">
        <f>SUM(P18:P19)</f>
        <v>76.745999999999995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2021-04-15T16:52:20Z</dcterms:created>
  <dcterms:modified xsi:type="dcterms:W3CDTF">2021-05-03T11:58:36Z</dcterms:modified>
</cp:coreProperties>
</file>