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 activeTab="3"/>
  </bookViews>
  <sheets>
    <sheet name="Sheet1" sheetId="1" r:id="rId1"/>
    <sheet name="Sheet2" sheetId="2" r:id="rId2"/>
    <sheet name="Sheet3" sheetId="3" r:id="rId3"/>
    <sheet name="Sheet4" sheetId="4" r:id="rId4"/>
  </sheets>
  <calcPr calcId="125725"/>
</workbook>
</file>

<file path=xl/calcChain.xml><?xml version="1.0" encoding="utf-8"?>
<calcChain xmlns="http://schemas.openxmlformats.org/spreadsheetml/2006/main">
  <c r="G49" i="4"/>
  <c r="F49"/>
  <c r="G48"/>
  <c r="F48"/>
  <c r="G47"/>
  <c r="F47"/>
  <c r="F43"/>
  <c r="F44"/>
  <c r="F45"/>
  <c r="G45"/>
  <c r="G44"/>
  <c r="G43"/>
  <c r="F39"/>
  <c r="F40"/>
  <c r="F41"/>
  <c r="F33"/>
  <c r="F37"/>
  <c r="F26"/>
  <c r="F19"/>
  <c r="F9"/>
  <c r="F27" s="1"/>
  <c r="H19" i="3"/>
  <c r="H18"/>
  <c r="H17"/>
  <c r="F3"/>
  <c r="F8"/>
  <c r="G12"/>
  <c r="I12"/>
  <c r="H12"/>
  <c r="F4" s="1"/>
  <c r="K4" i="2"/>
  <c r="L15"/>
  <c r="L13"/>
  <c r="I17"/>
  <c r="F17"/>
  <c r="F16"/>
  <c r="F33"/>
  <c r="F32"/>
  <c r="F31"/>
  <c r="F30"/>
  <c r="H3"/>
  <c r="H4" s="1"/>
  <c r="H5" s="1"/>
  <c r="H6" s="1"/>
  <c r="K9"/>
  <c r="H17"/>
  <c r="F15"/>
  <c r="F14"/>
  <c r="F13"/>
  <c r="F11"/>
  <c r="F20"/>
  <c r="F21" s="1"/>
  <c r="F22" s="1"/>
  <c r="F23" s="1"/>
  <c r="F24" s="1"/>
  <c r="F25" s="1"/>
  <c r="F3"/>
  <c r="F4" s="1"/>
  <c r="F5" s="1"/>
  <c r="F6" s="1"/>
  <c r="R21" i="1"/>
  <c r="R20"/>
  <c r="R19"/>
  <c r="N19"/>
  <c r="N20" s="1"/>
  <c r="Q22"/>
  <c r="P21"/>
  <c r="O20"/>
  <c r="O21" s="1"/>
  <c r="L21"/>
  <c r="I20"/>
  <c r="H20"/>
  <c r="L20" s="1"/>
  <c r="H19"/>
  <c r="E24"/>
  <c r="N9"/>
  <c r="O9"/>
  <c r="P9"/>
  <c r="Q9"/>
  <c r="R9"/>
  <c r="M9"/>
  <c r="R12" s="1"/>
  <c r="B6"/>
  <c r="G17" i="3" l="1"/>
  <c r="G19"/>
  <c r="G18"/>
  <c r="K12"/>
  <c r="H20"/>
  <c r="H21" i="1"/>
  <c r="I21" s="1"/>
  <c r="L19"/>
  <c r="L22" s="1"/>
  <c r="N12"/>
  <c r="K19"/>
  <c r="K20" s="1"/>
  <c r="I19"/>
  <c r="F26" i="2"/>
  <c r="F27" s="1"/>
  <c r="F28" s="1"/>
  <c r="O12" i="1"/>
  <c r="P12"/>
  <c r="Q12"/>
  <c r="F15" i="3" l="1"/>
  <c r="G20" s="1"/>
</calcChain>
</file>

<file path=xl/sharedStrings.xml><?xml version="1.0" encoding="utf-8"?>
<sst xmlns="http://schemas.openxmlformats.org/spreadsheetml/2006/main" count="162" uniqueCount="70">
  <si>
    <t>c1</t>
  </si>
  <si>
    <t>c2</t>
  </si>
  <si>
    <t>c3</t>
  </si>
  <si>
    <t>V1</t>
  </si>
  <si>
    <t>dc1</t>
  </si>
  <si>
    <t>dc2</t>
  </si>
  <si>
    <t>dc3</t>
  </si>
  <si>
    <t>vAnt</t>
  </si>
  <si>
    <t>Parts</t>
  </si>
  <si>
    <t>Parts Util</t>
  </si>
  <si>
    <t>Només una compra, utilitzo part de les participacions del primer desgloç i part de les del ultim</t>
  </si>
  <si>
    <t>-----&gt;</t>
  </si>
  <si>
    <t>Parts Util Abans</t>
  </si>
  <si>
    <t>Parts queden en cartera</t>
  </si>
  <si>
    <t>16-DWS Aktien Strategie Deutschland</t>
  </si>
  <si>
    <t>Id</t>
  </si>
  <si>
    <t>Mov Compra Id</t>
  </si>
  <si>
    <t>Mov Compra Id Orig</t>
  </si>
  <si>
    <t>Parts Orig</t>
  </si>
  <si>
    <t>Compra</t>
  </si>
  <si>
    <t>Venda</t>
  </si>
  <si>
    <t>Cartera</t>
  </si>
  <si>
    <t>Utilit en venda 172</t>
  </si>
  <si>
    <t>Traspàs C</t>
  </si>
  <si>
    <t>Traspàs V</t>
  </si>
  <si>
    <t>5-Deutschland</t>
  </si>
  <si>
    <t>Id compra</t>
  </si>
  <si>
    <t>Id comp Orig</t>
  </si>
  <si>
    <t>c</t>
  </si>
  <si>
    <t>v</t>
  </si>
  <si>
    <t>3-Asian Smaller Companies Fund</t>
  </si>
  <si>
    <t>double</t>
  </si>
  <si>
    <t>DesgloçCompra Id=20 Set Parts=137,0773</t>
  </si>
  <si>
    <t>La suma de participacions de totes les compres reals a de ser igual a la suma de les parts originals en cartera més la suma de les vendes reals.</t>
  </si>
  <si>
    <t>Traspas V</t>
  </si>
  <si>
    <t>Traspas C</t>
  </si>
  <si>
    <t>cAnt</t>
  </si>
  <si>
    <t>Parts disp</t>
  </si>
  <si>
    <t>Id orig</t>
  </si>
  <si>
    <t>A</t>
  </si>
  <si>
    <t>B</t>
  </si>
  <si>
    <t>C</t>
  </si>
  <si>
    <t>D</t>
  </si>
  <si>
    <t>E</t>
  </si>
  <si>
    <t>0x000000000064BD14</t>
  </si>
  <si>
    <t>NULL</t>
  </si>
  <si>
    <t>0x000000000064BD13</t>
  </si>
  <si>
    <t>0x000000000064BD12</t>
  </si>
  <si>
    <t>0x000000000064CCB4</t>
  </si>
  <si>
    <t>0x000000000064CCB3</t>
  </si>
  <si>
    <t>0x000000000064CCB2</t>
  </si>
  <si>
    <t>Parts orig</t>
  </si>
  <si>
    <t>Vell</t>
  </si>
  <si>
    <t>Nou</t>
  </si>
  <si>
    <t>Prod</t>
  </si>
  <si>
    <t>Mov</t>
  </si>
  <si>
    <t>IdVenda</t>
  </si>
  <si>
    <t>Data</t>
  </si>
  <si>
    <t>PU Orig</t>
  </si>
  <si>
    <t>PU</t>
  </si>
  <si>
    <t>Traspàs a: DWS AKTIEN STRAT DEUTSCHLAND.</t>
  </si>
  <si>
    <t>0x00000000003A80B5</t>
  </si>
  <si>
    <t>0x00000000004BA731</t>
  </si>
  <si>
    <t>0x00000000004BA732</t>
  </si>
  <si>
    <t>IdCompra</t>
  </si>
  <si>
    <t>Id Orig</t>
  </si>
  <si>
    <t>0x000000000064EBF7</t>
  </si>
  <si>
    <t>0x000000000064EBF6</t>
  </si>
  <si>
    <t>0x000000000064EBFD</t>
  </si>
  <si>
    <t>0x000000000064EBFC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</si>
</sst>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/>
    <xf numFmtId="164" fontId="0" fillId="0" borderId="0" xfId="0" applyNumberFormat="1"/>
    <xf numFmtId="0" fontId="0" fillId="0" borderId="1" xfId="0" applyBorder="1"/>
    <xf numFmtId="0" fontId="0" fillId="0" borderId="0" xfId="0" applyBorder="1"/>
    <xf numFmtId="0" fontId="0" fillId="0" borderId="0" xfId="0" applyFill="1" applyBorder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3" fillId="3" borderId="0" xfId="2" applyAlignment="1">
      <alignment wrapText="1"/>
    </xf>
    <xf numFmtId="0" fontId="3" fillId="3" borderId="0" xfId="2"/>
    <xf numFmtId="0" fontId="1" fillId="2" borderId="0" xfId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2" fillId="0" borderId="0" xfId="0" applyNumberFormat="1" applyFont="1"/>
    <xf numFmtId="22" fontId="0" fillId="0" borderId="0" xfId="0" applyNumberFormat="1"/>
    <xf numFmtId="0" fontId="2" fillId="0" borderId="0" xfId="0" applyFont="1" applyAlignment="1">
      <alignment horizontal="right"/>
    </xf>
    <xf numFmtId="16" fontId="0" fillId="0" borderId="0" xfId="0" applyNumberFormat="1"/>
  </cellXfs>
  <cellStyles count="3">
    <cellStyle name="Good" xfId="2" builtinId="26"/>
    <cellStyle name="Neutral" xfId="1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opLeftCell="A20" zoomScale="115" zoomScaleNormal="115" workbookViewId="0">
      <selection activeCell="A29" sqref="A29"/>
    </sheetView>
  </sheetViews>
  <sheetFormatPr defaultRowHeight="14.5"/>
  <cols>
    <col min="3" max="3" width="8.7265625" customWidth="1"/>
    <col min="6" max="6" width="10.6328125" bestFit="1" customWidth="1"/>
    <col min="8" max="8" width="10.6328125" bestFit="1" customWidth="1"/>
  </cols>
  <sheetData>
    <row r="1" spans="1:18">
      <c r="B1" s="2" t="s">
        <v>8</v>
      </c>
      <c r="C1" s="2" t="s">
        <v>9</v>
      </c>
    </row>
    <row r="2" spans="1:18">
      <c r="A2" t="s">
        <v>0</v>
      </c>
      <c r="B2">
        <v>10</v>
      </c>
      <c r="C2">
        <v>5</v>
      </c>
      <c r="I2" s="2" t="s">
        <v>10</v>
      </c>
    </row>
    <row r="3" spans="1:18">
      <c r="A3" t="s">
        <v>7</v>
      </c>
      <c r="B3">
        <v>5</v>
      </c>
      <c r="H3" s="2"/>
      <c r="I3" s="2" t="s">
        <v>8</v>
      </c>
      <c r="J3" s="2" t="s">
        <v>9</v>
      </c>
    </row>
    <row r="4" spans="1:18">
      <c r="A4" t="s">
        <v>1</v>
      </c>
      <c r="B4">
        <v>20</v>
      </c>
      <c r="C4">
        <v>20</v>
      </c>
      <c r="H4" t="s">
        <v>0</v>
      </c>
      <c r="I4">
        <v>12</v>
      </c>
      <c r="J4">
        <v>7</v>
      </c>
    </row>
    <row r="5" spans="1:18">
      <c r="A5" t="s">
        <v>2</v>
      </c>
      <c r="B5">
        <v>30</v>
      </c>
      <c r="C5">
        <v>10</v>
      </c>
      <c r="E5" s="2" t="s">
        <v>8</v>
      </c>
      <c r="F5" s="2" t="s">
        <v>9</v>
      </c>
      <c r="H5" t="s">
        <v>7</v>
      </c>
      <c r="I5">
        <v>2</v>
      </c>
      <c r="L5" s="2" t="s">
        <v>8</v>
      </c>
      <c r="M5" s="2" t="s">
        <v>9</v>
      </c>
    </row>
    <row r="6" spans="1:18">
      <c r="A6" s="2" t="s">
        <v>3</v>
      </c>
      <c r="B6">
        <f>SUM(C2:C5)</f>
        <v>35</v>
      </c>
      <c r="C6" s="3" t="s">
        <v>11</v>
      </c>
      <c r="D6" s="2" t="s">
        <v>4</v>
      </c>
      <c r="E6">
        <v>3</v>
      </c>
      <c r="F6" s="1">
        <v>0</v>
      </c>
      <c r="H6" s="2" t="s">
        <v>3</v>
      </c>
      <c r="I6">
        <v>7</v>
      </c>
      <c r="J6" s="3" t="s">
        <v>11</v>
      </c>
      <c r="K6" s="2" t="s">
        <v>4</v>
      </c>
      <c r="L6" s="1">
        <v>3</v>
      </c>
      <c r="M6" s="1">
        <v>1</v>
      </c>
      <c r="N6">
        <v>3</v>
      </c>
      <c r="O6">
        <v>1</v>
      </c>
      <c r="P6">
        <v>0</v>
      </c>
      <c r="Q6">
        <v>0</v>
      </c>
      <c r="R6">
        <v>0</v>
      </c>
    </row>
    <row r="7" spans="1:18">
      <c r="E7" s="1">
        <v>4</v>
      </c>
      <c r="F7" s="1">
        <v>2</v>
      </c>
      <c r="L7">
        <v>4</v>
      </c>
      <c r="M7">
        <v>4</v>
      </c>
      <c r="N7">
        <v>4</v>
      </c>
      <c r="O7">
        <v>4</v>
      </c>
      <c r="P7">
        <v>4</v>
      </c>
      <c r="Q7">
        <v>3</v>
      </c>
      <c r="R7">
        <v>2</v>
      </c>
    </row>
    <row r="8" spans="1:18">
      <c r="E8">
        <v>3</v>
      </c>
      <c r="F8">
        <v>3</v>
      </c>
      <c r="L8" s="1">
        <v>5</v>
      </c>
      <c r="M8" s="1">
        <v>2</v>
      </c>
      <c r="N8">
        <v>0</v>
      </c>
      <c r="O8">
        <v>2</v>
      </c>
      <c r="P8">
        <v>3</v>
      </c>
      <c r="Q8">
        <v>4</v>
      </c>
      <c r="R8">
        <v>5</v>
      </c>
    </row>
    <row r="9" spans="1:18">
      <c r="D9" s="2" t="s">
        <v>5</v>
      </c>
      <c r="E9">
        <v>10</v>
      </c>
      <c r="F9">
        <v>10</v>
      </c>
      <c r="M9">
        <f>SUM(M6:M8)</f>
        <v>7</v>
      </c>
      <c r="N9">
        <f t="shared" ref="N9:R9" si="0">SUM(N6:N8)</f>
        <v>7</v>
      </c>
      <c r="O9">
        <f t="shared" si="0"/>
        <v>7</v>
      </c>
      <c r="P9">
        <f t="shared" si="0"/>
        <v>7</v>
      </c>
      <c r="Q9">
        <f t="shared" si="0"/>
        <v>7</v>
      </c>
      <c r="R9">
        <f t="shared" si="0"/>
        <v>7</v>
      </c>
    </row>
    <row r="10" spans="1:18">
      <c r="E10">
        <v>6</v>
      </c>
      <c r="F10">
        <v>6</v>
      </c>
    </row>
    <row r="11" spans="1:18">
      <c r="E11">
        <v>4</v>
      </c>
      <c r="F11">
        <v>4</v>
      </c>
      <c r="L11" s="2" t="s">
        <v>12</v>
      </c>
      <c r="N11">
        <v>0</v>
      </c>
      <c r="O11">
        <v>2</v>
      </c>
      <c r="P11">
        <v>3</v>
      </c>
      <c r="Q11">
        <v>4</v>
      </c>
      <c r="R11">
        <v>5</v>
      </c>
    </row>
    <row r="12" spans="1:18">
      <c r="D12" s="2" t="s">
        <v>6</v>
      </c>
      <c r="E12">
        <v>8</v>
      </c>
      <c r="F12">
        <v>8</v>
      </c>
      <c r="L12" s="2" t="s">
        <v>13</v>
      </c>
      <c r="N12">
        <f>$I4-$M9-N11</f>
        <v>5</v>
      </c>
      <c r="O12">
        <f>$I4-$M9-O11</f>
        <v>3</v>
      </c>
      <c r="P12">
        <f>$I4-$M9-P11</f>
        <v>2</v>
      </c>
      <c r="Q12">
        <f>$I4-$M9-Q11</f>
        <v>1</v>
      </c>
      <c r="R12">
        <f>$I4-$M9-R11</f>
        <v>0</v>
      </c>
    </row>
    <row r="13" spans="1:18">
      <c r="E13" s="1">
        <v>5</v>
      </c>
      <c r="F13" s="1">
        <v>2</v>
      </c>
    </row>
    <row r="14" spans="1:18">
      <c r="E14">
        <v>17</v>
      </c>
      <c r="F14" s="1">
        <v>0</v>
      </c>
    </row>
    <row r="16" spans="1:18">
      <c r="B16" s="2" t="s">
        <v>14</v>
      </c>
    </row>
    <row r="17" spans="1:18">
      <c r="A17">
        <v>101</v>
      </c>
      <c r="B17" s="5" t="s">
        <v>19</v>
      </c>
      <c r="E17">
        <v>160.75280000000001</v>
      </c>
      <c r="J17" s="7">
        <v>0</v>
      </c>
      <c r="K17" s="7">
        <v>0</v>
      </c>
      <c r="L17" s="7">
        <v>0</v>
      </c>
      <c r="M17" s="7">
        <v>5</v>
      </c>
      <c r="N17" s="7">
        <v>20</v>
      </c>
      <c r="O17" s="7">
        <v>30</v>
      </c>
      <c r="P17" s="7">
        <v>80</v>
      </c>
      <c r="Q17" s="7">
        <v>80</v>
      </c>
      <c r="R17" s="9">
        <v>0</v>
      </c>
    </row>
    <row r="18" spans="1:18" ht="43.5">
      <c r="B18" s="4" t="s">
        <v>15</v>
      </c>
      <c r="C18" s="4" t="s">
        <v>16</v>
      </c>
      <c r="D18" s="4" t="s">
        <v>17</v>
      </c>
      <c r="E18" s="4" t="s">
        <v>8</v>
      </c>
      <c r="F18" s="4" t="s">
        <v>18</v>
      </c>
      <c r="H18" s="4" t="s">
        <v>22</v>
      </c>
      <c r="J18" s="8">
        <v>20</v>
      </c>
      <c r="K18" s="8">
        <v>30</v>
      </c>
      <c r="L18" s="8">
        <v>200</v>
      </c>
      <c r="M18" s="8">
        <v>10</v>
      </c>
      <c r="N18" s="8">
        <v>20</v>
      </c>
      <c r="O18" s="8">
        <v>50</v>
      </c>
      <c r="P18" s="8">
        <v>10</v>
      </c>
      <c r="Q18" s="8">
        <v>100</v>
      </c>
      <c r="R18" s="10">
        <v>80.752799999999993</v>
      </c>
    </row>
    <row r="19" spans="1:18">
      <c r="B19">
        <v>58</v>
      </c>
      <c r="C19">
        <v>101</v>
      </c>
      <c r="D19">
        <v>15</v>
      </c>
      <c r="E19">
        <v>24.7409</v>
      </c>
      <c r="F19">
        <v>679.64</v>
      </c>
      <c r="H19">
        <f>E19</f>
        <v>24.7409</v>
      </c>
      <c r="I19">
        <f>E19-H19</f>
        <v>0</v>
      </c>
      <c r="J19" s="7">
        <v>20</v>
      </c>
      <c r="K19" s="7">
        <f>H19</f>
        <v>24.7409</v>
      </c>
      <c r="L19" s="7">
        <f>H19</f>
        <v>24.7409</v>
      </c>
      <c r="M19" s="7">
        <v>10</v>
      </c>
      <c r="N19" s="7">
        <f>E19-N17</f>
        <v>4.7408999999999999</v>
      </c>
      <c r="O19" s="7">
        <v>0</v>
      </c>
      <c r="P19" s="7">
        <v>0</v>
      </c>
      <c r="Q19" s="7">
        <v>0</v>
      </c>
      <c r="R19">
        <f>E19</f>
        <v>24.7409</v>
      </c>
    </row>
    <row r="20" spans="1:18">
      <c r="B20">
        <v>59</v>
      </c>
      <c r="C20">
        <v>101</v>
      </c>
      <c r="D20">
        <v>16</v>
      </c>
      <c r="E20">
        <v>48.378</v>
      </c>
      <c r="F20">
        <v>547.64509999999996</v>
      </c>
      <c r="H20">
        <f>E20</f>
        <v>48.378</v>
      </c>
      <c r="I20">
        <f t="shared" ref="I20:I21" si="1">E20-H20</f>
        <v>0</v>
      </c>
      <c r="J20" s="8">
        <v>0</v>
      </c>
      <c r="K20" s="8">
        <f>K18-K19</f>
        <v>5.2591000000000001</v>
      </c>
      <c r="L20" s="8">
        <f>H20</f>
        <v>48.378</v>
      </c>
      <c r="M20" s="8"/>
      <c r="N20" s="8">
        <f>N18-N19</f>
        <v>15.2591</v>
      </c>
      <c r="O20" s="8">
        <f>E20-(O17-E19)</f>
        <v>43.118899999999996</v>
      </c>
      <c r="P20">
        <v>0</v>
      </c>
      <c r="Q20">
        <v>0</v>
      </c>
      <c r="R20">
        <f>E20</f>
        <v>48.378</v>
      </c>
    </row>
    <row r="21" spans="1:18">
      <c r="B21">
        <v>60</v>
      </c>
      <c r="C21">
        <v>101</v>
      </c>
      <c r="D21">
        <v>17</v>
      </c>
      <c r="E21">
        <v>87.633899999999997</v>
      </c>
      <c r="F21">
        <v>992.38829999999996</v>
      </c>
      <c r="H21" s="6">
        <f>E23-H19-H20</f>
        <v>7.633899999999997</v>
      </c>
      <c r="I21">
        <f t="shared" si="1"/>
        <v>80</v>
      </c>
      <c r="J21">
        <v>0</v>
      </c>
      <c r="K21">
        <v>0</v>
      </c>
      <c r="L21" s="6">
        <f>E21</f>
        <v>87.633899999999997</v>
      </c>
      <c r="N21">
        <v>0</v>
      </c>
      <c r="O21">
        <f>O18-O20</f>
        <v>6.8811000000000035</v>
      </c>
      <c r="P21">
        <f>P18-P20</f>
        <v>10</v>
      </c>
      <c r="Q21">
        <v>80.752799999999993</v>
      </c>
      <c r="R21">
        <f>R18-R19-R20</f>
        <v>7.633899999999997</v>
      </c>
    </row>
    <row r="22" spans="1:18">
      <c r="J22">
        <v>0</v>
      </c>
      <c r="K22">
        <v>0</v>
      </c>
      <c r="L22" s="6">
        <f>L18-L19-L20-L21</f>
        <v>39.247199999999992</v>
      </c>
      <c r="N22">
        <v>0</v>
      </c>
      <c r="O22">
        <v>0</v>
      </c>
      <c r="P22">
        <v>0</v>
      </c>
      <c r="Q22">
        <f>Q18-Q21</f>
        <v>19.247200000000007</v>
      </c>
      <c r="R22">
        <v>0</v>
      </c>
    </row>
    <row r="23" spans="1:18">
      <c r="A23">
        <v>172</v>
      </c>
      <c r="B23" t="s">
        <v>20</v>
      </c>
      <c r="E23" s="6">
        <v>80.752799999999993</v>
      </c>
    </row>
    <row r="24" spans="1:18">
      <c r="B24" t="s">
        <v>21</v>
      </c>
      <c r="E24" s="6">
        <f>+E17-E23</f>
        <v>80.000000000000014</v>
      </c>
    </row>
    <row r="27" spans="1:18">
      <c r="A27" t="s">
        <v>33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N33"/>
  <sheetViews>
    <sheetView topLeftCell="A13" zoomScale="115" zoomScaleNormal="115" workbookViewId="0">
      <selection activeCell="F18" sqref="F18"/>
    </sheetView>
  </sheetViews>
  <sheetFormatPr defaultRowHeight="14.5"/>
  <cols>
    <col min="2" max="2" width="11.81640625" customWidth="1"/>
    <col min="3" max="3" width="10.81640625" customWidth="1"/>
    <col min="4" max="4" width="10.7265625" style="6" bestFit="1" customWidth="1"/>
    <col min="5" max="5" width="3.81640625" customWidth="1"/>
    <col min="6" max="6" width="10.7265625" bestFit="1" customWidth="1"/>
    <col min="7" max="7" width="3.1796875" customWidth="1"/>
    <col min="8" max="8" width="9.6328125" customWidth="1"/>
    <col min="11" max="11" width="11.54296875" customWidth="1"/>
  </cols>
  <sheetData>
    <row r="2" spans="1:12">
      <c r="A2" s="2" t="s">
        <v>25</v>
      </c>
    </row>
    <row r="3" spans="1:12">
      <c r="A3" s="13">
        <v>26</v>
      </c>
      <c r="B3" s="10" t="s">
        <v>23</v>
      </c>
      <c r="C3" s="11">
        <v>41439</v>
      </c>
      <c r="D3" s="12">
        <v>249.34710000000001</v>
      </c>
      <c r="F3" s="6">
        <f>D3</f>
        <v>249.34710000000001</v>
      </c>
      <c r="H3" s="6">
        <f>D3</f>
        <v>249.34710000000001</v>
      </c>
      <c r="J3" s="6"/>
      <c r="K3">
        <v>249.34710000000001</v>
      </c>
    </row>
    <row r="4" spans="1:12">
      <c r="A4" s="10">
        <v>28</v>
      </c>
      <c r="B4" s="10" t="s">
        <v>24</v>
      </c>
      <c r="C4" s="11">
        <v>41794</v>
      </c>
      <c r="D4" s="12">
        <v>249</v>
      </c>
      <c r="F4" s="6">
        <f>F3-D4</f>
        <v>0.34710000000001173</v>
      </c>
      <c r="G4" s="6"/>
      <c r="H4" s="6">
        <f>H3-D4</f>
        <v>0.34710000000001173</v>
      </c>
      <c r="K4" s="6">
        <f>+D6-F11</f>
        <v>259.18289999999996</v>
      </c>
    </row>
    <row r="5" spans="1:12">
      <c r="A5" s="15">
        <v>31</v>
      </c>
      <c r="B5" s="10" t="s">
        <v>23</v>
      </c>
      <c r="C5" s="11">
        <v>41976</v>
      </c>
      <c r="D5" s="12">
        <v>264.18049999999999</v>
      </c>
      <c r="F5" s="6">
        <f>F4+D5</f>
        <v>264.52760000000001</v>
      </c>
      <c r="H5" s="6">
        <f>H4+D5</f>
        <v>264.52760000000001</v>
      </c>
    </row>
    <row r="6" spans="1:12">
      <c r="A6" s="10">
        <v>91</v>
      </c>
      <c r="B6" s="10" t="s">
        <v>24</v>
      </c>
      <c r="C6" s="11">
        <v>42201</v>
      </c>
      <c r="D6" s="12">
        <v>259.52999999999997</v>
      </c>
      <c r="F6" s="6">
        <f>F5-D6</f>
        <v>4.997600000000034</v>
      </c>
      <c r="H6" s="6">
        <f>H5-D6</f>
        <v>4.997600000000034</v>
      </c>
      <c r="K6" s="6">
        <v>37.988199999999999</v>
      </c>
    </row>
    <row r="7" spans="1:12">
      <c r="A7" s="10"/>
      <c r="B7" s="10"/>
      <c r="C7" s="11"/>
      <c r="D7" s="12"/>
      <c r="F7" s="6"/>
      <c r="K7" s="6">
        <v>74.281599999999997</v>
      </c>
    </row>
    <row r="8" spans="1:12">
      <c r="B8" s="16" t="s">
        <v>26</v>
      </c>
      <c r="C8" s="17" t="s">
        <v>27</v>
      </c>
      <c r="D8" s="18" t="s">
        <v>8</v>
      </c>
      <c r="K8" s="6">
        <v>137.07730000000001</v>
      </c>
    </row>
    <row r="9" spans="1:12">
      <c r="A9">
        <v>22</v>
      </c>
      <c r="B9" s="14">
        <v>26</v>
      </c>
      <c r="C9">
        <v>15</v>
      </c>
      <c r="D9" s="12">
        <v>37.988199999999999</v>
      </c>
      <c r="F9">
        <v>0</v>
      </c>
      <c r="H9" s="6">
        <v>0</v>
      </c>
      <c r="I9" t="s">
        <v>31</v>
      </c>
      <c r="K9" s="6">
        <f>SUM(K6:K8)</f>
        <v>249.34710000000001</v>
      </c>
    </row>
    <row r="10" spans="1:12">
      <c r="A10">
        <v>23</v>
      </c>
      <c r="B10" s="14">
        <v>26</v>
      </c>
      <c r="C10">
        <v>16</v>
      </c>
      <c r="D10" s="12">
        <v>74.281599999999997</v>
      </c>
      <c r="F10">
        <v>0</v>
      </c>
      <c r="H10" s="6">
        <v>0</v>
      </c>
      <c r="I10" t="s">
        <v>31</v>
      </c>
    </row>
    <row r="11" spans="1:12">
      <c r="A11">
        <v>24</v>
      </c>
      <c r="B11" s="14">
        <v>26</v>
      </c>
      <c r="C11">
        <v>17</v>
      </c>
      <c r="D11" s="12">
        <v>137.07740000000001</v>
      </c>
      <c r="F11" s="6">
        <f>D3-D4</f>
        <v>0.34710000000001173</v>
      </c>
      <c r="G11" s="6"/>
      <c r="H11" s="6">
        <v>0.34730000000001798</v>
      </c>
      <c r="I11" t="s">
        <v>31</v>
      </c>
      <c r="K11" t="s">
        <v>32</v>
      </c>
    </row>
    <row r="12" spans="1:12">
      <c r="D12" s="12"/>
    </row>
    <row r="13" spans="1:12">
      <c r="A13">
        <v>40</v>
      </c>
      <c r="B13" s="1">
        <v>31</v>
      </c>
      <c r="C13">
        <v>15</v>
      </c>
      <c r="D13" s="12">
        <v>39.353999999999999</v>
      </c>
      <c r="F13" s="6">
        <f>D13</f>
        <v>39.353999999999999</v>
      </c>
      <c r="H13" s="6">
        <v>39.353999999999999</v>
      </c>
      <c r="I13" t="s">
        <v>31</v>
      </c>
      <c r="K13">
        <v>0.34710000000001101</v>
      </c>
      <c r="L13" s="6">
        <f>$D$6-K13</f>
        <v>259.18289999999996</v>
      </c>
    </row>
    <row r="14" spans="1:12">
      <c r="A14">
        <v>41</v>
      </c>
      <c r="B14" s="1">
        <v>31</v>
      </c>
      <c r="C14">
        <v>16</v>
      </c>
      <c r="D14" s="12">
        <v>76.952299999999994</v>
      </c>
      <c r="F14" s="6">
        <f>D14</f>
        <v>76.952299999999994</v>
      </c>
      <c r="H14" s="6">
        <v>76.952299999999994</v>
      </c>
      <c r="I14" t="s">
        <v>31</v>
      </c>
      <c r="L14">
        <v>258.83579999999898</v>
      </c>
    </row>
    <row r="15" spans="1:12">
      <c r="A15">
        <v>42</v>
      </c>
      <c r="B15" s="1">
        <v>31</v>
      </c>
      <c r="C15">
        <v>17</v>
      </c>
      <c r="D15" s="12">
        <v>141.64619999999999</v>
      </c>
      <c r="F15" s="6">
        <f>D15</f>
        <v>141.64619999999999</v>
      </c>
      <c r="H15" s="6">
        <v>141.64619999999999</v>
      </c>
      <c r="I15" t="s">
        <v>31</v>
      </c>
      <c r="L15" s="6">
        <f>+L13-L14</f>
        <v>0.34710000000097807</v>
      </c>
    </row>
    <row r="16" spans="1:12">
      <c r="A16">
        <v>43</v>
      </c>
      <c r="B16" s="1">
        <v>31</v>
      </c>
      <c r="C16">
        <v>27</v>
      </c>
      <c r="D16" s="12">
        <v>6.2279999999999998</v>
      </c>
      <c r="F16" s="6">
        <f>D6-(F11+F13+F14+F15)</f>
        <v>1.2303999999999746</v>
      </c>
      <c r="H16" s="6">
        <v>0.88289999999997804</v>
      </c>
      <c r="I16" t="s">
        <v>31</v>
      </c>
    </row>
    <row r="17" spans="1:14">
      <c r="F17" s="6">
        <f>SUM(F9:F16)</f>
        <v>259.52999999999997</v>
      </c>
      <c r="H17" s="6">
        <f>SUM(H9:H16)</f>
        <v>259.18269999999995</v>
      </c>
      <c r="I17" s="6">
        <f>F16-H16</f>
        <v>0.34749999999999659</v>
      </c>
    </row>
    <row r="18" spans="1:14">
      <c r="F18" s="6"/>
      <c r="H18" s="6"/>
    </row>
    <row r="19" spans="1:14">
      <c r="A19" s="2" t="s">
        <v>30</v>
      </c>
      <c r="H19" s="6">
        <v>259.52999999999997</v>
      </c>
      <c r="I19" t="s">
        <v>31</v>
      </c>
      <c r="K19" t="s">
        <v>28</v>
      </c>
      <c r="L19">
        <v>10</v>
      </c>
      <c r="M19">
        <v>0</v>
      </c>
    </row>
    <row r="20" spans="1:14">
      <c r="A20" s="10">
        <v>1</v>
      </c>
      <c r="B20" s="10" t="s">
        <v>19</v>
      </c>
      <c r="C20" s="11">
        <v>41172</v>
      </c>
      <c r="D20" s="10">
        <v>325.52199999999999</v>
      </c>
      <c r="F20">
        <f>D20</f>
        <v>325.52199999999999</v>
      </c>
      <c r="K20" t="s">
        <v>28</v>
      </c>
      <c r="L20">
        <v>20</v>
      </c>
      <c r="M20">
        <v>15</v>
      </c>
      <c r="N20">
        <v>5</v>
      </c>
    </row>
    <row r="21" spans="1:14">
      <c r="A21" s="10">
        <v>2</v>
      </c>
      <c r="B21" s="10" t="s">
        <v>19</v>
      </c>
      <c r="C21" s="11">
        <v>41187</v>
      </c>
      <c r="D21" s="20">
        <v>1267.6880000000001</v>
      </c>
      <c r="F21" s="19">
        <f>F20+D21</f>
        <v>1593.21</v>
      </c>
      <c r="K21" t="s">
        <v>29</v>
      </c>
      <c r="L21">
        <v>15</v>
      </c>
    </row>
    <row r="22" spans="1:14">
      <c r="A22" s="10">
        <v>3</v>
      </c>
      <c r="B22" s="10" t="s">
        <v>19</v>
      </c>
      <c r="C22" s="11">
        <v>41410</v>
      </c>
      <c r="D22" s="10">
        <v>522.37400000000002</v>
      </c>
      <c r="F22" s="19">
        <f t="shared" ref="F22:F26" si="0">F21+D22</f>
        <v>2115.5839999999998</v>
      </c>
      <c r="K22" t="s">
        <v>29</v>
      </c>
      <c r="L22">
        <v>10</v>
      </c>
    </row>
    <row r="23" spans="1:14">
      <c r="A23" s="10">
        <v>4</v>
      </c>
      <c r="B23" s="10" t="s">
        <v>20</v>
      </c>
      <c r="C23" s="11">
        <v>41438</v>
      </c>
      <c r="D23" s="20">
        <v>1415.5820000000001</v>
      </c>
      <c r="F23" s="19">
        <f>F22-D23</f>
        <v>700.00199999999973</v>
      </c>
    </row>
    <row r="24" spans="1:14">
      <c r="A24" s="10">
        <v>5</v>
      </c>
      <c r="B24" s="10" t="s">
        <v>20</v>
      </c>
      <c r="C24" s="11">
        <v>41492</v>
      </c>
      <c r="D24" s="10">
        <v>178</v>
      </c>
      <c r="F24" s="19">
        <f>F23-D24</f>
        <v>522.00199999999973</v>
      </c>
    </row>
    <row r="25" spans="1:14">
      <c r="A25" s="10">
        <v>6</v>
      </c>
      <c r="B25" s="10" t="s">
        <v>20</v>
      </c>
      <c r="C25" s="11">
        <v>41506</v>
      </c>
      <c r="D25" s="10">
        <v>522.00199999999995</v>
      </c>
      <c r="F25" s="19">
        <f>F24-D25</f>
        <v>0</v>
      </c>
    </row>
    <row r="26" spans="1:14">
      <c r="A26" s="10">
        <v>41</v>
      </c>
      <c r="B26" s="10" t="s">
        <v>23</v>
      </c>
      <c r="C26" s="11">
        <v>42047</v>
      </c>
      <c r="D26" s="10">
        <v>174.22900000000001</v>
      </c>
      <c r="F26" s="19">
        <f t="shared" si="0"/>
        <v>174.22900000000001</v>
      </c>
    </row>
    <row r="27" spans="1:14">
      <c r="A27" s="10">
        <v>95</v>
      </c>
      <c r="B27" s="10" t="s">
        <v>24</v>
      </c>
      <c r="C27" s="11">
        <v>42207</v>
      </c>
      <c r="D27" s="10">
        <v>150</v>
      </c>
      <c r="F27" s="19">
        <f>F26-D27</f>
        <v>24.229000000000013</v>
      </c>
    </row>
    <row r="28" spans="1:14">
      <c r="A28" s="10">
        <v>187</v>
      </c>
      <c r="B28" s="10" t="s">
        <v>20</v>
      </c>
      <c r="C28" s="11">
        <v>44176</v>
      </c>
      <c r="D28" s="10">
        <v>24.228999999999999</v>
      </c>
      <c r="F28" s="19">
        <f>F27-D28</f>
        <v>0</v>
      </c>
    </row>
    <row r="30" spans="1:14">
      <c r="A30" s="10">
        <v>26</v>
      </c>
      <c r="B30" s="10" t="s">
        <v>23</v>
      </c>
      <c r="C30" s="11">
        <v>41439</v>
      </c>
      <c r="D30" s="12">
        <v>249.34710000000001</v>
      </c>
      <c r="F30" s="6">
        <f>D30</f>
        <v>249.34710000000001</v>
      </c>
    </row>
    <row r="31" spans="1:14">
      <c r="A31" s="10">
        <v>28</v>
      </c>
      <c r="B31" s="10" t="s">
        <v>24</v>
      </c>
      <c r="C31" s="11">
        <v>41794</v>
      </c>
      <c r="D31" s="12">
        <v>249</v>
      </c>
      <c r="F31" s="6">
        <f>+F30-D31</f>
        <v>0.34710000000001173</v>
      </c>
    </row>
    <row r="32" spans="1:14">
      <c r="A32" s="10">
        <v>31</v>
      </c>
      <c r="B32" s="10" t="s">
        <v>23</v>
      </c>
      <c r="C32" s="11">
        <v>41976</v>
      </c>
      <c r="D32" s="12">
        <v>264.18049999999999</v>
      </c>
      <c r="F32" s="6">
        <f>+F31+D32</f>
        <v>264.52760000000001</v>
      </c>
    </row>
    <row r="33" spans="1:6">
      <c r="A33" s="10">
        <v>91</v>
      </c>
      <c r="B33" s="10" t="s">
        <v>24</v>
      </c>
      <c r="C33" s="11">
        <v>42201</v>
      </c>
      <c r="D33" s="12">
        <v>259.52999999999997</v>
      </c>
      <c r="F33" s="6">
        <f>+F32-D33</f>
        <v>4.997600000000034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M32"/>
  <sheetViews>
    <sheetView topLeftCell="A7" zoomScale="115" zoomScaleNormal="115" workbookViewId="0">
      <selection activeCell="E13" sqref="E13"/>
    </sheetView>
  </sheetViews>
  <sheetFormatPr defaultRowHeight="14.5"/>
  <cols>
    <col min="6" max="6" width="8.7265625" customWidth="1"/>
    <col min="9" max="9" width="9.54296875" bestFit="1" customWidth="1"/>
  </cols>
  <sheetData>
    <row r="3" spans="5:11">
      <c r="E3" t="s">
        <v>36</v>
      </c>
      <c r="F3">
        <f>F8</f>
        <v>160.75279999999998</v>
      </c>
    </row>
    <row r="4" spans="5:11">
      <c r="E4" t="s">
        <v>34</v>
      </c>
      <c r="F4">
        <f>H12</f>
        <v>40</v>
      </c>
      <c r="G4" s="17" t="s">
        <v>39</v>
      </c>
    </row>
    <row r="5" spans="5:11">
      <c r="E5" t="s">
        <v>35</v>
      </c>
      <c r="F5">
        <v>100</v>
      </c>
      <c r="G5" s="17" t="s">
        <v>40</v>
      </c>
    </row>
    <row r="7" spans="5:11">
      <c r="F7" t="s">
        <v>8</v>
      </c>
      <c r="G7" s="17" t="s">
        <v>43</v>
      </c>
      <c r="H7" s="17" t="s">
        <v>41</v>
      </c>
      <c r="I7" s="17" t="s">
        <v>42</v>
      </c>
    </row>
    <row r="8" spans="5:11">
      <c r="E8" t="s">
        <v>36</v>
      </c>
      <c r="F8">
        <f>G12</f>
        <v>160.75279999999998</v>
      </c>
      <c r="G8" t="s">
        <v>8</v>
      </c>
      <c r="H8" t="s">
        <v>37</v>
      </c>
      <c r="I8" t="s">
        <v>18</v>
      </c>
      <c r="J8" t="s">
        <v>38</v>
      </c>
    </row>
    <row r="9" spans="5:11">
      <c r="G9">
        <v>24.7409</v>
      </c>
      <c r="H9">
        <v>0</v>
      </c>
      <c r="I9" s="6">
        <v>679.64</v>
      </c>
      <c r="J9">
        <v>15</v>
      </c>
    </row>
    <row r="10" spans="5:11">
      <c r="G10">
        <v>48.378</v>
      </c>
      <c r="H10">
        <v>0</v>
      </c>
      <c r="I10" s="6">
        <v>547.64509999999996</v>
      </c>
      <c r="J10">
        <v>16</v>
      </c>
    </row>
    <row r="11" spans="5:11">
      <c r="G11">
        <v>87.633899999999997</v>
      </c>
      <c r="H11">
        <v>40</v>
      </c>
      <c r="I11" s="6">
        <v>992.38829999999996</v>
      </c>
      <c r="J11">
        <v>17</v>
      </c>
    </row>
    <row r="12" spans="5:11">
      <c r="G12" s="2">
        <f>SUM(G9:G11)</f>
        <v>160.75279999999998</v>
      </c>
      <c r="H12" s="2">
        <f>SUM(H9:H11)</f>
        <v>40</v>
      </c>
      <c r="I12" s="21">
        <f>SUM(I9:I11)</f>
        <v>2219.6734000000001</v>
      </c>
      <c r="K12">
        <f>+H12/I12</f>
        <v>1.8020669166914374E-2</v>
      </c>
    </row>
    <row r="15" spans="5:11">
      <c r="E15" t="s">
        <v>35</v>
      </c>
      <c r="F15">
        <f>F5</f>
        <v>100</v>
      </c>
    </row>
    <row r="16" spans="5:11">
      <c r="G16" t="s">
        <v>8</v>
      </c>
      <c r="H16" t="s">
        <v>18</v>
      </c>
      <c r="I16" t="s">
        <v>38</v>
      </c>
    </row>
    <row r="17" spans="1:13">
      <c r="G17">
        <f>H9/F$4*F$5</f>
        <v>0</v>
      </c>
      <c r="H17">
        <f>H9/G9*I9</f>
        <v>0</v>
      </c>
      <c r="I17">
        <v>15</v>
      </c>
    </row>
    <row r="18" spans="1:13">
      <c r="G18">
        <f t="shared" ref="G18:G19" si="0">H10/F$4*F$5</f>
        <v>0</v>
      </c>
      <c r="H18">
        <f>H10/G10*I10</f>
        <v>0</v>
      </c>
      <c r="I18">
        <v>16</v>
      </c>
    </row>
    <row r="19" spans="1:13">
      <c r="G19">
        <f t="shared" si="0"/>
        <v>100</v>
      </c>
      <c r="H19">
        <f>H11/G11*I11</f>
        <v>452.97004926175828</v>
      </c>
      <c r="I19">
        <v>17</v>
      </c>
    </row>
    <row r="20" spans="1:13">
      <c r="G20" s="2">
        <f>H12/F$4*F$15</f>
        <v>100</v>
      </c>
      <c r="H20" s="2">
        <f>SUM(H17:H19)</f>
        <v>452.97004926175828</v>
      </c>
    </row>
    <row r="22" spans="1:13">
      <c r="A22" s="2" t="s">
        <v>53</v>
      </c>
      <c r="G22" t="s">
        <v>8</v>
      </c>
    </row>
    <row r="23" spans="1:13">
      <c r="A23">
        <v>1190</v>
      </c>
      <c r="B23">
        <v>1</v>
      </c>
      <c r="C23">
        <v>16</v>
      </c>
      <c r="D23">
        <v>1</v>
      </c>
      <c r="E23">
        <v>1191</v>
      </c>
      <c r="F23" s="22">
        <v>44306.308576388888</v>
      </c>
      <c r="G23">
        <v>40</v>
      </c>
      <c r="H23">
        <v>280.20139999999998</v>
      </c>
      <c r="I23">
        <v>400</v>
      </c>
      <c r="J23">
        <v>1</v>
      </c>
      <c r="K23" t="s">
        <v>45</v>
      </c>
      <c r="L23" t="s">
        <v>45</v>
      </c>
      <c r="M23" t="s">
        <v>46</v>
      </c>
    </row>
    <row r="24" spans="1:13">
      <c r="A24">
        <v>1191</v>
      </c>
      <c r="B24">
        <v>1</v>
      </c>
      <c r="C24">
        <v>1</v>
      </c>
      <c r="D24">
        <v>0</v>
      </c>
      <c r="E24">
        <v>1190</v>
      </c>
      <c r="F24" s="22">
        <v>44306.308587962965</v>
      </c>
      <c r="G24">
        <v>100</v>
      </c>
      <c r="H24">
        <v>112.0806</v>
      </c>
      <c r="I24">
        <v>160</v>
      </c>
      <c r="J24">
        <v>1</v>
      </c>
      <c r="K24" t="s">
        <v>45</v>
      </c>
      <c r="L24" t="s">
        <v>45</v>
      </c>
      <c r="M24" t="s">
        <v>47</v>
      </c>
    </row>
    <row r="25" spans="1:13">
      <c r="D25" t="s">
        <v>8</v>
      </c>
      <c r="E25" t="s">
        <v>51</v>
      </c>
    </row>
    <row r="26" spans="1:13">
      <c r="A26">
        <v>1097</v>
      </c>
      <c r="B26">
        <v>1191</v>
      </c>
      <c r="C26">
        <v>17</v>
      </c>
      <c r="D26">
        <v>100</v>
      </c>
      <c r="E26">
        <v>452.97004926175799</v>
      </c>
      <c r="F26" t="s">
        <v>44</v>
      </c>
    </row>
    <row r="28" spans="1:13">
      <c r="A28" s="2" t="s">
        <v>52</v>
      </c>
    </row>
    <row r="29" spans="1:13">
      <c r="A29">
        <v>1192</v>
      </c>
      <c r="B29">
        <v>1</v>
      </c>
      <c r="C29">
        <v>16</v>
      </c>
      <c r="D29">
        <v>1</v>
      </c>
      <c r="E29">
        <v>1193</v>
      </c>
      <c r="F29" s="22">
        <v>44306.312685185185</v>
      </c>
      <c r="G29">
        <v>40</v>
      </c>
      <c r="H29">
        <v>280.20139999999998</v>
      </c>
      <c r="I29">
        <v>400</v>
      </c>
      <c r="J29">
        <v>1</v>
      </c>
      <c r="K29" t="s">
        <v>45</v>
      </c>
      <c r="L29" t="s">
        <v>45</v>
      </c>
      <c r="M29" t="s">
        <v>49</v>
      </c>
    </row>
    <row r="30" spans="1:13">
      <c r="A30">
        <v>1193</v>
      </c>
      <c r="B30">
        <v>1</v>
      </c>
      <c r="C30">
        <v>1</v>
      </c>
      <c r="D30">
        <v>0</v>
      </c>
      <c r="E30">
        <v>1192</v>
      </c>
      <c r="F30" s="22">
        <v>44306.312696759262</v>
      </c>
      <c r="G30">
        <v>100</v>
      </c>
      <c r="H30">
        <v>112.0806</v>
      </c>
      <c r="I30">
        <v>160</v>
      </c>
      <c r="J30">
        <v>1</v>
      </c>
      <c r="K30" t="s">
        <v>45</v>
      </c>
      <c r="L30" t="s">
        <v>45</v>
      </c>
      <c r="M30" t="s">
        <v>50</v>
      </c>
    </row>
    <row r="32" spans="1:13">
      <c r="A32">
        <v>1098</v>
      </c>
      <c r="B32">
        <v>1193</v>
      </c>
      <c r="C32">
        <v>17</v>
      </c>
      <c r="D32">
        <v>200</v>
      </c>
      <c r="E32">
        <v>905.94010000000003</v>
      </c>
      <c r="F32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49"/>
  <sheetViews>
    <sheetView tabSelected="1" topLeftCell="A34" zoomScale="115" zoomScaleNormal="115" workbookViewId="0">
      <selection activeCell="G47" sqref="G47"/>
    </sheetView>
  </sheetViews>
  <sheetFormatPr defaultRowHeight="14.5"/>
  <sheetData>
    <row r="1" spans="1:13">
      <c r="C1" s="23" t="s">
        <v>54</v>
      </c>
      <c r="D1" s="23" t="s">
        <v>55</v>
      </c>
      <c r="E1" s="23" t="s">
        <v>56</v>
      </c>
      <c r="F1" s="23" t="s">
        <v>57</v>
      </c>
      <c r="G1" s="23" t="s">
        <v>8</v>
      </c>
      <c r="H1" s="23" t="s">
        <v>58</v>
      </c>
      <c r="I1" s="23" t="s">
        <v>59</v>
      </c>
      <c r="J1" s="23"/>
      <c r="K1" s="23"/>
      <c r="L1" s="23"/>
    </row>
    <row r="2" spans="1:13">
      <c r="A2">
        <v>101</v>
      </c>
      <c r="B2">
        <v>1</v>
      </c>
      <c r="C2">
        <v>16</v>
      </c>
      <c r="D2">
        <v>0</v>
      </c>
      <c r="E2">
        <v>100</v>
      </c>
      <c r="F2" s="24">
        <v>42279.463807870372</v>
      </c>
      <c r="G2">
        <v>160.75280000000001</v>
      </c>
      <c r="H2">
        <v>280.20139999999998</v>
      </c>
      <c r="I2">
        <v>323.52997894904399</v>
      </c>
      <c r="J2">
        <v>1</v>
      </c>
      <c r="K2" t="s">
        <v>45</v>
      </c>
      <c r="L2" t="s">
        <v>60</v>
      </c>
      <c r="M2" t="s">
        <v>61</v>
      </c>
    </row>
    <row r="3" spans="1:13">
      <c r="A3">
        <v>172</v>
      </c>
      <c r="B3">
        <v>1</v>
      </c>
      <c r="C3">
        <v>16</v>
      </c>
      <c r="D3">
        <v>1</v>
      </c>
      <c r="E3">
        <v>173</v>
      </c>
      <c r="F3" s="24">
        <v>43525.444004629629</v>
      </c>
      <c r="G3">
        <v>80.752799999999993</v>
      </c>
      <c r="H3">
        <v>280.20139999999998</v>
      </c>
      <c r="I3">
        <v>375.55</v>
      </c>
      <c r="J3">
        <v>1</v>
      </c>
      <c r="K3" t="s">
        <v>45</v>
      </c>
      <c r="L3" t="s">
        <v>45</v>
      </c>
      <c r="M3" t="s">
        <v>62</v>
      </c>
    </row>
    <row r="4" spans="1:13">
      <c r="A4">
        <v>173</v>
      </c>
      <c r="B4">
        <v>1</v>
      </c>
      <c r="C4">
        <v>27</v>
      </c>
      <c r="D4">
        <v>0</v>
      </c>
      <c r="E4">
        <v>172</v>
      </c>
      <c r="F4" s="24">
        <v>43525.444016203706</v>
      </c>
      <c r="G4">
        <v>1778.69</v>
      </c>
      <c r="H4">
        <v>12.7212</v>
      </c>
      <c r="I4">
        <v>17.05</v>
      </c>
      <c r="J4">
        <v>1</v>
      </c>
      <c r="K4" t="s">
        <v>45</v>
      </c>
      <c r="L4" t="s">
        <v>45</v>
      </c>
      <c r="M4" t="s">
        <v>63</v>
      </c>
    </row>
    <row r="6" spans="1:13">
      <c r="A6" s="2"/>
      <c r="B6" s="17" t="s">
        <v>64</v>
      </c>
      <c r="C6" s="17" t="s">
        <v>65</v>
      </c>
      <c r="D6" s="17" t="s">
        <v>8</v>
      </c>
      <c r="E6" s="17" t="s">
        <v>51</v>
      </c>
    </row>
    <row r="7" spans="1:13">
      <c r="A7">
        <v>58</v>
      </c>
      <c r="B7">
        <v>101</v>
      </c>
      <c r="C7">
        <v>15</v>
      </c>
      <c r="D7">
        <v>24.7409</v>
      </c>
      <c r="E7">
        <v>679.64</v>
      </c>
    </row>
    <row r="8" spans="1:13">
      <c r="A8">
        <v>59</v>
      </c>
      <c r="B8">
        <v>101</v>
      </c>
      <c r="C8">
        <v>16</v>
      </c>
      <c r="D8">
        <v>48.378</v>
      </c>
      <c r="E8">
        <v>547.64509999999996</v>
      </c>
    </row>
    <row r="9" spans="1:13">
      <c r="A9">
        <v>60</v>
      </c>
      <c r="B9">
        <v>101</v>
      </c>
      <c r="C9">
        <v>17</v>
      </c>
      <c r="D9">
        <v>87.633899999999997</v>
      </c>
      <c r="E9">
        <v>992.38829999999996</v>
      </c>
      <c r="F9">
        <f>SUM(E7:E9)</f>
        <v>2219.6734000000001</v>
      </c>
    </row>
    <row r="12" spans="1:13">
      <c r="C12" s="23" t="s">
        <v>54</v>
      </c>
      <c r="D12" s="23" t="s">
        <v>55</v>
      </c>
      <c r="E12" s="23" t="s">
        <v>56</v>
      </c>
      <c r="F12" s="23" t="s">
        <v>57</v>
      </c>
      <c r="G12" s="23" t="s">
        <v>8</v>
      </c>
      <c r="H12" s="23" t="s">
        <v>58</v>
      </c>
      <c r="I12" s="23" t="s">
        <v>59</v>
      </c>
      <c r="J12" s="23"/>
      <c r="K12" s="23"/>
      <c r="L12" s="23"/>
    </row>
    <row r="13" spans="1:13">
      <c r="A13">
        <v>2194</v>
      </c>
      <c r="B13">
        <v>1</v>
      </c>
      <c r="C13">
        <v>16</v>
      </c>
      <c r="D13">
        <v>1</v>
      </c>
      <c r="E13">
        <v>2195</v>
      </c>
      <c r="F13" s="24">
        <v>44307.357627314814</v>
      </c>
      <c r="G13">
        <v>80.752799999999993</v>
      </c>
      <c r="H13">
        <v>280.20139999999998</v>
      </c>
      <c r="I13">
        <v>375.55</v>
      </c>
      <c r="J13">
        <v>1</v>
      </c>
      <c r="K13" t="s">
        <v>45</v>
      </c>
      <c r="L13" t="s">
        <v>45</v>
      </c>
      <c r="M13" t="s">
        <v>66</v>
      </c>
    </row>
    <row r="14" spans="1:13">
      <c r="A14">
        <v>2195</v>
      </c>
      <c r="B14">
        <v>1</v>
      </c>
      <c r="C14">
        <v>27</v>
      </c>
      <c r="D14">
        <v>0</v>
      </c>
      <c r="E14">
        <v>2194</v>
      </c>
      <c r="F14" s="24">
        <v>44307.357638888891</v>
      </c>
      <c r="G14">
        <v>1778.69</v>
      </c>
      <c r="H14">
        <v>12.7212</v>
      </c>
      <c r="I14">
        <v>17.050027851958401</v>
      </c>
      <c r="J14">
        <v>1</v>
      </c>
      <c r="K14" t="s">
        <v>45</v>
      </c>
      <c r="L14" t="s">
        <v>45</v>
      </c>
      <c r="M14" t="s">
        <v>67</v>
      </c>
    </row>
    <row r="15" spans="1:13">
      <c r="F15" s="24"/>
    </row>
    <row r="16" spans="1:13">
      <c r="A16" s="2"/>
      <c r="B16" s="17" t="s">
        <v>64</v>
      </c>
      <c r="C16" s="17" t="s">
        <v>65</v>
      </c>
      <c r="D16" s="17" t="s">
        <v>8</v>
      </c>
      <c r="E16" s="17" t="s">
        <v>51</v>
      </c>
      <c r="F16" s="24"/>
    </row>
    <row r="17" spans="1:13">
      <c r="A17">
        <v>2101</v>
      </c>
      <c r="B17">
        <v>2195</v>
      </c>
      <c r="C17">
        <v>15</v>
      </c>
      <c r="D17">
        <v>544.95190000000002</v>
      </c>
      <c r="E17">
        <v>679.64</v>
      </c>
    </row>
    <row r="18" spans="1:13">
      <c r="A18">
        <v>2102</v>
      </c>
      <c r="B18">
        <v>2195</v>
      </c>
      <c r="C18">
        <v>16</v>
      </c>
      <c r="D18">
        <v>1065.5911000000001</v>
      </c>
      <c r="E18">
        <v>547.64509999999996</v>
      </c>
    </row>
    <row r="19" spans="1:13">
      <c r="A19">
        <v>2103</v>
      </c>
      <c r="B19">
        <v>2195</v>
      </c>
      <c r="C19">
        <v>17</v>
      </c>
      <c r="D19">
        <v>168.14699999999999</v>
      </c>
      <c r="E19">
        <v>86.4482</v>
      </c>
      <c r="F19">
        <f>SUM(E17:E19)</f>
        <v>1313.7333000000001</v>
      </c>
    </row>
    <row r="21" spans="1:13">
      <c r="C21" s="23" t="s">
        <v>54</v>
      </c>
      <c r="D21" s="23" t="s">
        <v>55</v>
      </c>
      <c r="E21" s="23" t="s">
        <v>56</v>
      </c>
      <c r="F21" s="23" t="s">
        <v>57</v>
      </c>
      <c r="G21" s="23" t="s">
        <v>8</v>
      </c>
      <c r="H21" s="23" t="s">
        <v>58</v>
      </c>
      <c r="I21" s="23" t="s">
        <v>59</v>
      </c>
      <c r="J21" s="23"/>
      <c r="K21" s="23"/>
      <c r="L21" s="23"/>
    </row>
    <row r="22" spans="1:13">
      <c r="A22">
        <v>2196</v>
      </c>
      <c r="B22">
        <v>1</v>
      </c>
      <c r="C22">
        <v>16</v>
      </c>
      <c r="D22">
        <v>1</v>
      </c>
      <c r="E22">
        <v>2197</v>
      </c>
      <c r="F22" s="24">
        <v>44307.364293981482</v>
      </c>
      <c r="G22">
        <v>80</v>
      </c>
      <c r="H22">
        <v>280.20139999999998</v>
      </c>
      <c r="I22">
        <v>400</v>
      </c>
      <c r="J22">
        <v>1</v>
      </c>
      <c r="K22" t="s">
        <v>45</v>
      </c>
      <c r="L22" t="s">
        <v>45</v>
      </c>
      <c r="M22" t="s">
        <v>68</v>
      </c>
    </row>
    <row r="23" spans="1:13">
      <c r="A23">
        <v>2197</v>
      </c>
      <c r="B23">
        <v>1</v>
      </c>
      <c r="C23">
        <v>27</v>
      </c>
      <c r="D23">
        <v>0</v>
      </c>
      <c r="E23">
        <v>2196</v>
      </c>
      <c r="F23" s="24">
        <v>44307.364305555559</v>
      </c>
      <c r="G23">
        <v>18</v>
      </c>
      <c r="H23">
        <v>1245.3396</v>
      </c>
      <c r="I23">
        <v>1777.7777777777701</v>
      </c>
      <c r="J23">
        <v>1</v>
      </c>
      <c r="K23" t="s">
        <v>45</v>
      </c>
      <c r="L23" t="s">
        <v>45</v>
      </c>
      <c r="M23" t="s">
        <v>69</v>
      </c>
    </row>
    <row r="25" spans="1:13">
      <c r="A25" s="2"/>
      <c r="B25" s="17" t="s">
        <v>64</v>
      </c>
      <c r="C25" s="17" t="s">
        <v>65</v>
      </c>
      <c r="D25" s="17" t="s">
        <v>8</v>
      </c>
      <c r="E25" s="17" t="s">
        <v>51</v>
      </c>
      <c r="F25" s="24"/>
    </row>
    <row r="26" spans="1:13">
      <c r="A26">
        <v>2104</v>
      </c>
      <c r="B26">
        <v>2197</v>
      </c>
      <c r="C26">
        <v>17</v>
      </c>
      <c r="D26">
        <v>18</v>
      </c>
      <c r="E26">
        <v>905.94010000000003</v>
      </c>
      <c r="F26">
        <f>E26</f>
        <v>905.94010000000003</v>
      </c>
    </row>
    <row r="27" spans="1:13">
      <c r="F27">
        <f>+F9-F19-F26</f>
        <v>0</v>
      </c>
    </row>
    <row r="30" spans="1:13">
      <c r="A30">
        <v>1103</v>
      </c>
      <c r="B30">
        <v>1205</v>
      </c>
      <c r="C30">
        <v>15</v>
      </c>
      <c r="D30">
        <v>544.95190000000002</v>
      </c>
      <c r="E30">
        <v>679.64</v>
      </c>
    </row>
    <row r="31" spans="1:13">
      <c r="A31">
        <v>1104</v>
      </c>
      <c r="B31">
        <v>1205</v>
      </c>
      <c r="C31">
        <v>16</v>
      </c>
      <c r="D31">
        <v>1065.5911000000001</v>
      </c>
      <c r="E31">
        <v>547.64509999999996</v>
      </c>
    </row>
    <row r="32" spans="1:13">
      <c r="A32">
        <v>1105</v>
      </c>
      <c r="B32">
        <v>1205</v>
      </c>
      <c r="C32">
        <v>17</v>
      </c>
      <c r="D32">
        <v>168.14699999999999</v>
      </c>
      <c r="E32">
        <v>86.4482</v>
      </c>
    </row>
    <row r="33" spans="1:7">
      <c r="A33">
        <v>1106</v>
      </c>
      <c r="B33">
        <v>1207</v>
      </c>
      <c r="C33">
        <v>17</v>
      </c>
      <c r="D33">
        <v>1770</v>
      </c>
      <c r="E33">
        <v>905.94010000000003</v>
      </c>
      <c r="F33">
        <f>SUM(E32:E33)</f>
        <v>992.38830000000007</v>
      </c>
    </row>
    <row r="35" spans="1:7">
      <c r="A35">
        <v>1107</v>
      </c>
      <c r="B35">
        <v>1209</v>
      </c>
      <c r="C35">
        <v>15</v>
      </c>
      <c r="D35">
        <v>2303.4636999999998</v>
      </c>
      <c r="E35">
        <v>679.64</v>
      </c>
    </row>
    <row r="36" spans="1:7">
      <c r="A36">
        <v>1108</v>
      </c>
      <c r="B36">
        <v>1209</v>
      </c>
      <c r="C36">
        <v>16</v>
      </c>
      <c r="D36">
        <v>4504.1597000000002</v>
      </c>
      <c r="E36">
        <v>547.64509999999996</v>
      </c>
    </row>
    <row r="37" spans="1:7">
      <c r="A37">
        <v>1109</v>
      </c>
      <c r="B37">
        <v>1209</v>
      </c>
      <c r="C37">
        <v>17</v>
      </c>
      <c r="D37">
        <v>8192.3765999999996</v>
      </c>
      <c r="E37">
        <v>992.38829999999996</v>
      </c>
      <c r="F37">
        <f>SUM(E35:E37)</f>
        <v>2219.6734000000001</v>
      </c>
    </row>
    <row r="39" spans="1:7">
      <c r="A39">
        <v>1110</v>
      </c>
      <c r="B39">
        <v>1215</v>
      </c>
      <c r="C39">
        <v>15</v>
      </c>
      <c r="D39">
        <v>2303.4636999999998</v>
      </c>
      <c r="E39">
        <v>679.64</v>
      </c>
      <c r="F39">
        <f>E35-E39</f>
        <v>0</v>
      </c>
    </row>
    <row r="40" spans="1:7">
      <c r="A40">
        <v>1111</v>
      </c>
      <c r="B40">
        <v>1215</v>
      </c>
      <c r="C40">
        <v>16</v>
      </c>
      <c r="D40">
        <v>4504.1597000000002</v>
      </c>
      <c r="E40">
        <v>547.64509999999996</v>
      </c>
      <c r="F40">
        <f t="shared" ref="F40:F41" si="0">E36-E40</f>
        <v>0</v>
      </c>
    </row>
    <row r="41" spans="1:7">
      <c r="A41">
        <v>1112</v>
      </c>
      <c r="B41">
        <v>1215</v>
      </c>
      <c r="C41">
        <v>17</v>
      </c>
      <c r="D41">
        <v>8192.3765999999996</v>
      </c>
      <c r="E41">
        <v>992.38829999999996</v>
      </c>
      <c r="F41">
        <f t="shared" si="0"/>
        <v>0</v>
      </c>
    </row>
    <row r="43" spans="1:7">
      <c r="A43">
        <v>1113</v>
      </c>
      <c r="B43">
        <v>1217</v>
      </c>
      <c r="C43">
        <v>15</v>
      </c>
      <c r="D43">
        <v>2303.4636999999998</v>
      </c>
      <c r="E43">
        <v>679.64</v>
      </c>
      <c r="F43">
        <f>D39-D43</f>
        <v>0</v>
      </c>
      <c r="G43">
        <f>E39-E43</f>
        <v>0</v>
      </c>
    </row>
    <row r="44" spans="1:7">
      <c r="A44">
        <v>1114</v>
      </c>
      <c r="B44">
        <v>1217</v>
      </c>
      <c r="C44">
        <v>16</v>
      </c>
      <c r="D44">
        <v>4504.1597000000002</v>
      </c>
      <c r="E44">
        <v>547.64509999999996</v>
      </c>
      <c r="F44">
        <f>D40-D44</f>
        <v>0</v>
      </c>
      <c r="G44">
        <f>E40-E44</f>
        <v>0</v>
      </c>
    </row>
    <row r="45" spans="1:7">
      <c r="A45">
        <v>1115</v>
      </c>
      <c r="B45">
        <v>1217</v>
      </c>
      <c r="C45">
        <v>17</v>
      </c>
      <c r="D45">
        <v>8192.3765999999996</v>
      </c>
      <c r="E45">
        <v>992.38829999999996</v>
      </c>
      <c r="F45">
        <f>D41-D45</f>
        <v>0</v>
      </c>
      <c r="G45">
        <f>E41-E45</f>
        <v>0</v>
      </c>
    </row>
    <row r="47" spans="1:7">
      <c r="A47">
        <v>1116</v>
      </c>
      <c r="B47">
        <v>1225</v>
      </c>
      <c r="C47">
        <v>15</v>
      </c>
      <c r="D47">
        <v>2303.4636999999998</v>
      </c>
      <c r="E47">
        <v>679.64</v>
      </c>
      <c r="F47">
        <f>D43-D47</f>
        <v>0</v>
      </c>
      <c r="G47">
        <f>E43-E47</f>
        <v>0</v>
      </c>
    </row>
    <row r="48" spans="1:7">
      <c r="A48">
        <v>1117</v>
      </c>
      <c r="B48">
        <v>1225</v>
      </c>
      <c r="C48">
        <v>16</v>
      </c>
      <c r="D48">
        <v>4504.1597000000002</v>
      </c>
      <c r="E48">
        <v>547.64509999999996</v>
      </c>
      <c r="F48">
        <f>D44-D48</f>
        <v>0</v>
      </c>
      <c r="G48">
        <f>E44-E48</f>
        <v>0</v>
      </c>
    </row>
    <row r="49" spans="1:7">
      <c r="A49">
        <v>1118</v>
      </c>
      <c r="B49">
        <v>1225</v>
      </c>
      <c r="C49">
        <v>17</v>
      </c>
      <c r="D49">
        <v>8192.3765999999996</v>
      </c>
      <c r="E49">
        <v>992.38829999999996</v>
      </c>
      <c r="F49">
        <f>D45-D49</f>
        <v>0</v>
      </c>
      <c r="G49">
        <f>E45-E49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2021-04-15T16:52:20Z</dcterms:created>
  <dcterms:modified xsi:type="dcterms:W3CDTF">2021-04-22T07:59:16Z</dcterms:modified>
</cp:coreProperties>
</file>