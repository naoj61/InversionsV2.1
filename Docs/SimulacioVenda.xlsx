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319D7ECF-CE53-472E-9801-345361E69E1E}" xr6:coauthVersionLast="47" xr6:coauthVersionMax="47" xr10:uidLastSave="{00000000-0000-0000-0000-000000000000}"/>
  <bookViews>
    <workbookView xWindow="19090" yWindow="-110" windowWidth="19420" windowHeight="10420" xr2:uid="{F0182BAC-906E-4536-B8C7-199A601D9A89}"/>
  </bookViews>
  <sheets>
    <sheet name="Mov 15" sheetId="4" r:id="rId1"/>
    <sheet name="Deusche" sheetId="1" r:id="rId2"/>
    <sheet name="Tau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4" l="1"/>
  <c r="I34" i="4"/>
  <c r="H34" i="4"/>
  <c r="H33" i="4"/>
  <c r="G37" i="4"/>
  <c r="G36" i="4"/>
  <c r="G35" i="4"/>
  <c r="G34" i="4"/>
  <c r="G33" i="4"/>
  <c r="H7" i="4"/>
  <c r="G16" i="4"/>
  <c r="G14" i="4"/>
  <c r="I6" i="2"/>
  <c r="I4" i="2"/>
  <c r="I3" i="2"/>
  <c r="I2" i="2"/>
  <c r="G13" i="1"/>
  <c r="D13" i="1"/>
  <c r="C13" i="1"/>
  <c r="B13" i="1"/>
  <c r="G12" i="1"/>
  <c r="D12" i="1"/>
  <c r="C12" i="1"/>
  <c r="B12" i="1"/>
  <c r="G11" i="1"/>
  <c r="D11" i="1"/>
  <c r="C11" i="1"/>
  <c r="B11" i="1"/>
  <c r="G10" i="1"/>
  <c r="D10" i="1"/>
  <c r="C10" i="1"/>
  <c r="B10" i="1"/>
</calcChain>
</file>

<file path=xl/sharedStrings.xml><?xml version="1.0" encoding="utf-8"?>
<sst xmlns="http://schemas.openxmlformats.org/spreadsheetml/2006/main" count="65" uniqueCount="32">
  <si>
    <t>Data Compra Orig</t>
  </si>
  <si>
    <t>Data Compra</t>
  </si>
  <si>
    <t>Parts</t>
  </si>
  <si>
    <t>Parts Orig</t>
  </si>
  <si>
    <t>Id</t>
  </si>
  <si>
    <t>Id Orig</t>
  </si>
  <si>
    <t>NULL</t>
  </si>
  <si>
    <t>Usu</t>
  </si>
  <si>
    <t>Prod</t>
  </si>
  <si>
    <t>Tipus mov</t>
  </si>
  <si>
    <t>Ref</t>
  </si>
  <si>
    <t>Data</t>
  </si>
  <si>
    <t>PU</t>
  </si>
  <si>
    <t>IdCompra</t>
  </si>
  <si>
    <t>IdOrig</t>
  </si>
  <si>
    <t>PartsOrig</t>
  </si>
  <si>
    <t>asian</t>
  </si>
  <si>
    <t>Indo</t>
  </si>
  <si>
    <t>Compra</t>
  </si>
  <si>
    <t>Traspàs V</t>
  </si>
  <si>
    <t>Brut</t>
  </si>
  <si>
    <t>10-Bolsa Tecnología y Telecomunicaciones FI</t>
  </si>
  <si>
    <t>Traspàs C</t>
  </si>
  <si>
    <t>11-Total Return N Acc €-H1</t>
  </si>
  <si>
    <t>5-Deutschland</t>
  </si>
  <si>
    <t>1-Optimal Income A-H Grs Acc Hdg EUR</t>
  </si>
  <si>
    <t>16-DWS Aktien Strategie Deutschland</t>
  </si>
  <si>
    <t>C26</t>
  </si>
  <si>
    <t>Venda</t>
  </si>
  <si>
    <t>3-Asian Smaller Companies Fund</t>
  </si>
  <si>
    <t>V4</t>
  </si>
  <si>
    <t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</si>
</sst>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3" fontId="0" fillId="3" borderId="0" xfId="0" applyNumberFormat="1" applyFill="1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16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/>
    </xf>
    <xf numFmtId="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8976-EAE7-4A0A-A776-E4303DC2CBF0}">
  <dimension ref="A1:I37"/>
  <sheetViews>
    <sheetView tabSelected="1" zoomScale="130" zoomScaleNormal="130" workbookViewId="0">
      <pane ySplit="1" topLeftCell="A26" activePane="bottomLeft" state="frozen"/>
      <selection pane="bottomLeft" activeCell="I36" sqref="I36"/>
    </sheetView>
  </sheetViews>
  <sheetFormatPr defaultRowHeight="14.5" x14ac:dyDescent="0.35"/>
  <cols>
    <col min="1" max="1" width="6" customWidth="1"/>
    <col min="2" max="2" width="8.81640625" bestFit="1" customWidth="1"/>
    <col min="3" max="3" width="10.7265625" bestFit="1" customWidth="1"/>
    <col min="4" max="4" width="8.6328125" bestFit="1" customWidth="1"/>
    <col min="5" max="5" width="8.08984375" bestFit="1" customWidth="1"/>
    <col min="6" max="6" width="10.6328125" bestFit="1" customWidth="1"/>
  </cols>
  <sheetData>
    <row r="1" spans="1:9" x14ac:dyDescent="0.35">
      <c r="A1" s="11" t="s">
        <v>4</v>
      </c>
      <c r="B1" s="11"/>
      <c r="C1" s="11" t="s">
        <v>11</v>
      </c>
      <c r="D1" s="11" t="s">
        <v>2</v>
      </c>
      <c r="E1" s="11" t="s">
        <v>12</v>
      </c>
      <c r="F1" s="11" t="s">
        <v>20</v>
      </c>
    </row>
    <row r="2" spans="1:9" x14ac:dyDescent="0.35">
      <c r="A2" s="22" t="s">
        <v>21</v>
      </c>
      <c r="B2" s="11"/>
      <c r="C2" s="11"/>
      <c r="D2" s="11"/>
      <c r="E2" s="11"/>
      <c r="F2" s="11"/>
    </row>
    <row r="3" spans="1:9" x14ac:dyDescent="0.35">
      <c r="A3" s="19">
        <v>15</v>
      </c>
      <c r="B3" s="19" t="s">
        <v>18</v>
      </c>
      <c r="C3" s="20">
        <v>36841</v>
      </c>
      <c r="D3" s="19">
        <v>679.64</v>
      </c>
      <c r="E3" s="21">
        <v>22.992000000000001</v>
      </c>
      <c r="F3" s="21">
        <v>15626.31</v>
      </c>
    </row>
    <row r="4" spans="1:9" x14ac:dyDescent="0.35">
      <c r="A4" s="24">
        <v>23</v>
      </c>
      <c r="B4" s="19" t="s">
        <v>19</v>
      </c>
      <c r="C4" s="20">
        <v>41383</v>
      </c>
      <c r="D4" s="19">
        <v>679.64</v>
      </c>
      <c r="E4" s="21">
        <v>8.1097999999999999</v>
      </c>
      <c r="F4" s="21">
        <v>5511.77</v>
      </c>
    </row>
    <row r="6" spans="1:9" x14ac:dyDescent="0.35">
      <c r="A6" s="1" t="s">
        <v>23</v>
      </c>
    </row>
    <row r="7" spans="1:9" x14ac:dyDescent="0.35">
      <c r="A7" s="19">
        <v>16</v>
      </c>
      <c r="B7" s="19" t="s">
        <v>18</v>
      </c>
      <c r="C7" s="20">
        <v>41166</v>
      </c>
      <c r="D7" s="19">
        <v>547.64509999999996</v>
      </c>
      <c r="E7" s="21">
        <v>18.260000000000002</v>
      </c>
      <c r="F7" s="21">
        <v>10000</v>
      </c>
      <c r="H7">
        <f>SUM(D7:D9)</f>
        <v>1838.3261</v>
      </c>
    </row>
    <row r="8" spans="1:9" x14ac:dyDescent="0.35">
      <c r="A8" s="19">
        <v>17</v>
      </c>
      <c r="B8" s="19" t="s">
        <v>18</v>
      </c>
      <c r="C8" s="20">
        <v>41377</v>
      </c>
      <c r="D8" s="23">
        <v>1010.611</v>
      </c>
      <c r="E8" s="21">
        <v>19.79</v>
      </c>
      <c r="F8" s="21">
        <v>19999.990000000002</v>
      </c>
    </row>
    <row r="9" spans="1:9" x14ac:dyDescent="0.35">
      <c r="A9" s="24">
        <v>24</v>
      </c>
      <c r="B9" s="19" t="s">
        <v>22</v>
      </c>
      <c r="C9" s="20">
        <v>41383</v>
      </c>
      <c r="D9" s="19">
        <v>280.07</v>
      </c>
      <c r="E9" s="21">
        <v>19.68</v>
      </c>
      <c r="F9" s="21">
        <v>5511.77</v>
      </c>
    </row>
    <row r="10" spans="1:9" x14ac:dyDescent="0.35">
      <c r="A10" s="19">
        <v>25</v>
      </c>
      <c r="B10" s="19" t="s">
        <v>19</v>
      </c>
      <c r="C10" s="20">
        <v>41439</v>
      </c>
      <c r="D10" s="23">
        <v>1838.3261</v>
      </c>
      <c r="E10" s="21">
        <v>18.95</v>
      </c>
      <c r="F10" s="21">
        <v>34836.28</v>
      </c>
    </row>
    <row r="12" spans="1:9" x14ac:dyDescent="0.35">
      <c r="A12" s="1" t="s">
        <v>24</v>
      </c>
    </row>
    <row r="13" spans="1:9" x14ac:dyDescent="0.35">
      <c r="A13" s="24">
        <v>26</v>
      </c>
      <c r="B13" s="19" t="s">
        <v>22</v>
      </c>
      <c r="C13" s="20">
        <v>41439</v>
      </c>
      <c r="D13" s="19">
        <v>249.34710000000001</v>
      </c>
      <c r="E13" s="21">
        <v>139.71</v>
      </c>
      <c r="F13" s="21">
        <v>34836.28</v>
      </c>
      <c r="G13" s="21"/>
      <c r="I13" t="s">
        <v>27</v>
      </c>
    </row>
    <row r="14" spans="1:9" x14ac:dyDescent="0.35">
      <c r="A14" s="19">
        <v>28</v>
      </c>
      <c r="B14" s="25" t="s">
        <v>19</v>
      </c>
      <c r="C14" s="20">
        <v>41794</v>
      </c>
      <c r="D14" s="19">
        <v>249</v>
      </c>
      <c r="E14" s="21">
        <v>172.04</v>
      </c>
      <c r="F14" s="21">
        <v>42837.96</v>
      </c>
      <c r="G14" s="21">
        <f>D14</f>
        <v>249</v>
      </c>
      <c r="I14" s="21">
        <v>249</v>
      </c>
    </row>
    <row r="15" spans="1:9" x14ac:dyDescent="0.35">
      <c r="A15" s="19">
        <v>31</v>
      </c>
      <c r="B15" s="19" t="s">
        <v>22</v>
      </c>
      <c r="C15" s="20">
        <v>41976</v>
      </c>
      <c r="D15" s="19">
        <v>264.18049999999999</v>
      </c>
      <c r="E15" s="21">
        <v>168.57</v>
      </c>
      <c r="F15" s="21">
        <v>44532.91</v>
      </c>
      <c r="G15" s="21"/>
    </row>
    <row r="16" spans="1:9" x14ac:dyDescent="0.35">
      <c r="A16" s="19">
        <v>91</v>
      </c>
      <c r="B16" s="19" t="s">
        <v>19</v>
      </c>
      <c r="C16" s="20">
        <v>42201</v>
      </c>
      <c r="D16" s="19">
        <v>259.52999999999997</v>
      </c>
      <c r="E16" s="21">
        <v>207.11</v>
      </c>
      <c r="F16" s="21">
        <v>53751.26</v>
      </c>
      <c r="G16" s="21">
        <f>D13-D14</f>
        <v>0.34710000000001173</v>
      </c>
    </row>
    <row r="18" spans="1:9" x14ac:dyDescent="0.35">
      <c r="A18" s="1" t="s">
        <v>25</v>
      </c>
    </row>
    <row r="19" spans="1:9" x14ac:dyDescent="0.35">
      <c r="A19" s="19">
        <v>27</v>
      </c>
      <c r="B19" s="19" t="s">
        <v>18</v>
      </c>
      <c r="C19" s="20">
        <v>41521</v>
      </c>
      <c r="D19" s="19">
        <v>58.502000000000002</v>
      </c>
      <c r="E19" s="21">
        <v>17.093299999999999</v>
      </c>
      <c r="F19" s="21">
        <v>999.99</v>
      </c>
    </row>
    <row r="20" spans="1:9" x14ac:dyDescent="0.35">
      <c r="A20" s="24">
        <v>29</v>
      </c>
      <c r="B20" s="25" t="s">
        <v>22</v>
      </c>
      <c r="C20" s="20">
        <v>41794</v>
      </c>
      <c r="D20" s="23">
        <v>2347.326</v>
      </c>
      <c r="E20" s="21">
        <v>18.249700000000001</v>
      </c>
      <c r="F20" s="21">
        <v>42837.96</v>
      </c>
    </row>
    <row r="21" spans="1:9" x14ac:dyDescent="0.35">
      <c r="A21" s="19">
        <v>30</v>
      </c>
      <c r="B21" s="19" t="s">
        <v>19</v>
      </c>
      <c r="C21" s="20">
        <v>41971</v>
      </c>
      <c r="D21" s="23">
        <v>2404</v>
      </c>
      <c r="E21" s="21">
        <v>18.5245</v>
      </c>
      <c r="F21" s="21">
        <v>44532.91</v>
      </c>
    </row>
    <row r="22" spans="1:9" x14ac:dyDescent="0.35">
      <c r="A22" s="24">
        <v>92</v>
      </c>
      <c r="B22" s="19" t="s">
        <v>22</v>
      </c>
      <c r="C22" s="20">
        <v>42202</v>
      </c>
      <c r="D22" s="23">
        <v>2922.36</v>
      </c>
      <c r="E22" s="21">
        <v>18.3931</v>
      </c>
      <c r="F22" s="21">
        <v>53751.26</v>
      </c>
    </row>
    <row r="23" spans="1:9" x14ac:dyDescent="0.35">
      <c r="A23" s="19">
        <v>100</v>
      </c>
      <c r="B23" s="19" t="s">
        <v>19</v>
      </c>
      <c r="C23" s="20">
        <v>42279</v>
      </c>
      <c r="D23" s="23">
        <v>2879.2429999999999</v>
      </c>
      <c r="E23" s="21">
        <v>18.063199999999998</v>
      </c>
      <c r="F23" s="21">
        <v>52008.35</v>
      </c>
    </row>
    <row r="24" spans="1:9" x14ac:dyDescent="0.35">
      <c r="A24" s="19">
        <v>170</v>
      </c>
      <c r="B24" s="19" t="s">
        <v>19</v>
      </c>
      <c r="C24" s="20">
        <v>43516</v>
      </c>
      <c r="D24" s="19">
        <v>44.945</v>
      </c>
      <c r="E24" s="21">
        <v>19.726199999999999</v>
      </c>
      <c r="F24" s="21">
        <v>886.59</v>
      </c>
    </row>
    <row r="26" spans="1:9" x14ac:dyDescent="0.35">
      <c r="A26" s="1" t="s">
        <v>26</v>
      </c>
    </row>
    <row r="27" spans="1:9" x14ac:dyDescent="0.35">
      <c r="A27" s="19">
        <v>101</v>
      </c>
      <c r="B27" s="19" t="s">
        <v>22</v>
      </c>
      <c r="C27" s="20">
        <v>42279</v>
      </c>
      <c r="D27" s="19">
        <v>160.75280000000001</v>
      </c>
      <c r="E27" s="21">
        <v>323.52999999999997</v>
      </c>
      <c r="F27" s="21">
        <v>52008.35</v>
      </c>
    </row>
    <row r="28" spans="1:9" x14ac:dyDescent="0.35">
      <c r="A28" s="19">
        <v>172</v>
      </c>
      <c r="B28" s="19" t="s">
        <v>19</v>
      </c>
      <c r="C28" s="20">
        <v>43525</v>
      </c>
      <c r="D28" s="19">
        <v>80.752799999999993</v>
      </c>
      <c r="E28" s="21">
        <v>375.55</v>
      </c>
      <c r="F28" s="21">
        <v>30326.71</v>
      </c>
    </row>
    <row r="29" spans="1:9" x14ac:dyDescent="0.35">
      <c r="A29" s="19">
        <v>196</v>
      </c>
      <c r="B29" s="19" t="s">
        <v>19</v>
      </c>
      <c r="C29" s="20">
        <v>44469</v>
      </c>
      <c r="D29" s="19">
        <v>20</v>
      </c>
      <c r="E29" s="21">
        <v>533.87</v>
      </c>
      <c r="F29" s="21">
        <v>10677.4</v>
      </c>
    </row>
    <row r="30" spans="1:9" x14ac:dyDescent="0.35">
      <c r="A30" s="19">
        <v>204</v>
      </c>
      <c r="B30" s="19" t="s">
        <v>19</v>
      </c>
      <c r="C30" s="20">
        <v>44522</v>
      </c>
      <c r="D30" s="19">
        <v>35</v>
      </c>
      <c r="E30" s="21">
        <v>574.70000000000005</v>
      </c>
      <c r="F30" s="21">
        <v>20114.5</v>
      </c>
    </row>
    <row r="32" spans="1:9" x14ac:dyDescent="0.35">
      <c r="A32" s="1" t="s">
        <v>29</v>
      </c>
      <c r="H32" s="1" t="s">
        <v>30</v>
      </c>
      <c r="I32" s="1" t="s">
        <v>31</v>
      </c>
    </row>
    <row r="33" spans="1:9" x14ac:dyDescent="0.35">
      <c r="A33" s="19">
        <v>1</v>
      </c>
      <c r="B33" s="19" t="s">
        <v>18</v>
      </c>
      <c r="C33" s="20">
        <v>41172</v>
      </c>
      <c r="D33" s="19">
        <v>325.52199999999999</v>
      </c>
      <c r="E33" s="21">
        <v>30.719899999999999</v>
      </c>
      <c r="F33" s="21">
        <v>9999.99</v>
      </c>
      <c r="G33">
        <f>D33</f>
        <v>325.52199999999999</v>
      </c>
      <c r="H33">
        <f>D33</f>
        <v>325.52199999999999</v>
      </c>
    </row>
    <row r="34" spans="1:9" x14ac:dyDescent="0.35">
      <c r="A34" s="19">
        <v>2</v>
      </c>
      <c r="B34" s="19" t="s">
        <v>18</v>
      </c>
      <c r="C34" s="20">
        <v>41187</v>
      </c>
      <c r="D34" s="23">
        <v>1267.6880000000001</v>
      </c>
      <c r="E34" s="21">
        <v>31.5535</v>
      </c>
      <c r="F34" s="21">
        <v>39999.980000000003</v>
      </c>
      <c r="G34" s="26">
        <f>G33+D34</f>
        <v>1593.21</v>
      </c>
      <c r="H34" s="26">
        <f>D36-H33</f>
        <v>1090.0600000000002</v>
      </c>
      <c r="I34" s="26">
        <f>D34-H34</f>
        <v>177.62799999999993</v>
      </c>
    </row>
    <row r="35" spans="1:9" x14ac:dyDescent="0.35">
      <c r="A35" s="19">
        <v>3</v>
      </c>
      <c r="B35" s="19" t="s">
        <v>18</v>
      </c>
      <c r="C35" s="20">
        <v>41410</v>
      </c>
      <c r="D35" s="19">
        <v>522.37400000000002</v>
      </c>
      <c r="E35" s="21">
        <v>38.286799999999999</v>
      </c>
      <c r="F35" s="21">
        <v>20000.02</v>
      </c>
      <c r="G35" s="26">
        <f>G34+D35</f>
        <v>2115.5839999999998</v>
      </c>
      <c r="I35" s="26">
        <f>D37-I34</f>
        <v>0.37200000000007094</v>
      </c>
    </row>
    <row r="36" spans="1:9" x14ac:dyDescent="0.35">
      <c r="A36" s="19">
        <v>4</v>
      </c>
      <c r="B36" s="19" t="s">
        <v>28</v>
      </c>
      <c r="C36" s="20">
        <v>41438</v>
      </c>
      <c r="D36" s="23">
        <v>1415.5820000000001</v>
      </c>
      <c r="E36" s="21">
        <v>33.983400000000003</v>
      </c>
      <c r="F36" s="21">
        <v>48106.28</v>
      </c>
      <c r="G36" s="26">
        <f>G35-D36</f>
        <v>700.00199999999973</v>
      </c>
    </row>
    <row r="37" spans="1:9" x14ac:dyDescent="0.35">
      <c r="A37" s="19">
        <v>5</v>
      </c>
      <c r="B37" s="19" t="s">
        <v>28</v>
      </c>
      <c r="C37" s="20">
        <v>41492</v>
      </c>
      <c r="D37" s="19">
        <v>178</v>
      </c>
      <c r="E37" s="21">
        <v>33.8964</v>
      </c>
      <c r="F37" s="21">
        <v>6033.56</v>
      </c>
      <c r="G37" s="26">
        <f>G36-D37</f>
        <v>522.00199999999973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0068-02BA-4318-81EB-89A66DB152B1}">
  <dimension ref="A1:G17"/>
  <sheetViews>
    <sheetView zoomScale="115" zoomScaleNormal="115" workbookViewId="0">
      <pane ySplit="1" topLeftCell="A2" activePane="bottomLeft" state="frozen"/>
      <selection pane="bottomLeft" activeCell="D16" sqref="D16"/>
    </sheetView>
  </sheetViews>
  <sheetFormatPr defaultRowHeight="14.5" x14ac:dyDescent="0.35"/>
  <cols>
    <col min="1" max="1" width="2.90625" bestFit="1" customWidth="1"/>
    <col min="2" max="2" width="6.36328125" bestFit="1" customWidth="1"/>
    <col min="3" max="3" width="11.36328125" bestFit="1" customWidth="1"/>
    <col min="4" max="4" width="9.08984375" bestFit="1" customWidth="1"/>
    <col min="5" max="5" width="3.90625" bestFit="1" customWidth="1"/>
    <col min="6" max="6" width="11.90625" bestFit="1" customWidth="1"/>
    <col min="7" max="7" width="7.54296875" bestFit="1" customWidth="1"/>
  </cols>
  <sheetData>
    <row r="1" spans="1:7" ht="29" x14ac:dyDescent="0.35">
      <c r="A1" s="1" t="s">
        <v>4</v>
      </c>
      <c r="B1" s="1" t="s">
        <v>5</v>
      </c>
      <c r="C1" s="4" t="s">
        <v>0</v>
      </c>
      <c r="D1" s="1" t="s">
        <v>3</v>
      </c>
      <c r="E1" s="1" t="s">
        <v>4</v>
      </c>
      <c r="F1" s="1" t="s">
        <v>1</v>
      </c>
      <c r="G1" s="1" t="s">
        <v>2</v>
      </c>
    </row>
    <row r="2" spans="1:7" x14ac:dyDescent="0.35">
      <c r="A2">
        <v>22</v>
      </c>
      <c r="B2">
        <v>15</v>
      </c>
      <c r="C2" s="2">
        <v>36841</v>
      </c>
      <c r="D2" s="3">
        <v>679.64</v>
      </c>
      <c r="E2" s="5">
        <v>26</v>
      </c>
      <c r="F2" s="6">
        <v>41439</v>
      </c>
      <c r="G2" s="7">
        <v>249.34700000000001</v>
      </c>
    </row>
    <row r="3" spans="1:7" x14ac:dyDescent="0.35">
      <c r="A3">
        <v>40</v>
      </c>
      <c r="B3">
        <v>15</v>
      </c>
      <c r="C3" s="2">
        <v>36841</v>
      </c>
      <c r="D3" s="3">
        <v>679.64</v>
      </c>
      <c r="E3" s="8">
        <v>31</v>
      </c>
      <c r="F3" s="9">
        <v>41976</v>
      </c>
      <c r="G3" s="10">
        <v>264.18099999999998</v>
      </c>
    </row>
    <row r="4" spans="1:7" x14ac:dyDescent="0.35">
      <c r="A4">
        <v>23</v>
      </c>
      <c r="B4">
        <v>16</v>
      </c>
      <c r="C4" s="2">
        <v>41166</v>
      </c>
      <c r="D4" s="3">
        <v>547.64499999999998</v>
      </c>
      <c r="E4" s="5">
        <v>26</v>
      </c>
      <c r="F4" s="6">
        <v>41439</v>
      </c>
      <c r="G4" s="7">
        <v>249.34700000000001</v>
      </c>
    </row>
    <row r="5" spans="1:7" x14ac:dyDescent="0.35">
      <c r="A5">
        <v>41</v>
      </c>
      <c r="B5">
        <v>16</v>
      </c>
      <c r="C5" s="2">
        <v>41166</v>
      </c>
      <c r="D5" s="3">
        <v>547.64499999999998</v>
      </c>
      <c r="E5" s="8">
        <v>31</v>
      </c>
      <c r="F5" s="9">
        <v>41976</v>
      </c>
      <c r="G5" s="10">
        <v>264.18099999999998</v>
      </c>
    </row>
    <row r="6" spans="1:7" x14ac:dyDescent="0.35">
      <c r="A6">
        <v>24</v>
      </c>
      <c r="B6">
        <v>17</v>
      </c>
      <c r="C6" s="2">
        <v>41377</v>
      </c>
      <c r="D6" s="3">
        <v>1010.611</v>
      </c>
      <c r="E6" s="5">
        <v>26</v>
      </c>
      <c r="F6" s="6">
        <v>41439</v>
      </c>
      <c r="G6" s="7">
        <v>249.34700000000001</v>
      </c>
    </row>
    <row r="7" spans="1:7" x14ac:dyDescent="0.35">
      <c r="A7">
        <v>42</v>
      </c>
      <c r="B7">
        <v>17</v>
      </c>
      <c r="C7" s="2">
        <v>41377</v>
      </c>
      <c r="D7" s="3">
        <v>1008.051</v>
      </c>
      <c r="E7" s="8">
        <v>31</v>
      </c>
      <c r="F7" s="9">
        <v>41976</v>
      </c>
      <c r="G7" s="10">
        <v>264.18099999999998</v>
      </c>
    </row>
    <row r="8" spans="1:7" x14ac:dyDescent="0.35">
      <c r="A8">
        <v>43</v>
      </c>
      <c r="B8">
        <v>27</v>
      </c>
      <c r="C8" s="2">
        <v>41521</v>
      </c>
      <c r="D8" s="3">
        <v>56.673999999999999</v>
      </c>
      <c r="E8" s="8">
        <v>31</v>
      </c>
      <c r="F8" s="9">
        <v>41976</v>
      </c>
      <c r="G8" s="10">
        <v>264.18099999999998</v>
      </c>
    </row>
    <row r="10" spans="1:7" x14ac:dyDescent="0.35">
      <c r="B10">
        <f>B2</f>
        <v>15</v>
      </c>
      <c r="C10" s="2">
        <f>C2</f>
        <v>36841</v>
      </c>
      <c r="D10" s="3">
        <f>SUM(D2:D3)</f>
        <v>1359.28</v>
      </c>
      <c r="G10" s="3">
        <f>SUM(G2:G3)</f>
        <v>513.52800000000002</v>
      </c>
    </row>
    <row r="11" spans="1:7" x14ac:dyDescent="0.35">
      <c r="B11">
        <f>B4</f>
        <v>16</v>
      </c>
      <c r="C11" s="2">
        <f>C4</f>
        <v>41166</v>
      </c>
      <c r="D11" s="3">
        <f>SUM(D4:D5)</f>
        <v>1095.29</v>
      </c>
      <c r="G11" s="3">
        <f>SUM(G4:G5)</f>
        <v>513.52800000000002</v>
      </c>
    </row>
    <row r="12" spans="1:7" x14ac:dyDescent="0.35">
      <c r="B12">
        <f>B6</f>
        <v>17</v>
      </c>
      <c r="C12" s="2">
        <f>C6</f>
        <v>41377</v>
      </c>
      <c r="D12" s="3">
        <f>SUM(D6:D7)</f>
        <v>2018.662</v>
      </c>
      <c r="G12" s="3">
        <f>SUM(G6:G7)</f>
        <v>513.52800000000002</v>
      </c>
    </row>
    <row r="13" spans="1:7" x14ac:dyDescent="0.35">
      <c r="B13">
        <f>B8</f>
        <v>27</v>
      </c>
      <c r="C13" s="2">
        <f>C8</f>
        <v>41521</v>
      </c>
      <c r="D13" s="3">
        <f>D8</f>
        <v>56.673999999999999</v>
      </c>
      <c r="G13" s="3">
        <f>G8</f>
        <v>264.18099999999998</v>
      </c>
    </row>
    <row r="14" spans="1:7" x14ac:dyDescent="0.35">
      <c r="C14" s="2"/>
    </row>
    <row r="15" spans="1:7" x14ac:dyDescent="0.35">
      <c r="A15">
        <v>88</v>
      </c>
      <c r="B15">
        <v>15</v>
      </c>
      <c r="C15" s="2">
        <v>36841</v>
      </c>
      <c r="D15">
        <v>679.64</v>
      </c>
      <c r="E15">
        <v>173</v>
      </c>
      <c r="F15" s="2">
        <v>43525</v>
      </c>
      <c r="G15">
        <v>1778.69</v>
      </c>
    </row>
    <row r="16" spans="1:7" x14ac:dyDescent="0.35">
      <c r="A16">
        <v>89</v>
      </c>
      <c r="B16">
        <v>16</v>
      </c>
      <c r="C16" s="2">
        <v>41166</v>
      </c>
      <c r="D16">
        <v>547.64499999999998</v>
      </c>
      <c r="E16">
        <v>173</v>
      </c>
      <c r="F16" s="2">
        <v>43525</v>
      </c>
      <c r="G16">
        <v>1778.69</v>
      </c>
    </row>
    <row r="17" spans="1:7" x14ac:dyDescent="0.35">
      <c r="A17">
        <v>90</v>
      </c>
      <c r="B17">
        <v>17</v>
      </c>
      <c r="C17" s="2">
        <v>41377</v>
      </c>
      <c r="D17">
        <v>86.447999999999993</v>
      </c>
      <c r="E17">
        <v>173</v>
      </c>
      <c r="F17" s="2">
        <v>43525</v>
      </c>
      <c r="G17">
        <v>1778.69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D33C-E4FE-42DC-98BD-EE611A662A9A}">
  <dimension ref="A1:O13"/>
  <sheetViews>
    <sheetView zoomScale="130" zoomScaleNormal="130" workbookViewId="0">
      <selection activeCell="O2" sqref="O2"/>
    </sheetView>
  </sheetViews>
  <sheetFormatPr defaultRowHeight="14.5" x14ac:dyDescent="0.35"/>
  <cols>
    <col min="1" max="1" width="2.81640625" bestFit="1" customWidth="1"/>
    <col min="2" max="2" width="4" hidden="1" customWidth="1"/>
    <col min="3" max="3" width="4.81640625" bestFit="1" customWidth="1"/>
    <col min="4" max="4" width="9.36328125" hidden="1" customWidth="1"/>
    <col min="5" max="5" width="5" bestFit="1" customWidth="1"/>
    <col min="6" max="6" width="10.7265625" bestFit="1" customWidth="1"/>
    <col min="7" max="7" width="10.81640625" bestFit="1" customWidth="1"/>
    <col min="8" max="8" width="11.81640625" bestFit="1" customWidth="1"/>
    <col min="9" max="9" width="11.81640625" customWidth="1"/>
    <col min="10" max="10" width="1.36328125" customWidth="1"/>
    <col min="11" max="11" width="2.90625" bestFit="1" customWidth="1"/>
    <col min="12" max="12" width="9.08984375" bestFit="1" customWidth="1"/>
    <col min="13" max="13" width="6" bestFit="1" customWidth="1"/>
    <col min="14" max="14" width="9.1796875" bestFit="1" customWidth="1"/>
    <col min="15" max="15" width="10.26953125" bestFit="1" customWidth="1"/>
  </cols>
  <sheetData>
    <row r="1" spans="1:15" x14ac:dyDescent="0.35">
      <c r="A1" s="11" t="s">
        <v>4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2</v>
      </c>
      <c r="H1" s="11" t="s">
        <v>12</v>
      </c>
      <c r="I1" s="11"/>
      <c r="K1" s="1" t="s">
        <v>4</v>
      </c>
      <c r="L1" s="1" t="s">
        <v>13</v>
      </c>
      <c r="M1" s="1" t="s">
        <v>14</v>
      </c>
      <c r="N1" s="1" t="s">
        <v>2</v>
      </c>
      <c r="O1" s="1" t="s">
        <v>15</v>
      </c>
    </row>
    <row r="2" spans="1:15" x14ac:dyDescent="0.35">
      <c r="A2">
        <v>15</v>
      </c>
      <c r="B2">
        <v>1</v>
      </c>
      <c r="C2">
        <v>10</v>
      </c>
      <c r="D2">
        <v>0</v>
      </c>
      <c r="E2" t="s">
        <v>6</v>
      </c>
      <c r="F2" s="2">
        <v>36841</v>
      </c>
      <c r="G2" s="12">
        <v>679.64</v>
      </c>
      <c r="H2" s="15">
        <v>22.9920399034783</v>
      </c>
      <c r="I2" s="12">
        <f>+O2+O5</f>
        <v>1359.28</v>
      </c>
      <c r="K2">
        <v>22</v>
      </c>
      <c r="L2">
        <v>26</v>
      </c>
      <c r="M2">
        <v>15</v>
      </c>
      <c r="N2" s="12">
        <v>37.988199999999999</v>
      </c>
      <c r="O2" s="12">
        <v>679.64</v>
      </c>
    </row>
    <row r="3" spans="1:15" x14ac:dyDescent="0.35">
      <c r="A3">
        <v>16</v>
      </c>
      <c r="B3">
        <v>1</v>
      </c>
      <c r="C3">
        <v>11</v>
      </c>
      <c r="D3">
        <v>0</v>
      </c>
      <c r="E3" t="s">
        <v>6</v>
      </c>
      <c r="F3" s="2">
        <v>41166</v>
      </c>
      <c r="G3" s="12">
        <v>547.645126</v>
      </c>
      <c r="H3" s="15">
        <v>18.259999998612201</v>
      </c>
      <c r="I3" s="12">
        <f>+O3+O6</f>
        <v>1095.2901999999999</v>
      </c>
      <c r="K3">
        <v>23</v>
      </c>
      <c r="L3">
        <v>26</v>
      </c>
      <c r="M3">
        <v>16</v>
      </c>
      <c r="N3" s="12">
        <v>74.281599999999997</v>
      </c>
      <c r="O3" s="12">
        <v>547.64509999999996</v>
      </c>
    </row>
    <row r="4" spans="1:15" x14ac:dyDescent="0.35">
      <c r="A4">
        <v>17</v>
      </c>
      <c r="B4">
        <v>1</v>
      </c>
      <c r="C4">
        <v>11</v>
      </c>
      <c r="D4">
        <v>0</v>
      </c>
      <c r="E4" t="s">
        <v>6</v>
      </c>
      <c r="F4" s="2">
        <v>41377</v>
      </c>
      <c r="G4" s="12">
        <v>1010.611</v>
      </c>
      <c r="H4" s="15">
        <v>19.7899983277443</v>
      </c>
      <c r="I4" s="12">
        <f>+O4+O7</f>
        <v>2018.6622</v>
      </c>
      <c r="K4">
        <v>24</v>
      </c>
      <c r="L4">
        <v>26</v>
      </c>
      <c r="M4">
        <v>17</v>
      </c>
      <c r="N4" s="12">
        <v>137.07730000000001</v>
      </c>
      <c r="O4" s="12">
        <v>1010.611</v>
      </c>
    </row>
    <row r="5" spans="1:15" x14ac:dyDescent="0.35">
      <c r="A5" s="5">
        <v>26</v>
      </c>
      <c r="B5" s="5">
        <v>1</v>
      </c>
      <c r="C5" s="5">
        <v>5</v>
      </c>
      <c r="D5" s="5">
        <v>0</v>
      </c>
      <c r="E5" s="5">
        <v>25</v>
      </c>
      <c r="F5" s="6">
        <v>41439.000011574077</v>
      </c>
      <c r="G5" s="13">
        <v>249.34710000000001</v>
      </c>
      <c r="H5" s="16">
        <v>139.70998660100699</v>
      </c>
      <c r="I5" s="13"/>
      <c r="K5">
        <v>40</v>
      </c>
      <c r="L5">
        <v>31</v>
      </c>
      <c r="M5">
        <v>15</v>
      </c>
      <c r="N5" s="12">
        <v>39.353999999999999</v>
      </c>
      <c r="O5" s="12">
        <v>679.64</v>
      </c>
    </row>
    <row r="6" spans="1:15" x14ac:dyDescent="0.35">
      <c r="A6">
        <v>27</v>
      </c>
      <c r="B6">
        <v>1</v>
      </c>
      <c r="C6">
        <v>1</v>
      </c>
      <c r="D6">
        <v>0</v>
      </c>
      <c r="E6" t="s">
        <v>6</v>
      </c>
      <c r="F6" s="2">
        <v>41521</v>
      </c>
      <c r="G6" s="12">
        <v>58.502000000000002</v>
      </c>
      <c r="H6" s="15">
        <v>17.093261768828398</v>
      </c>
      <c r="I6" s="12">
        <f>+O8</f>
        <v>56.674100000000003</v>
      </c>
      <c r="K6">
        <v>41</v>
      </c>
      <c r="L6">
        <v>31</v>
      </c>
      <c r="M6">
        <v>16</v>
      </c>
      <c r="N6" s="12">
        <v>76.952299999999994</v>
      </c>
      <c r="O6" s="12">
        <v>547.64509999999996</v>
      </c>
    </row>
    <row r="7" spans="1:15" x14ac:dyDescent="0.35">
      <c r="A7" s="8">
        <v>31</v>
      </c>
      <c r="B7" s="8">
        <v>1</v>
      </c>
      <c r="C7" s="8">
        <v>5</v>
      </c>
      <c r="D7" s="8">
        <v>0</v>
      </c>
      <c r="E7" s="8">
        <v>30</v>
      </c>
      <c r="F7" s="9">
        <v>41976</v>
      </c>
      <c r="G7" s="14">
        <v>264.18049999999999</v>
      </c>
      <c r="H7" s="17">
        <v>168.57001179118001</v>
      </c>
      <c r="I7" s="8"/>
      <c r="K7">
        <v>42</v>
      </c>
      <c r="L7">
        <v>31</v>
      </c>
      <c r="M7">
        <v>17</v>
      </c>
      <c r="N7" s="12">
        <v>141.64619999999999</v>
      </c>
      <c r="O7" s="12">
        <v>1008.0512</v>
      </c>
    </row>
    <row r="8" spans="1:15" x14ac:dyDescent="0.35">
      <c r="K8">
        <v>43</v>
      </c>
      <c r="L8">
        <v>31</v>
      </c>
      <c r="M8">
        <v>27</v>
      </c>
      <c r="N8" s="12">
        <v>6.2279999999999998</v>
      </c>
      <c r="O8" s="12">
        <v>56.674100000000003</v>
      </c>
    </row>
    <row r="10" spans="1:15" x14ac:dyDescent="0.35">
      <c r="C10" t="s">
        <v>16</v>
      </c>
      <c r="F10" s="2">
        <v>44562</v>
      </c>
      <c r="G10">
        <v>10</v>
      </c>
      <c r="H10">
        <v>100</v>
      </c>
    </row>
    <row r="11" spans="1:15" x14ac:dyDescent="0.35">
      <c r="C11" t="s">
        <v>17</v>
      </c>
      <c r="F11" s="18">
        <v>44563</v>
      </c>
      <c r="G11">
        <v>5</v>
      </c>
      <c r="H11">
        <v>200</v>
      </c>
      <c r="I11">
        <v>100</v>
      </c>
    </row>
    <row r="13" spans="1:15" x14ac:dyDescent="0.35">
      <c r="N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 15</vt:lpstr>
      <vt:lpstr>Deusche</vt:lpstr>
      <vt:lpstr>Taules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2022-01-06T18:08:42Z</dcterms:created>
  <dcterms:modified xsi:type="dcterms:W3CDTF">2022-01-09T19:46:06Z</dcterms:modified>
</cp:coreProperties>
</file>