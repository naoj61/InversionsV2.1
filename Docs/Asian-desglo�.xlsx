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80" windowWidth="19140" windowHeight="7340"/>
  </bookViews>
  <sheets>
    <sheet name="Sheet1" sheetId="1" r:id="rId1"/>
    <sheet name="Sheet2" sheetId="2" r:id="rId2"/>
  </sheets>
  <calcPr calcId="125725"/>
</workbook>
</file>

<file path=xl/calcChain.xml><?xml version="1.0" encoding="utf-8"?>
<calcChain xmlns="http://schemas.openxmlformats.org/spreadsheetml/2006/main">
  <c r="I13" i="1"/>
  <c r="I12"/>
  <c r="I10"/>
  <c r="I9"/>
  <c r="I8"/>
  <c r="I7"/>
  <c r="I6"/>
  <c r="F5"/>
  <c r="F6" s="1"/>
  <c r="F8" s="1"/>
  <c r="F10" s="1"/>
  <c r="F4"/>
  <c r="F3"/>
  <c r="D18" i="2"/>
  <c r="F11" i="1" l="1"/>
  <c r="F12" s="1"/>
  <c r="F13" s="1"/>
</calcChain>
</file>

<file path=xl/sharedStrings.xml><?xml version="1.0" encoding="utf-8"?>
<sst xmlns="http://schemas.openxmlformats.org/spreadsheetml/2006/main" count="31" uniqueCount="21">
  <si>
    <t>1-Optimal Income A-H Grs Acc Hdg EUR</t>
  </si>
  <si>
    <t>Compra</t>
  </si>
  <si>
    <t>Traspàs C</t>
  </si>
  <si>
    <t>Traspàs V</t>
  </si>
  <si>
    <t>Id</t>
  </si>
  <si>
    <t>Mov</t>
  </si>
  <si>
    <t>Data</t>
  </si>
  <si>
    <t>Parts</t>
  </si>
  <si>
    <t>Id Compra</t>
  </si>
  <si>
    <t>Parts C</t>
  </si>
  <si>
    <t>Saldo Parts</t>
  </si>
  <si>
    <t>Prod</t>
  </si>
  <si>
    <t>Import</t>
  </si>
  <si>
    <t>*** Fi Ok ***</t>
  </si>
  <si>
    <t>2-European Growth N Acc ?</t>
  </si>
  <si>
    <t>3-Asian Smaller Companies Fund</t>
  </si>
  <si>
    <t>6-Biotechnology C USD Acc</t>
  </si>
  <si>
    <t>10-Bolsa Tecnología y Telecomunicaciones FI</t>
  </si>
  <si>
    <t>11-Total Return N Acc €-H1</t>
  </si>
  <si>
    <t>19-NB Capital Plus FI</t>
  </si>
  <si>
    <t>Venda</t>
  </si>
</sst>
</file>

<file path=xl/styles.xml><?xml version="1.0" encoding="utf-8"?>
<styleSheet xmlns="http://schemas.openxmlformats.org/spreadsheetml/2006/main">
  <numFmts count="2">
    <numFmt numFmtId="8" formatCode="#,##0.00\ &quot;€&quot;;[Red]\-#,##0.00\ &quot;€&quot;"/>
    <numFmt numFmtId="164" formatCode="0.0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" fontId="0" fillId="0" borderId="0" xfId="0" applyNumberFormat="1"/>
    <xf numFmtId="4" fontId="0" fillId="0" borderId="0" xfId="0" applyNumberFormat="1" applyAlignment="1">
      <alignment wrapText="1"/>
    </xf>
    <xf numFmtId="164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14" fontId="0" fillId="0" borderId="2" xfId="0" applyNumberFormat="1" applyBorder="1" applyAlignment="1">
      <alignment wrapText="1"/>
    </xf>
    <xf numFmtId="0" fontId="0" fillId="0" borderId="2" xfId="0" applyBorder="1"/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14" fontId="0" fillId="0" borderId="5" xfId="0" applyNumberFormat="1" applyBorder="1" applyAlignment="1">
      <alignment wrapText="1"/>
    </xf>
    <xf numFmtId="0" fontId="0" fillId="0" borderId="5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14" fontId="0" fillId="0" borderId="8" xfId="0" applyNumberFormat="1" applyBorder="1" applyAlignment="1">
      <alignment wrapText="1"/>
    </xf>
    <xf numFmtId="0" fontId="0" fillId="0" borderId="8" xfId="0" applyBorder="1"/>
    <xf numFmtId="8" fontId="0" fillId="0" borderId="0" xfId="0" applyNumberFormat="1"/>
    <xf numFmtId="8" fontId="1" fillId="0" borderId="0" xfId="0" applyNumberFormat="1" applyFont="1"/>
    <xf numFmtId="4" fontId="0" fillId="0" borderId="2" xfId="0" applyNumberFormat="1" applyBorder="1" applyAlignment="1">
      <alignment wrapText="1"/>
    </xf>
    <xf numFmtId="4" fontId="0" fillId="0" borderId="2" xfId="0" applyNumberFormat="1" applyBorder="1"/>
    <xf numFmtId="0" fontId="0" fillId="0" borderId="3" xfId="0" applyBorder="1"/>
    <xf numFmtId="4" fontId="0" fillId="0" borderId="5" xfId="0" applyNumberFormat="1" applyBorder="1" applyAlignment="1">
      <alignment wrapText="1"/>
    </xf>
    <xf numFmtId="4" fontId="0" fillId="0" borderId="5" xfId="0" applyNumberFormat="1" applyBorder="1"/>
    <xf numFmtId="4" fontId="0" fillId="0" borderId="6" xfId="0" applyNumberFormat="1" applyBorder="1"/>
    <xf numFmtId="4" fontId="0" fillId="0" borderId="3" xfId="0" applyNumberFormat="1" applyBorder="1"/>
    <xf numFmtId="4" fontId="0" fillId="0" borderId="8" xfId="0" applyNumberFormat="1" applyBorder="1"/>
    <xf numFmtId="0" fontId="0" fillId="0" borderId="8" xfId="0" applyFill="1" applyBorder="1"/>
    <xf numFmtId="4" fontId="0" fillId="0" borderId="9" xfId="0" applyNumberFormat="1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3"/>
  <sheetViews>
    <sheetView tabSelected="1" zoomScale="115" zoomScaleNormal="115" workbookViewId="0">
      <selection activeCell="K7" sqref="K7"/>
    </sheetView>
  </sheetViews>
  <sheetFormatPr defaultRowHeight="14.5"/>
  <cols>
    <col min="2" max="2" width="9.81640625" customWidth="1"/>
    <col min="3" max="3" width="10.54296875" hidden="1" customWidth="1"/>
    <col min="4" max="4" width="8.7265625" style="6"/>
    <col min="5" max="5" width="1.36328125" customWidth="1"/>
    <col min="6" max="6" width="8.7265625" customWidth="1"/>
    <col min="7" max="7" width="1.6328125" customWidth="1"/>
    <col min="10" max="10" width="2.54296875" customWidth="1"/>
  </cols>
  <sheetData>
    <row r="1" spans="1:13">
      <c r="A1" s="7" t="s">
        <v>4</v>
      </c>
      <c r="B1" s="7" t="s">
        <v>5</v>
      </c>
      <c r="C1" s="7" t="s">
        <v>6</v>
      </c>
      <c r="D1" s="8" t="s">
        <v>7</v>
      </c>
      <c r="F1" s="7" t="s">
        <v>10</v>
      </c>
      <c r="H1" s="1" t="s">
        <v>8</v>
      </c>
      <c r="I1" s="7" t="s">
        <v>9</v>
      </c>
    </row>
    <row r="2" spans="1:13">
      <c r="A2" s="1" t="s">
        <v>15</v>
      </c>
    </row>
    <row r="3" spans="1:13">
      <c r="A3" s="2">
        <v>1</v>
      </c>
      <c r="B3" s="2" t="s">
        <v>1</v>
      </c>
      <c r="C3" s="3">
        <v>41172</v>
      </c>
      <c r="D3" s="2">
        <v>325.52199999999999</v>
      </c>
      <c r="F3">
        <f>D3</f>
        <v>325.52199999999999</v>
      </c>
    </row>
    <row r="4" spans="1:13">
      <c r="A4" s="2">
        <v>2</v>
      </c>
      <c r="B4" s="2" t="s">
        <v>1</v>
      </c>
      <c r="C4" s="3">
        <v>41187</v>
      </c>
      <c r="D4" s="5">
        <v>1267.6880000000001</v>
      </c>
      <c r="F4" s="4">
        <f>F3+D4</f>
        <v>1593.21</v>
      </c>
    </row>
    <row r="5" spans="1:13">
      <c r="A5" s="2">
        <v>3</v>
      </c>
      <c r="B5" s="2" t="s">
        <v>1</v>
      </c>
      <c r="C5" s="3">
        <v>41410</v>
      </c>
      <c r="D5" s="2">
        <v>522.37400000000002</v>
      </c>
      <c r="F5" s="4">
        <f t="shared" ref="F5:F11" si="0">F4+D5</f>
        <v>2115.5839999999998</v>
      </c>
    </row>
    <row r="6" spans="1:13">
      <c r="A6" s="9">
        <v>4</v>
      </c>
      <c r="B6" s="10" t="s">
        <v>20</v>
      </c>
      <c r="C6" s="11">
        <v>41438</v>
      </c>
      <c r="D6" s="23">
        <v>1415.5820000000001</v>
      </c>
      <c r="E6" s="12"/>
      <c r="F6" s="24">
        <f>F5-D6</f>
        <v>700.00199999999973</v>
      </c>
      <c r="G6" s="12"/>
      <c r="H6" s="12">
        <v>1</v>
      </c>
      <c r="I6" s="25">
        <f>D3</f>
        <v>325.52199999999999</v>
      </c>
    </row>
    <row r="7" spans="1:13">
      <c r="A7" s="13"/>
      <c r="B7" s="14"/>
      <c r="C7" s="15"/>
      <c r="D7" s="26"/>
      <c r="E7" s="16"/>
      <c r="F7" s="27"/>
      <c r="G7" s="16"/>
      <c r="H7" s="16">
        <v>2</v>
      </c>
      <c r="I7" s="28">
        <f>D6-I6</f>
        <v>1090.0600000000002</v>
      </c>
    </row>
    <row r="8" spans="1:13">
      <c r="A8" s="9">
        <v>5</v>
      </c>
      <c r="B8" s="10" t="s">
        <v>20</v>
      </c>
      <c r="C8" s="11">
        <v>41492</v>
      </c>
      <c r="D8" s="10">
        <v>178</v>
      </c>
      <c r="E8" s="12"/>
      <c r="F8" s="24">
        <f>F6-D8</f>
        <v>522.00199999999973</v>
      </c>
      <c r="G8" s="12"/>
      <c r="H8" s="12">
        <v>2</v>
      </c>
      <c r="I8" s="29">
        <f>D4-I7</f>
        <v>177.62799999999993</v>
      </c>
      <c r="K8" s="4"/>
    </row>
    <row r="9" spans="1:13">
      <c r="A9" s="13"/>
      <c r="B9" s="14"/>
      <c r="C9" s="15"/>
      <c r="D9" s="14"/>
      <c r="E9" s="16"/>
      <c r="F9" s="27"/>
      <c r="G9" s="16"/>
      <c r="H9" s="16">
        <v>3</v>
      </c>
      <c r="I9" s="28">
        <f>D8-I8</f>
        <v>0.37200000000007094</v>
      </c>
    </row>
    <row r="10" spans="1:13">
      <c r="A10" s="17">
        <v>6</v>
      </c>
      <c r="B10" s="18" t="s">
        <v>20</v>
      </c>
      <c r="C10" s="19">
        <v>41506</v>
      </c>
      <c r="D10" s="18">
        <v>522.00199999999995</v>
      </c>
      <c r="E10" s="20"/>
      <c r="F10" s="30">
        <f>F8-D10</f>
        <v>0</v>
      </c>
      <c r="G10" s="20"/>
      <c r="H10" s="31">
        <v>3</v>
      </c>
      <c r="I10" s="32">
        <f>D5-I9</f>
        <v>522.00199999999995</v>
      </c>
    </row>
    <row r="11" spans="1:13">
      <c r="A11" s="2">
        <v>41</v>
      </c>
      <c r="B11" s="2" t="s">
        <v>2</v>
      </c>
      <c r="C11" s="3">
        <v>42047</v>
      </c>
      <c r="D11" s="2">
        <v>174.22900000000001</v>
      </c>
      <c r="F11" s="4">
        <f t="shared" si="0"/>
        <v>174.22900000000001</v>
      </c>
      <c r="K11">
        <v>7</v>
      </c>
      <c r="L11">
        <v>174.22900000000001</v>
      </c>
      <c r="M11">
        <v>15</v>
      </c>
    </row>
    <row r="12" spans="1:13">
      <c r="A12" s="17">
        <v>95</v>
      </c>
      <c r="B12" s="18" t="s">
        <v>3</v>
      </c>
      <c r="C12" s="19">
        <v>42207</v>
      </c>
      <c r="D12" s="18">
        <v>150</v>
      </c>
      <c r="E12" s="20"/>
      <c r="F12" s="30">
        <f>F11-D12</f>
        <v>24.229000000000013</v>
      </c>
      <c r="G12" s="20"/>
      <c r="H12" s="20">
        <v>41</v>
      </c>
      <c r="I12" s="33">
        <f>D12</f>
        <v>150</v>
      </c>
    </row>
    <row r="13" spans="1:13">
      <c r="A13" s="17">
        <v>187</v>
      </c>
      <c r="B13" s="18" t="s">
        <v>20</v>
      </c>
      <c r="C13" s="19">
        <v>44176</v>
      </c>
      <c r="D13" s="18">
        <v>24.228999999999999</v>
      </c>
      <c r="E13" s="20"/>
      <c r="F13" s="30">
        <f>F12-D13</f>
        <v>0</v>
      </c>
      <c r="G13" s="20"/>
      <c r="H13" s="31">
        <v>41</v>
      </c>
      <c r="I13" s="33">
        <f>D13</f>
        <v>24.228999999999999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8:D21"/>
  <sheetViews>
    <sheetView topLeftCell="A7" zoomScale="130" zoomScaleNormal="130" workbookViewId="0">
      <selection activeCell="C22" sqref="C22"/>
    </sheetView>
  </sheetViews>
  <sheetFormatPr defaultRowHeight="14.5"/>
  <cols>
    <col min="1" max="1" width="23.453125" customWidth="1"/>
    <col min="3" max="3" width="11.36328125" customWidth="1"/>
    <col min="4" max="4" width="12.08984375" customWidth="1"/>
  </cols>
  <sheetData>
    <row r="8" spans="1:4">
      <c r="A8" t="s">
        <v>11</v>
      </c>
      <c r="B8" t="s">
        <v>4</v>
      </c>
      <c r="C8" t="s">
        <v>7</v>
      </c>
      <c r="D8" t="s">
        <v>12</v>
      </c>
    </row>
    <row r="9" spans="1:4">
      <c r="A9" t="s">
        <v>0</v>
      </c>
      <c r="B9">
        <v>27</v>
      </c>
      <c r="C9" s="6">
        <v>58.502000000000002</v>
      </c>
      <c r="D9" s="21">
        <v>999.99</v>
      </c>
    </row>
    <row r="10" spans="1:4">
      <c r="A10" t="s">
        <v>14</v>
      </c>
      <c r="B10">
        <v>37</v>
      </c>
      <c r="C10" s="6">
        <v>76.745999999999995</v>
      </c>
      <c r="D10" s="21">
        <v>1000</v>
      </c>
    </row>
    <row r="11" spans="1:4">
      <c r="A11" t="s">
        <v>15</v>
      </c>
      <c r="B11">
        <v>2</v>
      </c>
      <c r="C11" s="6">
        <v>-325.52199999999999</v>
      </c>
      <c r="D11" s="21">
        <v>-10271.3550097185</v>
      </c>
    </row>
    <row r="12" spans="1:4">
      <c r="A12" t="s">
        <v>15</v>
      </c>
      <c r="B12">
        <v>3</v>
      </c>
      <c r="C12" s="6">
        <v>-24.228999999999999</v>
      </c>
      <c r="D12" s="21">
        <v>-927.65046610283002</v>
      </c>
    </row>
    <row r="13" spans="1:4">
      <c r="A13" t="s">
        <v>16</v>
      </c>
      <c r="B13">
        <v>7</v>
      </c>
      <c r="C13" s="6">
        <v>22.006038420699198</v>
      </c>
      <c r="D13" s="21">
        <v>5511.21922614491</v>
      </c>
    </row>
    <row r="14" spans="1:4">
      <c r="A14" t="s">
        <v>17</v>
      </c>
      <c r="B14">
        <v>15</v>
      </c>
      <c r="C14" s="6">
        <v>679.64</v>
      </c>
      <c r="D14" s="21">
        <v>15626.31</v>
      </c>
    </row>
    <row r="15" spans="1:4">
      <c r="A15" t="s">
        <v>18</v>
      </c>
      <c r="B15">
        <v>16</v>
      </c>
      <c r="C15" s="6">
        <v>547.645126</v>
      </c>
      <c r="D15" s="21">
        <v>10000</v>
      </c>
    </row>
    <row r="16" spans="1:4">
      <c r="A16" t="s">
        <v>18</v>
      </c>
      <c r="B16">
        <v>17</v>
      </c>
      <c r="C16" s="6">
        <v>1010.611</v>
      </c>
      <c r="D16" s="21">
        <v>19999.990000000002</v>
      </c>
    </row>
    <row r="17" spans="1:4">
      <c r="A17" t="s">
        <v>19</v>
      </c>
      <c r="B17">
        <v>108</v>
      </c>
      <c r="C17" s="6">
        <v>0.53749999999999998</v>
      </c>
      <c r="D17" s="21">
        <v>1000</v>
      </c>
    </row>
    <row r="18" spans="1:4">
      <c r="D18" s="22">
        <f>SUM(D9:D17)</f>
        <v>42938.50375032358</v>
      </c>
    </row>
    <row r="20" spans="1:4">
      <c r="B20">
        <v>27</v>
      </c>
    </row>
    <row r="21" spans="1:4">
      <c r="A21" t="s">
        <v>13</v>
      </c>
      <c r="C21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2021-05-06T11:19:57Z</dcterms:created>
  <dcterms:modified xsi:type="dcterms:W3CDTF">2021-05-07T09:14:57Z</dcterms:modified>
</cp:coreProperties>
</file>