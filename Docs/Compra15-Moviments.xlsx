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positoris\C#\_Actiu\InversionsV2\Docs\"/>
    </mc:Choice>
  </mc:AlternateContent>
  <xr:revisionPtr revIDLastSave="0" documentId="13_ncr:1_{4B779CE4-6224-43FA-B465-AB305A527D90}" xr6:coauthVersionLast="47" xr6:coauthVersionMax="47" xr10:uidLastSave="{00000000-0000-0000-0000-000000000000}"/>
  <bookViews>
    <workbookView xWindow="22932" yWindow="0" windowWidth="23256" windowHeight="12576" tabRatio="689" activeTab="2" xr2:uid="{67C9267C-8DE9-4BF2-8230-BF48900302D9}"/>
  </bookViews>
  <sheets>
    <sheet name="Compra 15" sheetId="9" r:id="rId1"/>
    <sheet name="27-Global Tech" sheetId="7" r:id="rId2"/>
    <sheet name="Orig Vendes Reals 27" sheetId="8" r:id="rId3"/>
    <sheet name="28-Euro Fund" sheetId="1" r:id="rId4"/>
    <sheet name="Orig Vendes Reals 28" sheetId="3" r:id="rId5"/>
    <sheet name="29-CS Corto Plazo" sheetId="5" r:id="rId6"/>
    <sheet name="Orig Vendes Reals 29" sheetId="6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6" i="8" l="1"/>
  <c r="E39" i="7" l="1"/>
  <c r="F35" i="7"/>
  <c r="J30" i="7"/>
  <c r="M30" i="7" s="1"/>
  <c r="N30" i="7" s="1"/>
  <c r="N27" i="7"/>
  <c r="M27" i="7"/>
  <c r="J27" i="7"/>
  <c r="K11" i="1"/>
  <c r="K3" i="1"/>
  <c r="K4" i="1"/>
  <c r="K5" i="1"/>
  <c r="K6" i="1"/>
  <c r="K7" i="1"/>
  <c r="K8" i="1"/>
  <c r="K2" i="1"/>
  <c r="J24" i="7"/>
  <c r="M24" i="7" s="1"/>
  <c r="J21" i="7"/>
  <c r="M21" i="7" s="1"/>
  <c r="O17" i="7"/>
  <c r="N16" i="7"/>
  <c r="Q4" i="3" l="1"/>
  <c r="S4" i="3" l="1"/>
  <c r="S2" i="3"/>
  <c r="S35" i="3"/>
  <c r="G19" i="8"/>
  <c r="G16" i="3"/>
  <c r="K11" i="9"/>
  <c r="L11" i="9" s="1"/>
  <c r="J15" i="9"/>
  <c r="J11" i="9"/>
  <c r="K13" i="8"/>
  <c r="F4" i="5"/>
  <c r="K3" i="6"/>
  <c r="K2" i="6" s="1"/>
  <c r="M2" i="6" s="1"/>
  <c r="K5" i="3"/>
  <c r="K4" i="3" s="1"/>
  <c r="M4" i="3" s="1"/>
  <c r="K3" i="3"/>
  <c r="K15" i="9" s="1"/>
  <c r="L15" i="9" s="1"/>
  <c r="L4" i="3" l="1"/>
  <c r="K2" i="3"/>
  <c r="L2" i="6"/>
  <c r="O4" i="3" l="1"/>
  <c r="N4" i="3"/>
  <c r="P4" i="3" s="1"/>
  <c r="R4" i="3" s="1"/>
  <c r="T4" i="3" s="1"/>
  <c r="O2" i="6"/>
  <c r="Q2" i="6" s="1"/>
  <c r="N2" i="6"/>
  <c r="P2" i="6" s="1"/>
  <c r="M18" i="8"/>
  <c r="L18" i="8"/>
  <c r="M17" i="8"/>
  <c r="L17" i="8"/>
  <c r="M16" i="8"/>
  <c r="L16" i="8"/>
  <c r="M15" i="8"/>
  <c r="L15" i="8"/>
  <c r="K14" i="8"/>
  <c r="K9" i="8"/>
  <c r="K8" i="8"/>
  <c r="K7" i="8"/>
  <c r="L5" i="8"/>
  <c r="K3" i="8"/>
  <c r="K4" i="8" s="1"/>
  <c r="O2" i="8"/>
  <c r="O5" i="8" l="1"/>
  <c r="N5" i="8"/>
  <c r="O16" i="8"/>
  <c r="N16" i="8"/>
  <c r="O17" i="8"/>
  <c r="N17" i="8"/>
  <c r="P17" i="8" s="1"/>
  <c r="R17" i="8" s="1"/>
  <c r="S17" i="8" s="1"/>
  <c r="P16" i="8"/>
  <c r="R16" i="8" s="1"/>
  <c r="S16" i="8" s="1"/>
  <c r="O18" i="8"/>
  <c r="N18" i="8"/>
  <c r="P18" i="8" s="1"/>
  <c r="R18" i="8" s="1"/>
  <c r="S18" i="8" s="1"/>
  <c r="O15" i="8"/>
  <c r="N15" i="8"/>
  <c r="P15" i="8"/>
  <c r="O8" i="8"/>
  <c r="O14" i="8"/>
  <c r="O7" i="8"/>
  <c r="M13" i="8"/>
  <c r="O9" i="8"/>
  <c r="K6" i="8"/>
  <c r="O4" i="8"/>
  <c r="K2" i="8"/>
  <c r="M2" i="8" s="1"/>
  <c r="R15" i="8"/>
  <c r="S15" i="8" s="1"/>
  <c r="O3" i="8"/>
  <c r="L13" i="8" l="1"/>
  <c r="Q2" i="8"/>
  <c r="K10" i="8"/>
  <c r="K5" i="8" s="1"/>
  <c r="M5" i="8" s="1"/>
  <c r="O6" i="8"/>
  <c r="N2" i="8"/>
  <c r="P2" i="8" s="1"/>
  <c r="O13" i="8" l="1"/>
  <c r="Q13" i="8" s="1"/>
  <c r="N13" i="8"/>
  <c r="P13" i="8" s="1"/>
  <c r="R13" i="8" s="1"/>
  <c r="D23" i="8"/>
  <c r="E23" i="8" s="1"/>
  <c r="O10" i="8"/>
  <c r="Q5" i="8" s="1"/>
  <c r="K12" i="8"/>
  <c r="R2" i="8"/>
  <c r="S2" i="8" s="1"/>
  <c r="P5" i="8"/>
  <c r="R5" i="8" s="1"/>
  <c r="S13" i="8" l="1"/>
  <c r="S5" i="8"/>
  <c r="O12" i="8"/>
  <c r="K11" i="8"/>
  <c r="D24" i="8"/>
  <c r="E24" i="8" s="1"/>
  <c r="E25" i="8" s="1"/>
  <c r="E27" i="8" s="1"/>
  <c r="L11" i="8" l="1"/>
  <c r="M11" i="8"/>
  <c r="O11" i="8" l="1"/>
  <c r="Q11" i="8" s="1"/>
  <c r="E31" i="8" s="1"/>
  <c r="N11" i="8"/>
  <c r="P11" i="8" s="1"/>
  <c r="P19" i="8" s="1"/>
  <c r="M19" i="8"/>
  <c r="Q19" i="8" l="1"/>
  <c r="R11" i="8"/>
  <c r="S11" i="8" s="1"/>
  <c r="S19" i="8" s="1"/>
  <c r="E32" i="8" l="1"/>
  <c r="E33" i="8" s="1"/>
  <c r="R19" i="8"/>
  <c r="R21" i="8" s="1"/>
  <c r="F15" i="7" l="1"/>
  <c r="F14" i="7"/>
  <c r="F11" i="7"/>
  <c r="J10" i="7"/>
  <c r="K10" i="7" s="1"/>
  <c r="F10" i="7"/>
  <c r="J9" i="7"/>
  <c r="K9" i="7" s="1"/>
  <c r="F9" i="7"/>
  <c r="F8" i="7"/>
  <c r="F7" i="7"/>
  <c r="F6" i="7"/>
  <c r="F5" i="7"/>
  <c r="F4" i="7"/>
  <c r="F3" i="7"/>
  <c r="I2" i="7"/>
  <c r="J2" i="7" s="1"/>
  <c r="H2" i="7"/>
  <c r="H3" i="7" s="1"/>
  <c r="H4" i="7" s="1"/>
  <c r="H5" i="7" s="1"/>
  <c r="H6" i="7" s="1"/>
  <c r="H7" i="7" s="1"/>
  <c r="H8" i="7" s="1"/>
  <c r="H9" i="7" s="1"/>
  <c r="H10" i="7" s="1"/>
  <c r="H11" i="7" s="1"/>
  <c r="D12" i="7" s="1"/>
  <c r="F12" i="7" s="1"/>
  <c r="F2" i="7"/>
  <c r="J15" i="7" l="1"/>
  <c r="K2" i="7"/>
  <c r="K13" i="7" s="1"/>
  <c r="J17" i="7"/>
  <c r="M10" i="7"/>
  <c r="N10" i="7" s="1"/>
  <c r="M9" i="7"/>
  <c r="N9" i="7" s="1"/>
  <c r="J16" i="7"/>
  <c r="L2" i="7"/>
  <c r="J12" i="7"/>
  <c r="M2" i="7"/>
  <c r="J18" i="7" l="1"/>
  <c r="N2" i="7"/>
  <c r="N13" i="7" s="1"/>
  <c r="M13" i="7"/>
  <c r="L13" i="7"/>
  <c r="K6" i="6"/>
  <c r="K8" i="6" s="1"/>
  <c r="G24" i="3"/>
  <c r="F24" i="3"/>
  <c r="H2" i="1"/>
  <c r="J11" i="1"/>
  <c r="L8" i="1"/>
  <c r="L3" i="1"/>
  <c r="I4" i="1"/>
  <c r="L4" i="1" s="1"/>
  <c r="I5" i="1"/>
  <c r="L5" i="1" s="1"/>
  <c r="I6" i="1"/>
  <c r="L6" i="1" s="1"/>
  <c r="I7" i="1"/>
  <c r="L7" i="1" s="1"/>
  <c r="I8" i="1"/>
  <c r="I3" i="1"/>
  <c r="I2" i="1"/>
  <c r="L2" i="1" s="1"/>
  <c r="J2" i="1"/>
  <c r="H9" i="1"/>
  <c r="H3" i="1"/>
  <c r="H4" i="1"/>
  <c r="H5" i="1"/>
  <c r="H6" i="1"/>
  <c r="H7" i="1"/>
  <c r="H8" i="1"/>
  <c r="G2" i="1"/>
  <c r="G3" i="1" s="1"/>
  <c r="G4" i="1" s="1"/>
  <c r="G5" i="1" s="1"/>
  <c r="G6" i="1" s="1"/>
  <c r="G7" i="1" s="1"/>
  <c r="G8" i="1" l="1"/>
  <c r="G9" i="1" s="1"/>
  <c r="D10" i="1" s="1"/>
  <c r="H10" i="1" s="1"/>
  <c r="L11" i="1"/>
  <c r="L12" i="1" s="1"/>
  <c r="G27" i="3"/>
  <c r="L2" i="3" l="1"/>
  <c r="M2" i="3"/>
  <c r="O2" i="3" l="1"/>
  <c r="Q2" i="3" s="1"/>
  <c r="N2" i="3"/>
  <c r="P2" i="3" s="1"/>
  <c r="R2" i="3" s="1"/>
  <c r="T2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joanp</author>
  </authors>
  <commentList>
    <comment ref="Q2" authorId="0" shapeId="0" xr:uid="{EF8E76C8-EE36-4BEF-8338-4EA99D9F2E89}">
      <text>
        <r>
          <rPr>
            <b/>
            <sz val="9"/>
            <color indexed="81"/>
            <rFont val="Tahoma"/>
            <family val="2"/>
          </rPr>
          <t>Ha de ser: 1,836,64€
Segons SelfBank</t>
        </r>
      </text>
    </comment>
  </commentList>
</comments>
</file>

<file path=xl/sharedStrings.xml><?xml version="1.0" encoding="utf-8"?>
<sst xmlns="http://schemas.openxmlformats.org/spreadsheetml/2006/main" count="238" uniqueCount="78">
  <si>
    <t>Traspàs C</t>
  </si>
  <si>
    <t>Venda</t>
  </si>
  <si>
    <t>Parts</t>
  </si>
  <si>
    <t>PU</t>
  </si>
  <si>
    <t>Total Return N Acc €-H1</t>
  </si>
  <si>
    <t>Id Orig</t>
  </si>
  <si>
    <t>Id</t>
  </si>
  <si>
    <t>Data Orig Compra</t>
  </si>
  <si>
    <t>Parts Util</t>
  </si>
  <si>
    <t>PiG</t>
  </si>
  <si>
    <t>Cartera</t>
  </si>
  <si>
    <t>PiG Cartera</t>
  </si>
  <si>
    <t>Part cartera</t>
  </si>
  <si>
    <t>Parts Orig</t>
  </si>
  <si>
    <t>Parts Orig Ut</t>
  </si>
  <si>
    <t>Parts en cartera</t>
  </si>
  <si>
    <t>Parts orig en cartera</t>
  </si>
  <si>
    <t>PiG Orig en cartera</t>
  </si>
  <si>
    <t>PU Orig</t>
  </si>
  <si>
    <t>Import Orig venda real</t>
  </si>
  <si>
    <t>Pig Origen venda real</t>
  </si>
  <si>
    <t>Nom Fons Orig</t>
  </si>
  <si>
    <t>Bolsa Tecnología y Telecomunicaciones FI</t>
  </si>
  <si>
    <t>Optimal Income A-H Grs Acc Hdg EUR</t>
  </si>
  <si>
    <t>Biotechnology C USD Acc</t>
  </si>
  <si>
    <t>European Growth N Acc ?</t>
  </si>
  <si>
    <t>Trea Renta Fija Ahorro S FI</t>
  </si>
  <si>
    <t>Data Compra Venda</t>
  </si>
  <si>
    <t>Import Orig en cartera</t>
  </si>
  <si>
    <t>Data compra</t>
  </si>
  <si>
    <t>Import</t>
  </si>
  <si>
    <t>Data venda</t>
  </si>
  <si>
    <t>Venda 1278 segons SelfBank</t>
  </si>
  <si>
    <t>Total</t>
  </si>
  <si>
    <t>Mov</t>
  </si>
  <si>
    <t>CT</t>
  </si>
  <si>
    <t>V</t>
  </si>
  <si>
    <t>Prod</t>
  </si>
  <si>
    <t>Venudes en</t>
  </si>
  <si>
    <t>Id: 1229</t>
  </si>
  <si>
    <t>Id: 1278</t>
  </si>
  <si>
    <t>bbva</t>
  </si>
  <si>
    <t>Brut</t>
  </si>
  <si>
    <t>Saldo Parts</t>
  </si>
  <si>
    <t>Venudes</t>
  </si>
  <si>
    <t>En cartera</t>
  </si>
  <si>
    <t>PiG venudes</t>
  </si>
  <si>
    <t>PiG cartera</t>
  </si>
  <si>
    <t>Traspàs V</t>
  </si>
  <si>
    <t>Totals ---&gt;</t>
  </si>
  <si>
    <t>PiG venda 1251</t>
  </si>
  <si>
    <t>PiG venda 1279</t>
  </si>
  <si>
    <t>Import orig en cartera</t>
  </si>
  <si>
    <t>VT</t>
  </si>
  <si>
    <t>Pictet-short-term Money Market Chf R</t>
  </si>
  <si>
    <t>Venda 1251</t>
  </si>
  <si>
    <t>Compra 173</t>
  </si>
  <si>
    <t>Parts comp orig</t>
  </si>
  <si>
    <t>Imp comp Orig</t>
  </si>
  <si>
    <t>PiG vendes</t>
  </si>
  <si>
    <t>Id Mov</t>
  </si>
  <si>
    <t>Parts Desg</t>
  </si>
  <si>
    <t>Parts Desg Orig</t>
  </si>
  <si>
    <t>C</t>
  </si>
  <si>
    <t>Pig SelfBank</t>
  </si>
  <si>
    <t>PiG Total</t>
  </si>
  <si>
    <t>Import compra cartera</t>
  </si>
  <si>
    <t>Compra</t>
  </si>
  <si>
    <t>Import comp cartera</t>
  </si>
  <si>
    <t>1042-DWS Floating Rate Notes LC</t>
  </si>
  <si>
    <t>1043-Global Technology A-Acc-USD H</t>
  </si>
  <si>
    <t>Arcelor</t>
  </si>
  <si>
    <t>Amb Desp</t>
  </si>
  <si>
    <t>Arcelor Trade</t>
  </si>
  <si>
    <t>Desp</t>
  </si>
  <si>
    <t>PiG 1251</t>
  </si>
  <si>
    <t>Import compra</t>
  </si>
  <si>
    <t>Import Venda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</si>
</sst>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#,##0.00\ &quot;€&quot;;[Red]\-#,##0.00\ &quot;€&quot;"/>
    <numFmt numFmtId="164" formatCode="#,##0.000\ &quot;€&quot;;[Red]\-#,##0.000\ &quot;€&quot;"/>
    <numFmt numFmtId="165" formatCode="#,##0.000"/>
    <numFmt numFmtId="166" formatCode="#,##0.000\ &quot;€&quot;"/>
    <numFmt numFmtId="167" formatCode="#,##0.00\ &quot;€&quot;"/>
    <numFmt numFmtId="168" formatCode="#,##0.0000"/>
    <numFmt numFmtId="169" formatCode="0.000"/>
    <numFmt numFmtId="170" formatCode="0.0000"/>
    <numFmt numFmtId="171" formatCode="#,##0.000000\ &quot;€&quot;;[Red]\-#,##0.000000\ &quot;€&quot;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/>
    <xf numFmtId="14" fontId="0" fillId="0" borderId="0" xfId="0" applyNumberFormat="1" applyAlignment="1">
      <alignment vertical="center" wrapText="1"/>
    </xf>
    <xf numFmtId="8" fontId="0" fillId="0" borderId="0" xfId="0" applyNumberFormat="1"/>
    <xf numFmtId="8" fontId="0" fillId="0" borderId="0" xfId="0" applyNumberFormat="1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/>
    </xf>
    <xf numFmtId="8" fontId="1" fillId="0" borderId="0" xfId="0" applyNumberFormat="1" applyFont="1"/>
    <xf numFmtId="164" fontId="0" fillId="0" borderId="0" xfId="0" applyNumberFormat="1"/>
    <xf numFmtId="0" fontId="1" fillId="0" borderId="0" xfId="0" applyFont="1" applyAlignment="1">
      <alignment horizontal="center" wrapText="1"/>
    </xf>
    <xf numFmtId="165" fontId="0" fillId="0" borderId="0" xfId="0" applyNumberFormat="1"/>
    <xf numFmtId="166" fontId="0" fillId="0" borderId="0" xfId="0" applyNumberFormat="1"/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 wrapText="1"/>
    </xf>
    <xf numFmtId="166" fontId="1" fillId="0" borderId="0" xfId="0" applyNumberFormat="1" applyFont="1" applyAlignment="1">
      <alignment horizontal="center"/>
    </xf>
    <xf numFmtId="0" fontId="0" fillId="3" borderId="0" xfId="0" applyFill="1"/>
    <xf numFmtId="14" fontId="0" fillId="3" borderId="0" xfId="0" applyNumberFormat="1" applyFill="1"/>
    <xf numFmtId="165" fontId="0" fillId="3" borderId="0" xfId="0" applyNumberFormat="1" applyFill="1"/>
    <xf numFmtId="166" fontId="0" fillId="3" borderId="0" xfId="0" applyNumberFormat="1" applyFill="1"/>
    <xf numFmtId="0" fontId="0" fillId="2" borderId="0" xfId="0" applyFill="1"/>
    <xf numFmtId="14" fontId="0" fillId="2" borderId="0" xfId="0" applyNumberFormat="1" applyFill="1"/>
    <xf numFmtId="165" fontId="0" fillId="2" borderId="0" xfId="0" applyNumberFormat="1" applyFill="1"/>
    <xf numFmtId="166" fontId="0" fillId="2" borderId="0" xfId="0" applyNumberFormat="1" applyFill="1"/>
    <xf numFmtId="166" fontId="1" fillId="0" borderId="0" xfId="0" applyNumberFormat="1" applyFont="1"/>
    <xf numFmtId="167" fontId="0" fillId="0" borderId="0" xfId="0" applyNumberFormat="1"/>
    <xf numFmtId="14" fontId="1" fillId="0" borderId="1" xfId="0" applyNumberFormat="1" applyFont="1" applyBorder="1"/>
    <xf numFmtId="165" fontId="0" fillId="0" borderId="2" xfId="0" applyNumberFormat="1" applyBorder="1"/>
    <xf numFmtId="165" fontId="0" fillId="0" borderId="3" xfId="0" applyNumberFormat="1" applyBorder="1"/>
    <xf numFmtId="14" fontId="1" fillId="0" borderId="4" xfId="0" applyNumberFormat="1" applyFont="1" applyBorder="1"/>
    <xf numFmtId="165" fontId="1" fillId="0" borderId="0" xfId="0" applyNumberFormat="1" applyFont="1"/>
    <xf numFmtId="14" fontId="0" fillId="0" borderId="4" xfId="0" applyNumberFormat="1" applyBorder="1"/>
    <xf numFmtId="167" fontId="0" fillId="0" borderId="5" xfId="0" applyNumberFormat="1" applyBorder="1"/>
    <xf numFmtId="167" fontId="1" fillId="0" borderId="5" xfId="0" applyNumberFormat="1" applyFont="1" applyBorder="1"/>
    <xf numFmtId="14" fontId="0" fillId="0" borderId="6" xfId="0" applyNumberFormat="1" applyBorder="1"/>
    <xf numFmtId="165" fontId="1" fillId="0" borderId="7" xfId="0" applyNumberFormat="1" applyFont="1" applyBorder="1" applyAlignment="1">
      <alignment horizontal="right"/>
    </xf>
    <xf numFmtId="167" fontId="1" fillId="0" borderId="8" xfId="0" applyNumberFormat="1" applyFont="1" applyBorder="1"/>
    <xf numFmtId="165" fontId="1" fillId="0" borderId="0" xfId="0" applyNumberFormat="1" applyFont="1" applyAlignment="1">
      <alignment horizontal="center"/>
    </xf>
    <xf numFmtId="165" fontId="1" fillId="0" borderId="5" xfId="0" applyNumberFormat="1" applyFont="1" applyBorder="1" applyAlignment="1">
      <alignment horizontal="center"/>
    </xf>
    <xf numFmtId="14" fontId="1" fillId="0" borderId="4" xfId="0" applyNumberFormat="1" applyFont="1" applyBorder="1" applyAlignment="1">
      <alignment horizontal="center"/>
    </xf>
    <xf numFmtId="168" fontId="0" fillId="3" borderId="0" xfId="0" applyNumberFormat="1" applyFill="1"/>
    <xf numFmtId="168" fontId="0" fillId="2" borderId="0" xfId="0" applyNumberFormat="1" applyFill="1"/>
    <xf numFmtId="168" fontId="1" fillId="0" borderId="0" xfId="0" applyNumberFormat="1" applyFont="1" applyAlignment="1">
      <alignment horizontal="center" vertical="center"/>
    </xf>
    <xf numFmtId="168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165" fontId="0" fillId="0" borderId="0" xfId="0" applyNumberFormat="1" applyAlignment="1">
      <alignment vertical="center" wrapText="1"/>
    </xf>
    <xf numFmtId="164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  <xf numFmtId="167" fontId="1" fillId="0" borderId="0" xfId="0" applyNumberFormat="1" applyFont="1"/>
    <xf numFmtId="0" fontId="0" fillId="0" borderId="9" xfId="0" applyBorder="1"/>
    <xf numFmtId="0" fontId="1" fillId="0" borderId="10" xfId="0" applyFont="1" applyBorder="1" applyAlignment="1">
      <alignment horizontal="right"/>
    </xf>
    <xf numFmtId="164" fontId="1" fillId="0" borderId="11" xfId="0" applyNumberFormat="1" applyFont="1" applyBorder="1"/>
    <xf numFmtId="169" fontId="0" fillId="3" borderId="0" xfId="0" applyNumberFormat="1" applyFill="1"/>
    <xf numFmtId="164" fontId="0" fillId="3" borderId="0" xfId="0" applyNumberFormat="1" applyFill="1" applyAlignment="1">
      <alignment vertical="center" wrapText="1"/>
    </xf>
    <xf numFmtId="167" fontId="0" fillId="3" borderId="0" xfId="0" applyNumberFormat="1" applyFill="1"/>
    <xf numFmtId="0" fontId="0" fillId="2" borderId="0" xfId="0" applyFill="1" applyAlignment="1">
      <alignment vertical="center" wrapText="1"/>
    </xf>
    <xf numFmtId="14" fontId="0" fillId="2" borderId="0" xfId="0" applyNumberFormat="1" applyFill="1" applyAlignment="1">
      <alignment vertical="center" wrapText="1"/>
    </xf>
    <xf numFmtId="165" fontId="0" fillId="2" borderId="0" xfId="0" applyNumberFormat="1" applyFill="1" applyAlignment="1">
      <alignment vertical="center" wrapText="1"/>
    </xf>
    <xf numFmtId="0" fontId="0" fillId="3" borderId="0" xfId="0" applyFill="1" applyAlignment="1">
      <alignment vertical="center" wrapText="1"/>
    </xf>
    <xf numFmtId="165" fontId="1" fillId="0" borderId="0" xfId="0" applyNumberFormat="1" applyFont="1" applyAlignment="1">
      <alignment horizontal="right"/>
    </xf>
    <xf numFmtId="169" fontId="1" fillId="0" borderId="0" xfId="0" applyNumberFormat="1" applyFont="1"/>
    <xf numFmtId="169" fontId="1" fillId="0" borderId="0" xfId="0" applyNumberFormat="1" applyFont="1" applyAlignment="1">
      <alignment horizontal="right"/>
    </xf>
    <xf numFmtId="165" fontId="1" fillId="0" borderId="9" xfId="0" applyNumberFormat="1" applyFont="1" applyBorder="1"/>
    <xf numFmtId="165" fontId="1" fillId="0" borderId="11" xfId="0" applyNumberFormat="1" applyFont="1" applyBorder="1"/>
    <xf numFmtId="169" fontId="1" fillId="0" borderId="4" xfId="0" applyNumberFormat="1" applyFont="1" applyBorder="1"/>
    <xf numFmtId="166" fontId="1" fillId="0" borderId="5" xfId="0" applyNumberFormat="1" applyFont="1" applyBorder="1"/>
    <xf numFmtId="169" fontId="1" fillId="0" borderId="9" xfId="0" applyNumberFormat="1" applyFont="1" applyBorder="1"/>
    <xf numFmtId="166" fontId="1" fillId="0" borderId="11" xfId="0" applyNumberFormat="1" applyFont="1" applyBorder="1"/>
    <xf numFmtId="168" fontId="0" fillId="4" borderId="0" xfId="0" applyNumberFormat="1" applyFill="1"/>
    <xf numFmtId="165" fontId="0" fillId="4" borderId="0" xfId="0" applyNumberFormat="1" applyFill="1"/>
    <xf numFmtId="0" fontId="0" fillId="4" borderId="0" xfId="0" applyFill="1"/>
    <xf numFmtId="14" fontId="0" fillId="4" borderId="0" xfId="0" applyNumberFormat="1" applyFill="1"/>
    <xf numFmtId="166" fontId="0" fillId="4" borderId="0" xfId="0" applyNumberFormat="1" applyFill="1"/>
    <xf numFmtId="166" fontId="0" fillId="5" borderId="0" xfId="0" applyNumberFormat="1" applyFill="1"/>
    <xf numFmtId="170" fontId="0" fillId="0" borderId="0" xfId="0" applyNumberFormat="1"/>
    <xf numFmtId="170" fontId="1" fillId="0" borderId="0" xfId="0" applyNumberFormat="1" applyFont="1"/>
    <xf numFmtId="171" fontId="0" fillId="0" borderId="0" xfId="0" applyNumberFormat="1"/>
    <xf numFmtId="164" fontId="1" fillId="0" borderId="0" xfId="0" applyNumberFormat="1" applyFont="1"/>
    <xf numFmtId="8" fontId="1" fillId="0" borderId="0" xfId="0" applyNumberFormat="1" applyFont="1" applyAlignment="1">
      <alignment vertical="center" wrapText="1"/>
    </xf>
    <xf numFmtId="169" fontId="0" fillId="0" borderId="0" xfId="0" applyNumberFormat="1" applyAlignment="1">
      <alignment vertical="center" wrapText="1"/>
    </xf>
    <xf numFmtId="169" fontId="0" fillId="0" borderId="0" xfId="0" applyNumberFormat="1"/>
    <xf numFmtId="0" fontId="1" fillId="0" borderId="0" xfId="0" applyFont="1" applyAlignment="1">
      <alignment vertical="center"/>
    </xf>
    <xf numFmtId="4" fontId="0" fillId="0" borderId="0" xfId="0" applyNumberFormat="1" applyAlignment="1">
      <alignment vertical="center" wrapText="1"/>
    </xf>
    <xf numFmtId="0" fontId="0" fillId="0" borderId="4" xfId="0" applyBorder="1"/>
    <xf numFmtId="0" fontId="1" fillId="0" borderId="2" xfId="0" applyFont="1" applyBorder="1" applyAlignment="1">
      <alignment horizontal="right"/>
    </xf>
    <xf numFmtId="165" fontId="0" fillId="0" borderId="0" xfId="0" applyNumberFormat="1" applyBorder="1"/>
    <xf numFmtId="166" fontId="0" fillId="0" borderId="5" xfId="0" applyNumberFormat="1" applyBorder="1"/>
    <xf numFmtId="166" fontId="0" fillId="0" borderId="11" xfId="0" applyNumberFormat="1" applyFont="1" applyBorder="1"/>
    <xf numFmtId="166" fontId="0" fillId="0" borderId="5" xfId="0" applyNumberFormat="1" applyFont="1" applyBorder="1"/>
    <xf numFmtId="165" fontId="1" fillId="0" borderId="5" xfId="0" applyNumberFormat="1" applyFont="1" applyBorder="1" applyAlignment="1">
      <alignment horizontal="center" wrapText="1"/>
    </xf>
    <xf numFmtId="165" fontId="1" fillId="0" borderId="0" xfId="0" applyNumberFormat="1" applyFont="1" applyBorder="1" applyAlignment="1">
      <alignment horizontal="center" wrapText="1"/>
    </xf>
    <xf numFmtId="3" fontId="0" fillId="0" borderId="4" xfId="0" applyNumberFormat="1" applyBorder="1" applyAlignment="1"/>
    <xf numFmtId="3" fontId="0" fillId="0" borderId="6" xfId="0" applyNumberFormat="1" applyBorder="1"/>
    <xf numFmtId="165" fontId="0" fillId="0" borderId="7" xfId="0" applyNumberFormat="1" applyBorder="1"/>
    <xf numFmtId="166" fontId="0" fillId="0" borderId="8" xfId="0" applyNumberFormat="1" applyBorder="1"/>
    <xf numFmtId="165" fontId="0" fillId="0" borderId="9" xfId="0" applyNumberFormat="1" applyBorder="1"/>
    <xf numFmtId="165" fontId="0" fillId="0" borderId="11" xfId="0" applyNumberFormat="1" applyBorder="1"/>
    <xf numFmtId="165" fontId="1" fillId="0" borderId="10" xfId="0" applyNumberFormat="1" applyFont="1" applyBorder="1" applyAlignment="1">
      <alignment horizontal="right"/>
    </xf>
    <xf numFmtId="165" fontId="1" fillId="0" borderId="4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1A2B2-2509-47A4-B7F1-E6D80090BB78}">
  <sheetPr>
    <tabColor rgb="FF00B0F0"/>
  </sheetPr>
  <dimension ref="A1:R15"/>
  <sheetViews>
    <sheetView zoomScaleNormal="100" workbookViewId="0">
      <pane ySplit="1" topLeftCell="A2" activePane="bottomLeft" state="frozen"/>
      <selection pane="bottomLeft" activeCell="H19" sqref="H19"/>
    </sheetView>
  </sheetViews>
  <sheetFormatPr defaultRowHeight="14.5" x14ac:dyDescent="0.35"/>
  <cols>
    <col min="1" max="1" width="4.81640625" bestFit="1" customWidth="1"/>
    <col min="2" max="2" width="5" bestFit="1" customWidth="1"/>
    <col min="3" max="3" width="4.54296875" customWidth="1"/>
    <col min="4" max="4" width="10.26953125" customWidth="1"/>
    <col min="5" max="5" width="11.90625" style="2" bestFit="1" customWidth="1"/>
    <col min="6" max="6" width="11.1796875" style="2" customWidth="1"/>
    <col min="7" max="7" width="10.36328125" style="13" bestFit="1" customWidth="1"/>
    <col min="8" max="8" width="10.6328125" style="13" bestFit="1" customWidth="1"/>
    <col min="9" max="10" width="9.6328125" style="12" bestFit="1" customWidth="1"/>
    <col min="11" max="11" width="8.6328125" style="46" bestFit="1" customWidth="1"/>
    <col min="12" max="12" width="7.54296875" style="12" bestFit="1" customWidth="1"/>
    <col min="13" max="13" width="10.7265625" bestFit="1" customWidth="1"/>
    <col min="14" max="14" width="11.36328125" bestFit="1" customWidth="1"/>
    <col min="15" max="15" width="11.7265625" bestFit="1" customWidth="1"/>
    <col min="16" max="16" width="10.6328125" customWidth="1"/>
    <col min="17" max="17" width="11.26953125" bestFit="1" customWidth="1"/>
    <col min="18" max="18" width="13.90625" customWidth="1"/>
  </cols>
  <sheetData>
    <row r="1" spans="1:18" ht="29" customHeight="1" x14ac:dyDescent="0.35">
      <c r="A1" s="14" t="s">
        <v>34</v>
      </c>
      <c r="B1" s="7" t="s">
        <v>60</v>
      </c>
      <c r="C1" s="7" t="s">
        <v>5</v>
      </c>
      <c r="D1" s="7" t="s">
        <v>21</v>
      </c>
      <c r="E1" s="15" t="s">
        <v>27</v>
      </c>
      <c r="F1" s="15" t="s">
        <v>7</v>
      </c>
      <c r="G1" s="18" t="s">
        <v>3</v>
      </c>
      <c r="H1" s="18" t="s">
        <v>18</v>
      </c>
      <c r="I1" s="16" t="s">
        <v>61</v>
      </c>
      <c r="J1" s="17" t="s">
        <v>62</v>
      </c>
      <c r="K1" s="45" t="s">
        <v>8</v>
      </c>
      <c r="L1" s="17" t="s">
        <v>14</v>
      </c>
      <c r="M1" s="7" t="s">
        <v>15</v>
      </c>
      <c r="N1" s="7" t="s">
        <v>16</v>
      </c>
      <c r="O1" s="11" t="s">
        <v>19</v>
      </c>
      <c r="P1" s="7" t="s">
        <v>28</v>
      </c>
      <c r="Q1" s="7" t="s">
        <v>20</v>
      </c>
      <c r="R1" s="7" t="s">
        <v>17</v>
      </c>
    </row>
    <row r="2" spans="1:18" x14ac:dyDescent="0.35">
      <c r="A2" s="74" t="s">
        <v>63</v>
      </c>
      <c r="B2" s="74">
        <v>15</v>
      </c>
      <c r="C2" s="74">
        <v>15</v>
      </c>
      <c r="D2" s="74" t="s">
        <v>22</v>
      </c>
      <c r="E2" s="75">
        <v>36841</v>
      </c>
      <c r="F2" s="75">
        <v>36841</v>
      </c>
      <c r="G2" s="76">
        <v>22.9920399034783</v>
      </c>
      <c r="H2" s="76">
        <v>22.9920399034783</v>
      </c>
      <c r="I2" s="73">
        <v>679.64</v>
      </c>
      <c r="J2" s="73">
        <v>679.64</v>
      </c>
      <c r="K2" s="72"/>
      <c r="L2" s="73"/>
      <c r="M2" s="74"/>
      <c r="N2" s="74"/>
      <c r="O2" s="74"/>
      <c r="P2" s="74"/>
      <c r="Q2" s="74"/>
      <c r="R2" s="74"/>
    </row>
    <row r="3" spans="1:18" x14ac:dyDescent="0.35">
      <c r="A3" t="s">
        <v>35</v>
      </c>
      <c r="B3">
        <v>24</v>
      </c>
      <c r="C3">
        <v>15</v>
      </c>
      <c r="D3" t="s">
        <v>22</v>
      </c>
      <c r="E3" s="2">
        <v>41383.000011574077</v>
      </c>
      <c r="F3" s="2">
        <v>36841</v>
      </c>
      <c r="G3" s="13">
        <v>19.679972863926899</v>
      </c>
      <c r="H3" s="13">
        <v>22.9920399034783</v>
      </c>
      <c r="I3" s="12">
        <v>280.07</v>
      </c>
      <c r="J3" s="12">
        <v>679.64</v>
      </c>
    </row>
    <row r="4" spans="1:18" x14ac:dyDescent="0.35">
      <c r="A4" t="s">
        <v>35</v>
      </c>
      <c r="B4">
        <v>26</v>
      </c>
      <c r="C4">
        <v>15</v>
      </c>
      <c r="D4" t="s">
        <v>22</v>
      </c>
      <c r="E4" s="2">
        <v>41439.000011574077</v>
      </c>
      <c r="F4" s="2">
        <v>36841</v>
      </c>
      <c r="G4" s="13">
        <v>139.70998660100699</v>
      </c>
      <c r="H4" s="13">
        <v>22.9920399034783</v>
      </c>
      <c r="I4" s="12">
        <v>37.988199999999999</v>
      </c>
      <c r="J4" s="12">
        <v>679.64009999999996</v>
      </c>
    </row>
    <row r="5" spans="1:18" x14ac:dyDescent="0.35">
      <c r="A5" t="s">
        <v>35</v>
      </c>
      <c r="B5">
        <v>29</v>
      </c>
      <c r="C5">
        <v>15</v>
      </c>
      <c r="D5" t="s">
        <v>22</v>
      </c>
      <c r="E5" s="2">
        <v>41794.000011574077</v>
      </c>
      <c r="F5" s="2">
        <v>36841</v>
      </c>
      <c r="G5" s="13">
        <v>18.249684960674401</v>
      </c>
      <c r="H5" s="13">
        <v>22.9920399034783</v>
      </c>
      <c r="I5" s="12">
        <v>358.11520000000002</v>
      </c>
      <c r="J5" s="12">
        <v>679.64009999999996</v>
      </c>
    </row>
    <row r="6" spans="1:18" x14ac:dyDescent="0.35">
      <c r="A6" t="s">
        <v>35</v>
      </c>
      <c r="B6">
        <v>31</v>
      </c>
      <c r="C6">
        <v>15</v>
      </c>
      <c r="D6" t="s">
        <v>22</v>
      </c>
      <c r="E6" s="2">
        <v>41976</v>
      </c>
      <c r="F6" s="2">
        <v>36841</v>
      </c>
      <c r="G6" s="13">
        <v>168.57001179118001</v>
      </c>
      <c r="H6" s="13">
        <v>22.9920399034783</v>
      </c>
      <c r="I6" s="12">
        <v>39.353999999999999</v>
      </c>
      <c r="J6" s="12">
        <v>679.64009999999996</v>
      </c>
    </row>
    <row r="7" spans="1:18" x14ac:dyDescent="0.35">
      <c r="A7" t="s">
        <v>35</v>
      </c>
      <c r="B7">
        <v>92</v>
      </c>
      <c r="C7">
        <v>15</v>
      </c>
      <c r="D7" t="s">
        <v>22</v>
      </c>
      <c r="E7" s="2">
        <v>42202.719108796293</v>
      </c>
      <c r="F7" s="2">
        <v>36841</v>
      </c>
      <c r="G7" s="13">
        <v>18.393100097181701</v>
      </c>
      <c r="H7" s="13">
        <v>22.9920399034783</v>
      </c>
      <c r="I7" s="12">
        <v>443.13400000000001</v>
      </c>
      <c r="J7" s="12">
        <v>679.64009999999996</v>
      </c>
    </row>
    <row r="8" spans="1:18" x14ac:dyDescent="0.35">
      <c r="A8" t="s">
        <v>35</v>
      </c>
      <c r="B8">
        <v>101</v>
      </c>
      <c r="C8">
        <v>15</v>
      </c>
      <c r="D8" t="s">
        <v>22</v>
      </c>
      <c r="E8" s="2">
        <v>42279.463807870372</v>
      </c>
      <c r="F8" s="2">
        <v>36841</v>
      </c>
      <c r="G8" s="13">
        <v>323.52997894904399</v>
      </c>
      <c r="H8" s="13">
        <v>22.9920399034783</v>
      </c>
      <c r="I8" s="12">
        <v>24.7409</v>
      </c>
      <c r="J8" s="12">
        <v>679.64009999999996</v>
      </c>
    </row>
    <row r="9" spans="1:18" x14ac:dyDescent="0.35">
      <c r="A9" t="s">
        <v>35</v>
      </c>
      <c r="B9">
        <v>173</v>
      </c>
      <c r="C9">
        <v>15</v>
      </c>
      <c r="D9" t="s">
        <v>22</v>
      </c>
      <c r="E9" s="2">
        <v>43525.444016203706</v>
      </c>
      <c r="F9" s="2">
        <v>36841</v>
      </c>
      <c r="G9" s="13">
        <v>17.05</v>
      </c>
      <c r="H9" s="13">
        <v>22.9920399034783</v>
      </c>
      <c r="I9" s="12">
        <v>544.95190000000002</v>
      </c>
      <c r="J9" s="12">
        <v>679.64009999999996</v>
      </c>
    </row>
    <row r="10" spans="1:18" x14ac:dyDescent="0.35">
      <c r="A10" s="74" t="s">
        <v>35</v>
      </c>
      <c r="B10" s="74">
        <v>199</v>
      </c>
      <c r="C10" s="74">
        <v>15</v>
      </c>
      <c r="D10" s="74" t="s">
        <v>22</v>
      </c>
      <c r="E10" s="75">
        <v>44476.938761574071</v>
      </c>
      <c r="F10" s="75">
        <v>36841</v>
      </c>
      <c r="G10" s="76">
        <v>13.0395035545595</v>
      </c>
      <c r="H10" s="76">
        <v>22.9920399034783</v>
      </c>
      <c r="I10" s="73">
        <v>765.3691</v>
      </c>
      <c r="J10" s="73">
        <v>357.97120000000001</v>
      </c>
      <c r="K10" s="72"/>
      <c r="L10" s="73"/>
      <c r="M10" s="74"/>
      <c r="N10" s="74"/>
      <c r="O10" s="74"/>
      <c r="P10" s="74"/>
      <c r="Q10" s="74"/>
      <c r="R10" s="74"/>
    </row>
    <row r="11" spans="1:18" x14ac:dyDescent="0.35">
      <c r="A11" s="23" t="s">
        <v>36</v>
      </c>
      <c r="B11" s="23">
        <v>1229</v>
      </c>
      <c r="C11" s="23"/>
      <c r="D11" s="23"/>
      <c r="E11" s="24">
        <v>44844.783541666664</v>
      </c>
      <c r="F11" s="24"/>
      <c r="G11" s="26">
        <v>12.534000000000001</v>
      </c>
      <c r="H11" s="26"/>
      <c r="I11" s="25">
        <v>765.3691</v>
      </c>
      <c r="J11" s="25">
        <f>J10/I10*I11</f>
        <v>357.97120000000001</v>
      </c>
      <c r="K11" s="44">
        <f>'Orig Vendes Reals 29'!K3</f>
        <v>765.3691</v>
      </c>
      <c r="L11" s="25">
        <f>J10/I10*K11</f>
        <v>357.97120000000001</v>
      </c>
      <c r="M11" s="23"/>
      <c r="N11" s="23"/>
      <c r="O11" s="23"/>
      <c r="P11" s="23"/>
      <c r="Q11" s="23"/>
      <c r="R11" s="23"/>
    </row>
    <row r="12" spans="1:18" x14ac:dyDescent="0.35">
      <c r="A12" t="s">
        <v>35</v>
      </c>
      <c r="B12">
        <v>201</v>
      </c>
      <c r="C12">
        <v>15</v>
      </c>
      <c r="D12" t="s">
        <v>22</v>
      </c>
      <c r="E12" s="2">
        <v>44477.938761574071</v>
      </c>
      <c r="F12" s="2">
        <v>36841</v>
      </c>
      <c r="G12" s="13">
        <v>1904.1616206589399</v>
      </c>
      <c r="H12" s="13">
        <v>22.9920399034783</v>
      </c>
      <c r="I12" s="12">
        <v>4.6418999999999997</v>
      </c>
      <c r="J12" s="12">
        <v>321.66890000000001</v>
      </c>
    </row>
    <row r="13" spans="1:18" x14ac:dyDescent="0.35">
      <c r="A13" t="s">
        <v>35</v>
      </c>
      <c r="B13">
        <v>1231</v>
      </c>
      <c r="C13">
        <v>15</v>
      </c>
      <c r="D13" t="s">
        <v>22</v>
      </c>
      <c r="E13" s="2">
        <v>44861.454050925924</v>
      </c>
      <c r="F13" s="2">
        <v>36841</v>
      </c>
      <c r="G13" s="13">
        <v>10.282472605653799</v>
      </c>
      <c r="H13" s="13">
        <v>22.9920399034783</v>
      </c>
      <c r="I13" s="12">
        <v>810.69650000000001</v>
      </c>
      <c r="J13" s="12">
        <v>321.66890000000001</v>
      </c>
    </row>
    <row r="14" spans="1:18" x14ac:dyDescent="0.35">
      <c r="A14" s="74" t="s">
        <v>35</v>
      </c>
      <c r="B14" s="74">
        <v>1239</v>
      </c>
      <c r="C14" s="74">
        <v>15</v>
      </c>
      <c r="D14" s="74" t="s">
        <v>22</v>
      </c>
      <c r="E14" s="75">
        <v>44893.572569444441</v>
      </c>
      <c r="F14" s="75">
        <v>36841</v>
      </c>
      <c r="G14" s="76">
        <v>433.54192724694099</v>
      </c>
      <c r="H14" s="76">
        <v>22.9920399034783</v>
      </c>
      <c r="I14" s="73">
        <v>18.6356</v>
      </c>
      <c r="J14" s="73">
        <v>321.66890000000001</v>
      </c>
      <c r="K14" s="72"/>
      <c r="L14" s="73"/>
      <c r="M14" s="74"/>
      <c r="N14" s="74"/>
      <c r="O14" s="74"/>
      <c r="P14" s="74"/>
      <c r="Q14" s="74"/>
      <c r="R14" s="74"/>
    </row>
    <row r="15" spans="1:18" x14ac:dyDescent="0.35">
      <c r="A15" s="23" t="s">
        <v>36</v>
      </c>
      <c r="B15" s="23">
        <v>1278</v>
      </c>
      <c r="C15" s="23"/>
      <c r="D15" s="23"/>
      <c r="E15" s="24">
        <v>45495.441631944443</v>
      </c>
      <c r="F15" s="24"/>
      <c r="G15" s="26">
        <v>457.74209999999999</v>
      </c>
      <c r="H15" s="26"/>
      <c r="I15" s="25">
        <v>18.635999999999999</v>
      </c>
      <c r="J15" s="25">
        <f>J14/I14*I15</f>
        <v>321.67580439588738</v>
      </c>
      <c r="K15" s="44">
        <f>'Orig Vendes Reals 28'!K3</f>
        <v>18.6356</v>
      </c>
      <c r="L15" s="25">
        <f>J14/I14*K15</f>
        <v>321.66890000000001</v>
      </c>
      <c r="M15" s="23"/>
      <c r="N15" s="23"/>
      <c r="O15" s="23"/>
      <c r="P15" s="23"/>
      <c r="Q15" s="23"/>
      <c r="R15" s="23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B651D-D697-41A4-8221-3723E73B1D85}">
  <sheetPr>
    <tabColor rgb="FFC00000"/>
  </sheetPr>
  <dimension ref="A1:Q39"/>
  <sheetViews>
    <sheetView zoomScale="130" zoomScaleNormal="130" workbookViewId="0">
      <pane ySplit="1" topLeftCell="A2" activePane="bottomLeft" state="frozen"/>
      <selection activeCell="D8" sqref="D8"/>
      <selection pane="bottomLeft" activeCell="F8" sqref="F8"/>
    </sheetView>
  </sheetViews>
  <sheetFormatPr defaultRowHeight="14.5" x14ac:dyDescent="0.35"/>
  <cols>
    <col min="1" max="1" width="5.08984375" customWidth="1"/>
    <col min="2" max="2" width="9.453125" customWidth="1"/>
    <col min="3" max="3" width="10.6328125" bestFit="1" customWidth="1"/>
    <col min="4" max="4" width="9.26953125" bestFit="1" customWidth="1"/>
    <col min="6" max="6" width="11.90625" bestFit="1" customWidth="1"/>
    <col min="7" max="7" width="1.6328125" customWidth="1"/>
    <col min="8" max="8" width="10.08984375" bestFit="1" customWidth="1"/>
    <col min="9" max="9" width="9.26953125" customWidth="1"/>
    <col min="10" max="10" width="14.90625" bestFit="1" customWidth="1"/>
    <col min="11" max="11" width="14.36328125" customWidth="1"/>
    <col min="12" max="12" width="11.1796875" bestFit="1" customWidth="1"/>
    <col min="13" max="14" width="10.81640625" bestFit="1" customWidth="1"/>
  </cols>
  <sheetData>
    <row r="1" spans="1:17" ht="29" x14ac:dyDescent="0.35">
      <c r="A1" s="48"/>
      <c r="B1" s="48"/>
      <c r="C1" s="48"/>
      <c r="D1" s="48" t="s">
        <v>2</v>
      </c>
      <c r="E1" s="48" t="s">
        <v>3</v>
      </c>
      <c r="F1" s="48" t="s">
        <v>42</v>
      </c>
      <c r="G1" s="48"/>
      <c r="H1" s="48" t="s">
        <v>43</v>
      </c>
      <c r="I1" s="48" t="s">
        <v>44</v>
      </c>
      <c r="J1" s="48" t="s">
        <v>45</v>
      </c>
      <c r="K1" s="11" t="s">
        <v>66</v>
      </c>
      <c r="L1" s="48" t="s">
        <v>46</v>
      </c>
      <c r="M1" s="48" t="s">
        <v>47</v>
      </c>
      <c r="N1" s="48" t="s">
        <v>65</v>
      </c>
      <c r="O1" s="48"/>
      <c r="P1" s="48"/>
      <c r="Q1" s="48"/>
    </row>
    <row r="2" spans="1:17" x14ac:dyDescent="0.35">
      <c r="A2" s="1">
        <v>173</v>
      </c>
      <c r="B2" s="1" t="s">
        <v>0</v>
      </c>
      <c r="C2" s="3">
        <v>43525</v>
      </c>
      <c r="D2" s="49">
        <v>1778.69</v>
      </c>
      <c r="E2" s="50">
        <v>17.05</v>
      </c>
      <c r="F2" s="50">
        <f>D2*E2</f>
        <v>30326.664500000003</v>
      </c>
      <c r="H2" s="12">
        <f>D2</f>
        <v>1778.69</v>
      </c>
      <c r="I2" s="12">
        <f>SUM(D3:D8)+D11</f>
        <v>1642.08</v>
      </c>
      <c r="J2" s="12">
        <f>D2-I2</f>
        <v>136.61000000000013</v>
      </c>
      <c r="K2" s="12">
        <f>E2*J2</f>
        <v>2329.2005000000022</v>
      </c>
      <c r="L2" s="28">
        <f>(SUM(F3:F8)+F11)-I2*E2</f>
        <v>28023.201999999997</v>
      </c>
      <c r="M2" s="13">
        <f>(E12-E2)*J2</f>
        <v>4027.2628000000036</v>
      </c>
      <c r="N2" s="28">
        <f>L2+M2</f>
        <v>32050.464800000002</v>
      </c>
    </row>
    <row r="3" spans="1:17" x14ac:dyDescent="0.35">
      <c r="A3" s="1">
        <v>198</v>
      </c>
      <c r="B3" s="1" t="s">
        <v>48</v>
      </c>
      <c r="C3" s="3">
        <v>44470</v>
      </c>
      <c r="D3" s="49">
        <v>287.02999999999997</v>
      </c>
      <c r="E3" s="50">
        <v>34.770000000000003</v>
      </c>
      <c r="F3" s="50">
        <f t="shared" ref="F3:F11" si="0">D3*E3</f>
        <v>9980.0331000000006</v>
      </c>
      <c r="H3" s="12">
        <f t="shared" ref="H3:H8" si="1">H2-D3</f>
        <v>1491.66</v>
      </c>
      <c r="I3" s="12"/>
      <c r="J3" s="12"/>
      <c r="K3" s="12"/>
      <c r="L3" s="28"/>
      <c r="M3" s="28"/>
    </row>
    <row r="4" spans="1:17" x14ac:dyDescent="0.35">
      <c r="A4" s="1">
        <v>200</v>
      </c>
      <c r="B4" s="1" t="s">
        <v>48</v>
      </c>
      <c r="C4" s="3">
        <v>44473</v>
      </c>
      <c r="D4" s="49">
        <v>287.02999999999997</v>
      </c>
      <c r="E4" s="50">
        <v>34.270000000000003</v>
      </c>
      <c r="F4" s="50">
        <f t="shared" si="0"/>
        <v>9836.5180999999993</v>
      </c>
      <c r="H4" s="12">
        <f t="shared" si="1"/>
        <v>1204.6300000000001</v>
      </c>
      <c r="I4" s="12"/>
      <c r="J4" s="12"/>
      <c r="K4" s="12"/>
      <c r="L4" s="28"/>
      <c r="M4" s="28"/>
    </row>
    <row r="5" spans="1:17" x14ac:dyDescent="0.35">
      <c r="A5" s="1">
        <v>216</v>
      </c>
      <c r="B5" s="1" t="s">
        <v>48</v>
      </c>
      <c r="C5" s="3">
        <v>44720</v>
      </c>
      <c r="D5" s="49">
        <v>296.82</v>
      </c>
      <c r="E5" s="50">
        <v>33.909999999999997</v>
      </c>
      <c r="F5" s="50">
        <f t="shared" si="0"/>
        <v>10065.1662</v>
      </c>
      <c r="H5" s="12">
        <f t="shared" si="1"/>
        <v>907.81000000000017</v>
      </c>
      <c r="I5" s="12"/>
      <c r="L5" s="28"/>
      <c r="M5" s="28"/>
    </row>
    <row r="6" spans="1:17" x14ac:dyDescent="0.35">
      <c r="A6" s="1">
        <v>1227</v>
      </c>
      <c r="B6" s="1" t="s">
        <v>48</v>
      </c>
      <c r="C6" s="3">
        <v>44831</v>
      </c>
      <c r="D6" s="49">
        <v>308.74</v>
      </c>
      <c r="E6" s="50">
        <v>32.26</v>
      </c>
      <c r="F6" s="50">
        <f t="shared" si="0"/>
        <v>9959.9524000000001</v>
      </c>
      <c r="H6" s="12">
        <f t="shared" si="1"/>
        <v>599.07000000000016</v>
      </c>
      <c r="I6" s="12"/>
      <c r="L6" s="28"/>
      <c r="M6" s="28"/>
    </row>
    <row r="7" spans="1:17" x14ac:dyDescent="0.35">
      <c r="A7" s="1">
        <v>1247</v>
      </c>
      <c r="B7" s="1" t="s">
        <v>48</v>
      </c>
      <c r="C7" s="3">
        <v>45028</v>
      </c>
      <c r="D7" s="49">
        <v>172.46</v>
      </c>
      <c r="E7" s="50">
        <v>34.47</v>
      </c>
      <c r="F7" s="50">
        <f t="shared" si="0"/>
        <v>5944.6962000000003</v>
      </c>
      <c r="H7" s="12">
        <f t="shared" si="1"/>
        <v>426.61000000000013</v>
      </c>
      <c r="I7" s="12"/>
      <c r="L7" s="28"/>
      <c r="M7" s="28"/>
    </row>
    <row r="8" spans="1:17" x14ac:dyDescent="0.35">
      <c r="A8" s="1">
        <v>1251</v>
      </c>
      <c r="B8" s="1" t="s">
        <v>1</v>
      </c>
      <c r="C8" s="3">
        <v>45054</v>
      </c>
      <c r="D8" s="49">
        <v>270</v>
      </c>
      <c r="E8" s="50">
        <v>34.29</v>
      </c>
      <c r="F8" s="50">
        <f t="shared" si="0"/>
        <v>9258.2999999999993</v>
      </c>
      <c r="H8" s="12">
        <f t="shared" si="1"/>
        <v>156.61000000000013</v>
      </c>
      <c r="I8" s="12"/>
      <c r="L8" s="28"/>
      <c r="M8" s="28"/>
    </row>
    <row r="9" spans="1:17" x14ac:dyDescent="0.35">
      <c r="A9" s="1">
        <v>1273</v>
      </c>
      <c r="B9" s="1" t="s">
        <v>0</v>
      </c>
      <c r="C9" s="3">
        <v>45356</v>
      </c>
      <c r="D9" s="49">
        <v>266.58999999999997</v>
      </c>
      <c r="E9" s="50">
        <v>44.920825999999998</v>
      </c>
      <c r="F9" s="50">
        <f t="shared" si="0"/>
        <v>11975.443003339999</v>
      </c>
      <c r="H9" s="12">
        <f>H8+D9</f>
        <v>423.2000000000001</v>
      </c>
      <c r="I9" s="12"/>
      <c r="J9" s="12">
        <f>D9</f>
        <v>266.58999999999997</v>
      </c>
      <c r="K9" s="12">
        <f>E9*J9</f>
        <v>11975.443003339999</v>
      </c>
      <c r="L9" s="28">
        <v>0</v>
      </c>
      <c r="M9" s="13">
        <f>(E$12-E9)*J9</f>
        <v>428.98969666000073</v>
      </c>
      <c r="N9" s="28">
        <f>L9+M9</f>
        <v>428.98969666000073</v>
      </c>
    </row>
    <row r="10" spans="1:17" x14ac:dyDescent="0.35">
      <c r="A10" s="1">
        <v>1275</v>
      </c>
      <c r="B10" s="1" t="s">
        <v>0</v>
      </c>
      <c r="C10" s="3">
        <v>45478</v>
      </c>
      <c r="D10" s="49">
        <v>301.27</v>
      </c>
      <c r="E10" s="50">
        <v>49.440100200000003</v>
      </c>
      <c r="F10" s="50">
        <f t="shared" si="0"/>
        <v>14894.818987254001</v>
      </c>
      <c r="H10" s="12">
        <f>H9+D10</f>
        <v>724.47</v>
      </c>
      <c r="I10" s="12"/>
      <c r="J10" s="12">
        <f>D10</f>
        <v>301.27</v>
      </c>
      <c r="K10" s="12">
        <f>E10*J10</f>
        <v>14894.818987254001</v>
      </c>
      <c r="L10" s="28">
        <v>0</v>
      </c>
      <c r="M10" s="13">
        <f>(E$12-E10)*J10</f>
        <v>-876.72588725400067</v>
      </c>
      <c r="N10" s="28">
        <f>L10+M10</f>
        <v>-876.72588725400067</v>
      </c>
    </row>
    <row r="11" spans="1:17" x14ac:dyDescent="0.35">
      <c r="A11" s="1">
        <v>1279</v>
      </c>
      <c r="B11" s="1" t="s">
        <v>48</v>
      </c>
      <c r="C11" s="3">
        <v>45495</v>
      </c>
      <c r="D11" s="49">
        <v>20</v>
      </c>
      <c r="E11" s="50">
        <v>48.8</v>
      </c>
      <c r="F11" s="50">
        <f t="shared" si="0"/>
        <v>976</v>
      </c>
      <c r="H11" s="12">
        <f>H10-D11</f>
        <v>704.47</v>
      </c>
      <c r="I11" s="12"/>
      <c r="L11" s="28"/>
      <c r="M11" s="28"/>
    </row>
    <row r="12" spans="1:17" x14ac:dyDescent="0.35">
      <c r="B12" s="51" t="s">
        <v>45</v>
      </c>
      <c r="C12" s="47"/>
      <c r="D12" s="33">
        <f>H11</f>
        <v>704.47</v>
      </c>
      <c r="E12" s="9">
        <v>46.53</v>
      </c>
      <c r="F12" s="9">
        <f>D12*E12</f>
        <v>32778.989099999999</v>
      </c>
      <c r="J12" s="33">
        <f>SUM(J2:J11)</f>
        <v>704.47</v>
      </c>
      <c r="K12" s="33"/>
      <c r="L12" s="52"/>
      <c r="M12" s="52"/>
    </row>
    <row r="13" spans="1:17" ht="15" thickBot="1" x14ac:dyDescent="0.4">
      <c r="J13" s="8" t="s">
        <v>49</v>
      </c>
      <c r="K13" s="27">
        <f>SUM(K2:K12)</f>
        <v>29199.462490594</v>
      </c>
      <c r="L13" s="52">
        <f>SUM(L2:L12)</f>
        <v>28023.201999999997</v>
      </c>
      <c r="M13" s="27">
        <f>SUM(M2:M12)</f>
        <v>3579.5266094060034</v>
      </c>
      <c r="N13" s="52">
        <f>SUM(N2:N12)</f>
        <v>31602.728609406</v>
      </c>
    </row>
    <row r="14" spans="1:17" ht="15" thickBot="1" x14ac:dyDescent="0.4">
      <c r="D14" s="53"/>
      <c r="E14" s="54" t="s">
        <v>50</v>
      </c>
      <c r="F14" s="55">
        <f>D8*(E8-E2)</f>
        <v>4654.7999999999993</v>
      </c>
      <c r="H14" s="12"/>
    </row>
    <row r="15" spans="1:17" ht="15" thickBot="1" x14ac:dyDescent="0.4">
      <c r="D15" s="53"/>
      <c r="E15" s="54" t="s">
        <v>51</v>
      </c>
      <c r="F15" s="55">
        <f>D11*(E11-E2)</f>
        <v>634.99999999999989</v>
      </c>
      <c r="H15" s="12"/>
      <c r="I15">
        <v>173</v>
      </c>
      <c r="J15" s="10">
        <f>J2*E2</f>
        <v>2329.2005000000022</v>
      </c>
      <c r="K15" s="10"/>
    </row>
    <row r="16" spans="1:17" x14ac:dyDescent="0.35">
      <c r="F16" s="10"/>
      <c r="I16">
        <v>1273</v>
      </c>
      <c r="J16" s="10">
        <f>J9*E9</f>
        <v>11975.443003339999</v>
      </c>
      <c r="K16" s="10"/>
      <c r="L16" s="78">
        <v>238.36680000000001</v>
      </c>
      <c r="M16" s="78">
        <v>28.223199999999999</v>
      </c>
      <c r="N16" s="79">
        <f>+L16+M16</f>
        <v>266.59000000000003</v>
      </c>
    </row>
    <row r="17" spans="1:15" x14ac:dyDescent="0.35">
      <c r="I17">
        <v>1275</v>
      </c>
      <c r="J17" s="10">
        <f>J10*E10</f>
        <v>14894.818987254001</v>
      </c>
      <c r="K17" s="10"/>
      <c r="L17" s="78">
        <v>97.849199999999996</v>
      </c>
      <c r="M17" s="78">
        <v>20.558299999999999</v>
      </c>
      <c r="N17" s="78">
        <v>182.86250000000001</v>
      </c>
      <c r="O17" s="79">
        <f>SUM(L17:N17)</f>
        <v>301.27</v>
      </c>
    </row>
    <row r="18" spans="1:15" x14ac:dyDescent="0.35">
      <c r="J18" s="80">
        <f>SUM(J15:J17)</f>
        <v>29199.462490594</v>
      </c>
      <c r="K18" s="80"/>
    </row>
    <row r="19" spans="1:15" x14ac:dyDescent="0.35">
      <c r="J19" s="10"/>
      <c r="K19" s="10"/>
    </row>
    <row r="20" spans="1:15" x14ac:dyDescent="0.35">
      <c r="A20" s="85" t="s">
        <v>69</v>
      </c>
      <c r="B20" s="1"/>
      <c r="C20" s="3"/>
      <c r="D20" s="1"/>
      <c r="E20" s="5"/>
      <c r="F20" s="5"/>
      <c r="J20" s="10"/>
      <c r="K20" s="10"/>
    </row>
    <row r="21" spans="1:15" x14ac:dyDescent="0.35">
      <c r="A21" s="1">
        <v>1263</v>
      </c>
      <c r="B21" s="1" t="s">
        <v>67</v>
      </c>
      <c r="C21" s="3">
        <v>45209</v>
      </c>
      <c r="D21" s="1">
        <v>116.8907</v>
      </c>
      <c r="E21" s="5">
        <v>85.55</v>
      </c>
      <c r="F21" s="5">
        <v>10000</v>
      </c>
      <c r="J21" s="12">
        <f>D21</f>
        <v>116.8907</v>
      </c>
      <c r="K21" s="10"/>
      <c r="M21" s="10">
        <f>(E22-E21)*J21</f>
        <v>439.50903200000056</v>
      </c>
    </row>
    <row r="22" spans="1:15" x14ac:dyDescent="0.35">
      <c r="E22" s="82">
        <v>89.31</v>
      </c>
    </row>
    <row r="23" spans="1:15" x14ac:dyDescent="0.35">
      <c r="A23" s="47" t="s">
        <v>70</v>
      </c>
    </row>
    <row r="24" spans="1:15" x14ac:dyDescent="0.35">
      <c r="A24" s="1">
        <v>1280</v>
      </c>
      <c r="B24" s="1" t="s">
        <v>0</v>
      </c>
      <c r="C24" s="3">
        <v>45495</v>
      </c>
      <c r="D24" s="1">
        <v>20.32</v>
      </c>
      <c r="E24" s="5">
        <v>48.020200000000003</v>
      </c>
      <c r="F24" s="5">
        <v>975.77</v>
      </c>
      <c r="J24" s="12">
        <f>D24</f>
        <v>20.32</v>
      </c>
      <c r="K24" s="10"/>
      <c r="M24" s="10">
        <f>(E25-E24)*J24</f>
        <v>-49.601120000000051</v>
      </c>
    </row>
    <row r="25" spans="1:15" x14ac:dyDescent="0.35">
      <c r="E25" s="9">
        <v>45.5792</v>
      </c>
      <c r="J25" s="10"/>
      <c r="K25" s="10"/>
    </row>
    <row r="26" spans="1:15" x14ac:dyDescent="0.35">
      <c r="A26" s="47" t="s">
        <v>71</v>
      </c>
      <c r="I26" s="47" t="s">
        <v>74</v>
      </c>
      <c r="J26" s="10"/>
      <c r="K26" s="10"/>
      <c r="N26" s="47" t="s">
        <v>72</v>
      </c>
    </row>
    <row r="27" spans="1:15" x14ac:dyDescent="0.35">
      <c r="A27" s="1">
        <v>1286</v>
      </c>
      <c r="B27" s="1" t="s">
        <v>67</v>
      </c>
      <c r="C27" s="3">
        <v>45539</v>
      </c>
      <c r="D27" s="1">
        <v>50</v>
      </c>
      <c r="E27" s="5">
        <v>19.97</v>
      </c>
      <c r="F27" s="5">
        <v>998.5</v>
      </c>
      <c r="G27" s="5">
        <v>1005.78</v>
      </c>
      <c r="H27" s="1"/>
      <c r="I27" s="5">
        <v>7.28</v>
      </c>
      <c r="J27" s="12">
        <f>D27</f>
        <v>50</v>
      </c>
      <c r="K27" s="10"/>
      <c r="M27" s="10">
        <f>(E28-E27)*J27</f>
        <v>27.000000000000135</v>
      </c>
      <c r="N27" s="10">
        <f>M27-I27</f>
        <v>19.720000000000134</v>
      </c>
    </row>
    <row r="28" spans="1:15" x14ac:dyDescent="0.35">
      <c r="E28" s="9">
        <v>20.51</v>
      </c>
    </row>
    <row r="29" spans="1:15" x14ac:dyDescent="0.35">
      <c r="A29" s="47" t="s">
        <v>73</v>
      </c>
    </row>
    <row r="30" spans="1:15" x14ac:dyDescent="0.35">
      <c r="A30" s="1">
        <v>1288</v>
      </c>
      <c r="B30" s="1" t="s">
        <v>67</v>
      </c>
      <c r="C30" s="3">
        <v>45545</v>
      </c>
      <c r="D30" s="86">
        <v>1000</v>
      </c>
      <c r="E30" s="5">
        <v>19.899999999999999</v>
      </c>
      <c r="F30" s="5">
        <v>19900</v>
      </c>
      <c r="G30" s="5">
        <v>19901</v>
      </c>
      <c r="H30" s="1"/>
      <c r="I30" s="5">
        <v>1</v>
      </c>
      <c r="J30" s="12">
        <f>D30</f>
        <v>1000</v>
      </c>
      <c r="K30" s="10"/>
      <c r="M30" s="10">
        <f>(E31-E30)*J30</f>
        <v>614.0000000000008</v>
      </c>
      <c r="N30" s="10">
        <f>M30-I30</f>
        <v>613.0000000000008</v>
      </c>
    </row>
    <row r="31" spans="1:15" x14ac:dyDescent="0.35">
      <c r="E31" s="9">
        <v>20.513999999999999</v>
      </c>
    </row>
    <row r="33" spans="5:6" x14ac:dyDescent="0.35">
      <c r="E33" t="s">
        <v>1</v>
      </c>
      <c r="F33">
        <v>11025.76</v>
      </c>
    </row>
    <row r="34" spans="5:6" x14ac:dyDescent="0.35">
      <c r="E34" t="s">
        <v>67</v>
      </c>
      <c r="F34">
        <v>9979.52</v>
      </c>
    </row>
    <row r="35" spans="5:6" x14ac:dyDescent="0.35">
      <c r="F35">
        <f>+F33-F34</f>
        <v>1046.2399999999998</v>
      </c>
    </row>
    <row r="37" spans="5:6" x14ac:dyDescent="0.35">
      <c r="E37">
        <v>469.02</v>
      </c>
    </row>
    <row r="38" spans="5:6" x14ac:dyDescent="0.35">
      <c r="E38">
        <v>482.6</v>
      </c>
    </row>
    <row r="39" spans="5:6" x14ac:dyDescent="0.35">
      <c r="E39">
        <f>+E37-E38</f>
        <v>-13.580000000000041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EC71B-2532-4A62-94EF-0DE46CC88DEB}">
  <sheetPr>
    <tabColor rgb="FFC00000"/>
  </sheetPr>
  <dimension ref="A1:AC34"/>
  <sheetViews>
    <sheetView tabSelected="1" zoomScale="145" zoomScaleNormal="145" workbookViewId="0">
      <pane ySplit="1" topLeftCell="A14" activePane="bottomLeft" state="frozen"/>
      <selection activeCell="D8" sqref="D8"/>
      <selection pane="bottomLeft" activeCell="G22" sqref="G22"/>
    </sheetView>
  </sheetViews>
  <sheetFormatPr defaultRowHeight="14.5" x14ac:dyDescent="0.35"/>
  <cols>
    <col min="1" max="1" width="4.7265625" customWidth="1"/>
    <col min="2" max="2" width="5.1796875" bestFit="1" customWidth="1"/>
    <col min="3" max="3" width="4.90625" customWidth="1"/>
    <col min="4" max="4" width="11.36328125" customWidth="1"/>
    <col min="5" max="5" width="11.81640625" customWidth="1"/>
    <col min="6" max="6" width="11" bestFit="1" customWidth="1"/>
    <col min="7" max="7" width="8.81640625" customWidth="1"/>
    <col min="8" max="8" width="9.1796875" bestFit="1" customWidth="1"/>
    <col min="9" max="9" width="8.54296875" bestFit="1" customWidth="1"/>
    <col min="10" max="10" width="7.6328125" customWidth="1"/>
    <col min="11" max="11" width="9.1796875" bestFit="1" customWidth="1"/>
    <col min="12" max="13" width="8.81640625" customWidth="1"/>
    <col min="14" max="14" width="10.453125" customWidth="1"/>
    <col min="15" max="15" width="11.26953125" bestFit="1" customWidth="1"/>
    <col min="16" max="16" width="11.453125" customWidth="1"/>
    <col min="17" max="17" width="12.08984375" bestFit="1" customWidth="1"/>
    <col min="18" max="18" width="11.7265625" bestFit="1" customWidth="1"/>
    <col min="19" max="19" width="11.90625" bestFit="1" customWidth="1"/>
  </cols>
  <sheetData>
    <row r="1" spans="1:19" ht="31.5" customHeight="1" x14ac:dyDescent="0.35">
      <c r="A1" s="7" t="s">
        <v>34</v>
      </c>
      <c r="B1" s="14" t="s">
        <v>6</v>
      </c>
      <c r="C1" s="7" t="s">
        <v>5</v>
      </c>
      <c r="D1" s="7" t="s">
        <v>21</v>
      </c>
      <c r="E1" s="15" t="s">
        <v>27</v>
      </c>
      <c r="F1" s="7" t="s">
        <v>7</v>
      </c>
      <c r="G1" s="48" t="s">
        <v>3</v>
      </c>
      <c r="H1" s="48" t="s">
        <v>18</v>
      </c>
      <c r="I1" s="14" t="s">
        <v>2</v>
      </c>
      <c r="J1" s="7" t="s">
        <v>13</v>
      </c>
      <c r="K1" s="7" t="s">
        <v>8</v>
      </c>
      <c r="L1" s="7" t="s">
        <v>14</v>
      </c>
      <c r="M1" s="7" t="s">
        <v>15</v>
      </c>
      <c r="N1" s="7" t="s">
        <v>16</v>
      </c>
      <c r="O1" s="11" t="s">
        <v>19</v>
      </c>
      <c r="P1" s="7" t="s">
        <v>52</v>
      </c>
      <c r="Q1" s="7" t="s">
        <v>20</v>
      </c>
      <c r="R1" s="7" t="s">
        <v>17</v>
      </c>
      <c r="S1" s="7" t="s">
        <v>65</v>
      </c>
    </row>
    <row r="2" spans="1:19" x14ac:dyDescent="0.35">
      <c r="A2" s="19" t="s">
        <v>35</v>
      </c>
      <c r="B2" s="19">
        <v>173</v>
      </c>
      <c r="C2" s="19">
        <v>15</v>
      </c>
      <c r="D2" s="19" t="s">
        <v>22</v>
      </c>
      <c r="E2" s="20">
        <v>43525</v>
      </c>
      <c r="F2" s="20">
        <v>36841</v>
      </c>
      <c r="G2" s="57">
        <v>17.05</v>
      </c>
      <c r="H2" s="22">
        <v>22.9920399034783</v>
      </c>
      <c r="I2" s="56">
        <v>544.952</v>
      </c>
      <c r="J2" s="19">
        <v>679.64009999999996</v>
      </c>
      <c r="K2" s="56">
        <f>SUM(K3:K4)</f>
        <v>544.952</v>
      </c>
      <c r="L2" s="19">
        <v>679.64009999999996</v>
      </c>
      <c r="M2" s="21">
        <f>I2-K2</f>
        <v>0</v>
      </c>
      <c r="N2" s="21">
        <f>J2/I2*M2</f>
        <v>0</v>
      </c>
      <c r="O2" s="58">
        <f>H2*L2</f>
        <v>15626.312299203981</v>
      </c>
      <c r="P2" s="22">
        <f>N2*H2</f>
        <v>0</v>
      </c>
      <c r="Q2" s="22">
        <f>SUM(O3:O4)-O2</f>
        <v>3321.6687407960217</v>
      </c>
      <c r="R2" s="22">
        <f>M2*G$19-P2</f>
        <v>0</v>
      </c>
      <c r="S2" s="22">
        <f>Q2+R2</f>
        <v>3321.6687407960217</v>
      </c>
    </row>
    <row r="3" spans="1:19" x14ac:dyDescent="0.35">
      <c r="A3" s="23" t="s">
        <v>53</v>
      </c>
      <c r="B3" s="59">
        <v>198</v>
      </c>
      <c r="C3" s="23"/>
      <c r="D3" s="23"/>
      <c r="E3" s="60">
        <v>44470</v>
      </c>
      <c r="F3" s="23"/>
      <c r="G3" s="61">
        <v>34.770000000000003</v>
      </c>
      <c r="H3" s="61"/>
      <c r="I3" s="61">
        <v>287.02999999999997</v>
      </c>
      <c r="J3" s="61"/>
      <c r="K3" s="61">
        <f>I3</f>
        <v>287.02999999999997</v>
      </c>
      <c r="L3" s="61"/>
      <c r="M3" s="61"/>
      <c r="N3" s="61"/>
      <c r="O3" s="61">
        <f>K3*G3</f>
        <v>9980.0331000000006</v>
      </c>
      <c r="P3" s="61"/>
      <c r="Q3" s="61"/>
      <c r="R3" s="61"/>
      <c r="S3" s="61"/>
    </row>
    <row r="4" spans="1:19" x14ac:dyDescent="0.35">
      <c r="A4" s="23" t="s">
        <v>53</v>
      </c>
      <c r="B4" s="59">
        <v>200</v>
      </c>
      <c r="C4" s="23"/>
      <c r="D4" s="23"/>
      <c r="E4" s="60">
        <v>44473</v>
      </c>
      <c r="F4" s="23"/>
      <c r="G4" s="61">
        <v>34.770000000000003</v>
      </c>
      <c r="H4" s="61"/>
      <c r="I4" s="61">
        <v>287.02999999999997</v>
      </c>
      <c r="J4" s="61"/>
      <c r="K4" s="61">
        <f>I2-K3</f>
        <v>257.92200000000003</v>
      </c>
      <c r="L4" s="61"/>
      <c r="M4" s="61"/>
      <c r="N4" s="61"/>
      <c r="O4" s="61">
        <f>K4*G4</f>
        <v>8967.9479400000018</v>
      </c>
      <c r="P4" s="61"/>
      <c r="Q4" s="61"/>
      <c r="R4" s="61"/>
      <c r="S4" s="61"/>
    </row>
    <row r="5" spans="1:19" x14ac:dyDescent="0.35">
      <c r="A5" s="19"/>
      <c r="B5" s="19">
        <v>173</v>
      </c>
      <c r="C5" s="19">
        <v>16</v>
      </c>
      <c r="D5" s="19" t="s">
        <v>4</v>
      </c>
      <c r="E5" s="20">
        <v>43525</v>
      </c>
      <c r="F5" s="20">
        <v>41166</v>
      </c>
      <c r="G5" s="57">
        <v>17.05</v>
      </c>
      <c r="H5" s="22">
        <v>18.259999998612201</v>
      </c>
      <c r="I5" s="19">
        <v>1065.5911000000001</v>
      </c>
      <c r="J5" s="19">
        <v>547.64509999999996</v>
      </c>
      <c r="K5" s="21">
        <f>SUM(K6:K10)</f>
        <v>1065.5911000000001</v>
      </c>
      <c r="L5" s="21">
        <f>J5</f>
        <v>547.64509999999996</v>
      </c>
      <c r="M5" s="21">
        <f>I5-K5</f>
        <v>0</v>
      </c>
      <c r="N5" s="21">
        <f>J5-L5</f>
        <v>0</v>
      </c>
      <c r="O5" s="58">
        <f>H5*L5</f>
        <v>9999.9995252399785</v>
      </c>
      <c r="P5" s="22">
        <f>N5*H5</f>
        <v>0</v>
      </c>
      <c r="Q5" s="22">
        <f>SUM(O6:O10)-O5</f>
        <v>25844.600133760021</v>
      </c>
      <c r="R5" s="22">
        <f>M5*G$19-P5</f>
        <v>0</v>
      </c>
      <c r="S5" s="22">
        <f>Q5+R5</f>
        <v>25844.600133760021</v>
      </c>
    </row>
    <row r="6" spans="1:19" x14ac:dyDescent="0.35">
      <c r="A6" s="23" t="s">
        <v>53</v>
      </c>
      <c r="B6" s="59">
        <v>200</v>
      </c>
      <c r="C6" s="23"/>
      <c r="D6" s="23"/>
      <c r="E6" s="60">
        <v>44473</v>
      </c>
      <c r="F6" s="23"/>
      <c r="G6" s="61">
        <v>34.770000000000003</v>
      </c>
      <c r="H6" s="61"/>
      <c r="I6" s="61">
        <v>287.02999999999997</v>
      </c>
      <c r="J6" s="61"/>
      <c r="K6" s="61">
        <f>I6-K4</f>
        <v>29.107999999999947</v>
      </c>
      <c r="L6" s="61"/>
      <c r="M6" s="61"/>
      <c r="N6" s="61"/>
      <c r="O6" s="61">
        <f>K6*G6</f>
        <v>1012.0851599999983</v>
      </c>
      <c r="P6" s="61"/>
      <c r="Q6" s="61"/>
      <c r="R6" s="61"/>
      <c r="S6" s="61"/>
    </row>
    <row r="7" spans="1:19" x14ac:dyDescent="0.35">
      <c r="A7" s="23" t="s">
        <v>53</v>
      </c>
      <c r="B7" s="59">
        <v>216</v>
      </c>
      <c r="C7" s="23"/>
      <c r="D7" s="23"/>
      <c r="E7" s="60">
        <v>44720</v>
      </c>
      <c r="F7" s="23"/>
      <c r="G7" s="61">
        <v>33.909999999999997</v>
      </c>
      <c r="H7" s="61"/>
      <c r="I7" s="61">
        <v>296.82</v>
      </c>
      <c r="J7" s="61"/>
      <c r="K7" s="61">
        <f t="shared" ref="K7:K8" si="0">I7</f>
        <v>296.82</v>
      </c>
      <c r="L7" s="61"/>
      <c r="M7" s="61"/>
      <c r="N7" s="61"/>
      <c r="O7" s="61">
        <f>K7*G7</f>
        <v>10065.1662</v>
      </c>
      <c r="P7" s="61"/>
      <c r="Q7" s="61"/>
      <c r="R7" s="61"/>
      <c r="S7" s="61"/>
    </row>
    <row r="8" spans="1:19" x14ac:dyDescent="0.35">
      <c r="A8" s="23" t="s">
        <v>53</v>
      </c>
      <c r="B8" s="59">
        <v>1227</v>
      </c>
      <c r="C8" s="23"/>
      <c r="D8" s="23"/>
      <c r="E8" s="60">
        <v>44831</v>
      </c>
      <c r="F8" s="23"/>
      <c r="G8" s="61">
        <v>32.26</v>
      </c>
      <c r="H8" s="61"/>
      <c r="I8" s="61">
        <v>308.74</v>
      </c>
      <c r="J8" s="61"/>
      <c r="K8" s="61">
        <f t="shared" si="0"/>
        <v>308.74</v>
      </c>
      <c r="L8" s="61"/>
      <c r="M8" s="61"/>
      <c r="N8" s="61"/>
      <c r="O8" s="61">
        <f>K8*G8</f>
        <v>9959.9524000000001</v>
      </c>
      <c r="P8" s="61"/>
      <c r="Q8" s="61"/>
      <c r="R8" s="61"/>
      <c r="S8" s="61"/>
    </row>
    <row r="9" spans="1:19" x14ac:dyDescent="0.35">
      <c r="A9" s="23" t="s">
        <v>53</v>
      </c>
      <c r="B9" s="59">
        <v>1247</v>
      </c>
      <c r="C9" s="23"/>
      <c r="D9" s="23"/>
      <c r="E9" s="60">
        <v>45028</v>
      </c>
      <c r="F9" s="23"/>
      <c r="G9" s="61">
        <v>34.47</v>
      </c>
      <c r="H9" s="61"/>
      <c r="I9" s="61">
        <v>172.46</v>
      </c>
      <c r="J9" s="61"/>
      <c r="K9" s="61">
        <f>I9</f>
        <v>172.46</v>
      </c>
      <c r="L9" s="61"/>
      <c r="M9" s="61"/>
      <c r="N9" s="61"/>
      <c r="O9" s="61">
        <f>K9*G9</f>
        <v>5944.6962000000003</v>
      </c>
      <c r="P9" s="61"/>
      <c r="Q9" s="61"/>
      <c r="R9" s="61"/>
      <c r="S9" s="61"/>
    </row>
    <row r="10" spans="1:19" x14ac:dyDescent="0.35">
      <c r="A10" s="23" t="s">
        <v>36</v>
      </c>
      <c r="B10" s="59">
        <v>1251</v>
      </c>
      <c r="C10" s="23"/>
      <c r="D10" s="23"/>
      <c r="E10" s="60">
        <v>45054</v>
      </c>
      <c r="F10" s="23"/>
      <c r="G10" s="61">
        <v>34.29</v>
      </c>
      <c r="H10" s="61"/>
      <c r="I10" s="61">
        <v>270</v>
      </c>
      <c r="J10" s="61"/>
      <c r="K10" s="61">
        <f>I5-SUM(K6:K9)</f>
        <v>258.46310000000017</v>
      </c>
      <c r="L10" s="61"/>
      <c r="M10" s="61"/>
      <c r="N10" s="61"/>
      <c r="O10" s="61">
        <f>K10*G10</f>
        <v>8862.6996990000061</v>
      </c>
      <c r="P10" s="61"/>
      <c r="Q10" s="61"/>
      <c r="R10" s="61"/>
      <c r="S10" s="61"/>
    </row>
    <row r="11" spans="1:19" x14ac:dyDescent="0.35">
      <c r="A11" s="19" t="s">
        <v>35</v>
      </c>
      <c r="B11" s="19">
        <v>173</v>
      </c>
      <c r="C11" s="19">
        <v>17</v>
      </c>
      <c r="D11" s="19" t="s">
        <v>4</v>
      </c>
      <c r="E11" s="20">
        <v>43525</v>
      </c>
      <c r="F11" s="20">
        <v>41377</v>
      </c>
      <c r="G11" s="57">
        <v>17.05</v>
      </c>
      <c r="H11" s="22">
        <v>19.7899983277443</v>
      </c>
      <c r="I11" s="56">
        <v>168.14699999999999</v>
      </c>
      <c r="J11" s="19">
        <v>86.4482</v>
      </c>
      <c r="K11" s="56">
        <f>K12</f>
        <v>11.536899999999832</v>
      </c>
      <c r="L11" s="56">
        <f>J11/I11*K11</f>
        <v>5.9313828886628102</v>
      </c>
      <c r="M11" s="21">
        <f>I11-K11</f>
        <v>156.61010000000016</v>
      </c>
      <c r="N11" s="21">
        <f>J11-L11</f>
        <v>80.51681711133719</v>
      </c>
      <c r="O11" s="58">
        <f>H11*L11</f>
        <v>117.38205744784817</v>
      </c>
      <c r="P11" s="22">
        <f>N11*H11</f>
        <v>1593.4276759886566</v>
      </c>
      <c r="Q11" s="22">
        <f>O12-O11</f>
        <v>278.21824355214608</v>
      </c>
      <c r="R11" s="22">
        <f>M11*G$19-P11</f>
        <v>5693.6402770113509</v>
      </c>
      <c r="S11" s="22">
        <f>Q11+R11</f>
        <v>5971.8585205634972</v>
      </c>
    </row>
    <row r="12" spans="1:19" x14ac:dyDescent="0.35">
      <c r="A12" s="23" t="s">
        <v>36</v>
      </c>
      <c r="B12" s="59">
        <v>1251</v>
      </c>
      <c r="C12" s="23"/>
      <c r="D12" s="23"/>
      <c r="E12" s="60">
        <v>45054</v>
      </c>
      <c r="F12" s="23"/>
      <c r="G12" s="61">
        <v>34.29</v>
      </c>
      <c r="H12" s="61"/>
      <c r="I12" s="61">
        <v>270</v>
      </c>
      <c r="J12" s="25"/>
      <c r="K12" s="61">
        <f>I12-K10</f>
        <v>11.536899999999832</v>
      </c>
      <c r="L12" s="61"/>
      <c r="M12" s="61"/>
      <c r="N12" s="61"/>
      <c r="O12" s="61">
        <f>K12*G12</f>
        <v>395.60030099999426</v>
      </c>
      <c r="P12" s="61"/>
      <c r="Q12" s="61"/>
      <c r="R12" s="61"/>
      <c r="S12" s="61"/>
    </row>
    <row r="13" spans="1:19" x14ac:dyDescent="0.35">
      <c r="A13" s="19" t="s">
        <v>35</v>
      </c>
      <c r="B13" s="19">
        <v>1275</v>
      </c>
      <c r="C13" s="19">
        <v>16</v>
      </c>
      <c r="D13" s="19" t="s">
        <v>4</v>
      </c>
      <c r="E13" s="20">
        <v>45478</v>
      </c>
      <c r="F13" s="20">
        <v>41166</v>
      </c>
      <c r="G13" s="57">
        <v>49.440100000000001</v>
      </c>
      <c r="H13" s="22">
        <v>18.259999998612201</v>
      </c>
      <c r="I13" s="56">
        <v>97.849000000000004</v>
      </c>
      <c r="J13" s="19">
        <v>88.633300000000006</v>
      </c>
      <c r="K13" s="56">
        <f>I14</f>
        <v>20</v>
      </c>
      <c r="L13" s="56">
        <f>J13/I13*K13</f>
        <v>18.116342527772385</v>
      </c>
      <c r="M13" s="21">
        <f>I13-K13</f>
        <v>77.849000000000004</v>
      </c>
      <c r="N13" s="21">
        <f>J13-L13</f>
        <v>70.516957472227617</v>
      </c>
      <c r="O13" s="58">
        <f>H13*L13</f>
        <v>330.80441453198193</v>
      </c>
      <c r="P13" s="22">
        <f>N13*H13</f>
        <v>1287.6396433450129</v>
      </c>
      <c r="Q13" s="22">
        <f>O14-O13</f>
        <v>645.19558546801807</v>
      </c>
      <c r="R13" s="22">
        <f>M13*G$19-P13</f>
        <v>2334.6743266549875</v>
      </c>
      <c r="S13" s="22">
        <f>Q13+R13</f>
        <v>2979.8699121230056</v>
      </c>
    </row>
    <row r="14" spans="1:19" x14ac:dyDescent="0.35">
      <c r="A14" s="23" t="s">
        <v>53</v>
      </c>
      <c r="B14" s="59">
        <v>1279</v>
      </c>
      <c r="C14" s="23"/>
      <c r="D14" s="23"/>
      <c r="E14" s="60">
        <v>45495</v>
      </c>
      <c r="F14" s="23"/>
      <c r="G14" s="61">
        <v>48.8</v>
      </c>
      <c r="H14" s="61"/>
      <c r="I14" s="61">
        <v>20</v>
      </c>
      <c r="J14" s="61"/>
      <c r="K14" s="61">
        <f>I14</f>
        <v>20</v>
      </c>
      <c r="L14" s="61"/>
      <c r="M14" s="61"/>
      <c r="N14" s="61"/>
      <c r="O14" s="61">
        <f>K14*G14</f>
        <v>976</v>
      </c>
      <c r="P14" s="61"/>
      <c r="Q14" s="61"/>
      <c r="R14" s="61"/>
      <c r="S14" s="61"/>
    </row>
    <row r="15" spans="1:19" x14ac:dyDescent="0.35">
      <c r="A15" s="19" t="s">
        <v>35</v>
      </c>
      <c r="B15" s="19">
        <v>1273</v>
      </c>
      <c r="C15" s="19">
        <v>17</v>
      </c>
      <c r="D15" s="19" t="s">
        <v>4</v>
      </c>
      <c r="E15" s="20">
        <v>45356</v>
      </c>
      <c r="F15" s="20">
        <v>41377</v>
      </c>
      <c r="G15" s="56">
        <v>44.9208</v>
      </c>
      <c r="H15" s="22">
        <v>19.7899983277443</v>
      </c>
      <c r="I15" s="56">
        <v>238.36699999999999</v>
      </c>
      <c r="J15" s="62">
        <v>264.64670000000001</v>
      </c>
      <c r="K15" s="56">
        <v>0</v>
      </c>
      <c r="L15" s="56">
        <f>J15/I15*K15</f>
        <v>0</v>
      </c>
      <c r="M15" s="21">
        <f t="shared" ref="M15:N18" si="1">I15-K15</f>
        <v>238.36699999999999</v>
      </c>
      <c r="N15" s="21">
        <f t="shared" si="1"/>
        <v>264.64670000000001</v>
      </c>
      <c r="O15" s="58">
        <f>H15*L15</f>
        <v>0</v>
      </c>
      <c r="P15" s="22">
        <f>N15*H15</f>
        <v>5237.3577504430477</v>
      </c>
      <c r="Q15" s="22">
        <v>0</v>
      </c>
      <c r="R15" s="22">
        <f>M15*G$19-P15</f>
        <v>5853.8587595569525</v>
      </c>
      <c r="S15" s="22">
        <f t="shared" ref="S15:S18" si="2">Q15+R15</f>
        <v>5853.8587595569525</v>
      </c>
    </row>
    <row r="16" spans="1:19" x14ac:dyDescent="0.35">
      <c r="A16" s="19" t="s">
        <v>35</v>
      </c>
      <c r="B16" s="19">
        <v>1273</v>
      </c>
      <c r="C16" s="19">
        <v>27</v>
      </c>
      <c r="D16" s="19" t="s">
        <v>23</v>
      </c>
      <c r="E16" s="20">
        <v>45356</v>
      </c>
      <c r="F16" s="20">
        <v>41521</v>
      </c>
      <c r="G16" s="56">
        <v>44.9208</v>
      </c>
      <c r="H16" s="22">
        <v>17.093261768828398</v>
      </c>
      <c r="I16" s="56">
        <v>28.222999999999999</v>
      </c>
      <c r="J16" s="56">
        <v>45.477400000000003</v>
      </c>
      <c r="K16" s="56">
        <v>0</v>
      </c>
      <c r="L16" s="56">
        <f>J16/I16*K16</f>
        <v>0</v>
      </c>
      <c r="M16" s="21">
        <f t="shared" si="1"/>
        <v>28.222999999999999</v>
      </c>
      <c r="N16" s="21">
        <f t="shared" si="1"/>
        <v>45.477400000000003</v>
      </c>
      <c r="O16" s="58">
        <f>H16*L16</f>
        <v>0</v>
      </c>
      <c r="P16" s="22">
        <f>N16*H16</f>
        <v>777.3571027657166</v>
      </c>
      <c r="Q16" s="22">
        <v>0</v>
      </c>
      <c r="R16" s="22">
        <f>M16*G$19-P16</f>
        <v>535.85908723428349</v>
      </c>
      <c r="S16" s="22">
        <f t="shared" si="2"/>
        <v>535.85908723428349</v>
      </c>
    </row>
    <row r="17" spans="1:29" x14ac:dyDescent="0.35">
      <c r="A17" s="19" t="s">
        <v>35</v>
      </c>
      <c r="B17" s="19">
        <v>1275</v>
      </c>
      <c r="C17" s="19">
        <v>1253</v>
      </c>
      <c r="D17" s="19" t="s">
        <v>54</v>
      </c>
      <c r="E17" s="20">
        <v>45478</v>
      </c>
      <c r="F17" s="20">
        <v>45061</v>
      </c>
      <c r="G17" s="56">
        <v>49.440100000000001</v>
      </c>
      <c r="H17" s="22">
        <v>118.914827</v>
      </c>
      <c r="I17" s="56">
        <v>20.558</v>
      </c>
      <c r="J17" s="62">
        <v>8.4095999999999993</v>
      </c>
      <c r="K17" s="56">
        <v>0</v>
      </c>
      <c r="L17" s="56">
        <f>J17/I17*K17</f>
        <v>0</v>
      </c>
      <c r="M17" s="21">
        <f t="shared" si="1"/>
        <v>20.558</v>
      </c>
      <c r="N17" s="21">
        <f t="shared" si="1"/>
        <v>8.4095999999999993</v>
      </c>
      <c r="O17" s="58">
        <f>H17*L17</f>
        <v>0</v>
      </c>
      <c r="P17" s="22">
        <f>N17*H17</f>
        <v>1000.0261291392</v>
      </c>
      <c r="Q17" s="22">
        <v>0</v>
      </c>
      <c r="R17" s="22">
        <f>M17*G$19-P17</f>
        <v>-43.4623891391999</v>
      </c>
      <c r="S17" s="22">
        <f t="shared" si="2"/>
        <v>-43.4623891391999</v>
      </c>
    </row>
    <row r="18" spans="1:29" x14ac:dyDescent="0.35">
      <c r="A18" s="19" t="s">
        <v>35</v>
      </c>
      <c r="B18" s="19">
        <v>1275</v>
      </c>
      <c r="C18" s="19">
        <v>1254</v>
      </c>
      <c r="D18" s="19" t="s">
        <v>54</v>
      </c>
      <c r="E18" s="20">
        <v>45478</v>
      </c>
      <c r="F18" s="20">
        <v>45069</v>
      </c>
      <c r="G18" s="56">
        <v>49.440100000000001</v>
      </c>
      <c r="H18" s="22">
        <v>120.3180407</v>
      </c>
      <c r="I18" s="56">
        <v>182.863</v>
      </c>
      <c r="J18" s="62">
        <v>74.801699999999997</v>
      </c>
      <c r="K18" s="56">
        <v>0</v>
      </c>
      <c r="L18" s="56">
        <f>J18/I18*K18</f>
        <v>0</v>
      </c>
      <c r="M18" s="21">
        <f t="shared" si="1"/>
        <v>182.863</v>
      </c>
      <c r="N18" s="21">
        <f t="shared" si="1"/>
        <v>74.801699999999997</v>
      </c>
      <c r="O18" s="58">
        <f>H18*L18</f>
        <v>0</v>
      </c>
      <c r="P18" s="22">
        <f>N18*H18</f>
        <v>8999.9939850291903</v>
      </c>
      <c r="Q18" s="22">
        <v>0</v>
      </c>
      <c r="R18" s="22">
        <f>M18*G$19-P18</f>
        <v>-491.37859502918946</v>
      </c>
      <c r="S18" s="22">
        <f t="shared" si="2"/>
        <v>-491.37859502918946</v>
      </c>
    </row>
    <row r="19" spans="1:29" s="12" customFormat="1" x14ac:dyDescent="0.35">
      <c r="G19" s="27">
        <f>'27-Global Tech'!E12</f>
        <v>46.53</v>
      </c>
      <c r="L19" s="63" t="s">
        <v>45</v>
      </c>
      <c r="M19" s="64">
        <f>SUM(M2:M18)</f>
        <v>704.47010000000023</v>
      </c>
      <c r="N19" s="64"/>
      <c r="P19" s="27">
        <f>SUM(P2:P18)</f>
        <v>18895.802286710823</v>
      </c>
      <c r="Q19" s="27">
        <f>SUM(Q2:Q18)</f>
        <v>30089.682703576207</v>
      </c>
      <c r="R19" s="27">
        <f>SUM(R2:R18)</f>
        <v>13883.191466289183</v>
      </c>
      <c r="S19" s="27">
        <f>SUM(S2:S18)</f>
        <v>43972.874169865405</v>
      </c>
    </row>
    <row r="20" spans="1:29" s="12" customFormat="1" ht="15" thickBot="1" x14ac:dyDescent="0.4">
      <c r="C20" s="33"/>
      <c r="M20" s="64"/>
      <c r="N20" s="65"/>
      <c r="P20" s="27"/>
      <c r="R20" s="27">
        <v>13883.187</v>
      </c>
    </row>
    <row r="21" spans="1:29" s="12" customFormat="1" ht="14.5" customHeight="1" thickBot="1" x14ac:dyDescent="0.4">
      <c r="C21" s="99"/>
      <c r="D21" s="101" t="s">
        <v>55</v>
      </c>
      <c r="E21" s="100"/>
      <c r="R21" s="12">
        <f>+R19-R20</f>
        <v>4.4662891832558671E-3</v>
      </c>
      <c r="Z21" s="64"/>
      <c r="AC21" s="64"/>
    </row>
    <row r="22" spans="1:29" s="12" customFormat="1" ht="29" x14ac:dyDescent="0.35">
      <c r="C22" s="102" t="s">
        <v>5</v>
      </c>
      <c r="D22" s="94" t="s">
        <v>57</v>
      </c>
      <c r="E22" s="93" t="s">
        <v>58</v>
      </c>
      <c r="Z22" s="64"/>
      <c r="AC22" s="64"/>
    </row>
    <row r="23" spans="1:29" s="12" customFormat="1" x14ac:dyDescent="0.35">
      <c r="C23" s="95">
        <v>16</v>
      </c>
      <c r="D23" s="89">
        <f>J5/I5*K10</f>
        <v>132.83336379762375</v>
      </c>
      <c r="E23" s="90">
        <f>D23*H5</f>
        <v>2425.5372227602638</v>
      </c>
      <c r="Z23" s="64"/>
      <c r="AC23" s="64"/>
    </row>
    <row r="24" spans="1:29" s="12" customFormat="1" ht="15" thickBot="1" x14ac:dyDescent="0.4">
      <c r="C24" s="96">
        <v>17</v>
      </c>
      <c r="D24" s="97">
        <f>J11/I11*K12</f>
        <v>5.9313828886628102</v>
      </c>
      <c r="E24" s="98">
        <f>D24*H11</f>
        <v>117.38205744784817</v>
      </c>
      <c r="Z24" s="64"/>
      <c r="AC24" s="64"/>
    </row>
    <row r="25" spans="1:29" ht="15" thickBot="1" x14ac:dyDescent="0.4">
      <c r="C25" s="53"/>
      <c r="D25" s="54" t="s">
        <v>76</v>
      </c>
      <c r="E25" s="91">
        <f>SUM(E23:E24)</f>
        <v>2542.919280208112</v>
      </c>
      <c r="F25" s="12"/>
      <c r="X25" s="12"/>
    </row>
    <row r="26" spans="1:29" ht="15" thickBot="1" x14ac:dyDescent="0.4">
      <c r="C26" s="87"/>
      <c r="D26" s="88" t="s">
        <v>77</v>
      </c>
      <c r="E26" s="92">
        <f>'27-Global Tech'!F8</f>
        <v>9258.2999999999993</v>
      </c>
      <c r="F26" s="12"/>
      <c r="J26" s="12"/>
      <c r="K26" s="12"/>
    </row>
    <row r="27" spans="1:29" ht="15" thickBot="1" x14ac:dyDescent="0.4">
      <c r="C27" s="53"/>
      <c r="D27" s="54" t="s">
        <v>75</v>
      </c>
      <c r="E27" s="71">
        <f>E26-E25</f>
        <v>6715.3807197918868</v>
      </c>
      <c r="F27" s="12"/>
      <c r="J27" s="12"/>
      <c r="K27" s="12"/>
    </row>
    <row r="28" spans="1:29" x14ac:dyDescent="0.35">
      <c r="F28" s="12"/>
      <c r="J28" s="12"/>
      <c r="K28" s="12"/>
    </row>
    <row r="29" spans="1:29" ht="15" thickBot="1" x14ac:dyDescent="0.4">
      <c r="F29" s="12"/>
      <c r="J29" s="12"/>
      <c r="K29" s="12"/>
    </row>
    <row r="30" spans="1:29" ht="15" thickBot="1" x14ac:dyDescent="0.4">
      <c r="D30" s="66" t="s">
        <v>56</v>
      </c>
      <c r="E30" s="67"/>
      <c r="F30" s="12"/>
      <c r="J30" s="12"/>
      <c r="K30" s="12"/>
    </row>
    <row r="31" spans="1:29" x14ac:dyDescent="0.35">
      <c r="D31" s="68" t="s">
        <v>59</v>
      </c>
      <c r="E31" s="69">
        <f>SUM(Q2:Q11)</f>
        <v>29444.487118108191</v>
      </c>
      <c r="J31" s="12"/>
      <c r="K31" s="12"/>
    </row>
    <row r="32" spans="1:29" ht="15" thickBot="1" x14ac:dyDescent="0.4">
      <c r="D32" s="68" t="s">
        <v>11</v>
      </c>
      <c r="E32" s="69">
        <f>SUM(R2:R11)</f>
        <v>5693.6402770113509</v>
      </c>
      <c r="J32" s="12"/>
      <c r="K32" s="12"/>
    </row>
    <row r="33" spans="4:10" ht="15" thickBot="1" x14ac:dyDescent="0.4">
      <c r="D33" s="70" t="s">
        <v>33</v>
      </c>
      <c r="E33" s="71">
        <f>SUM(E31:E32)</f>
        <v>35138.12739511954</v>
      </c>
      <c r="J33" s="12"/>
    </row>
    <row r="34" spans="4:10" x14ac:dyDescent="0.35">
      <c r="J34" s="12"/>
    </row>
  </sheetData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32929-4B06-4139-B4E9-4C5E94C8598C}">
  <sheetPr>
    <tabColor rgb="FFFFC000"/>
  </sheetPr>
  <dimension ref="A1:L14"/>
  <sheetViews>
    <sheetView zoomScale="145" zoomScaleNormal="145" workbookViewId="0">
      <pane ySplit="1" topLeftCell="A5" activePane="bottomLeft" state="frozen"/>
      <selection activeCell="J11" sqref="J11"/>
      <selection pane="bottomLeft" activeCell="K13" sqref="K13"/>
    </sheetView>
  </sheetViews>
  <sheetFormatPr defaultRowHeight="14.5" x14ac:dyDescent="0.35"/>
  <cols>
    <col min="1" max="1" width="4.90625" bestFit="1" customWidth="1"/>
    <col min="3" max="3" width="10.81640625" bestFit="1" customWidth="1"/>
    <col min="4" max="4" width="8" customWidth="1"/>
    <col min="5" max="5" width="9.1796875" bestFit="1" customWidth="1"/>
    <col min="6" max="6" width="1.7265625" customWidth="1"/>
    <col min="8" max="8" width="11.1796875" bestFit="1" customWidth="1"/>
    <col min="9" max="9" width="10.1796875" customWidth="1"/>
    <col min="10" max="10" width="10.08984375" bestFit="1" customWidth="1"/>
    <col min="11" max="11" width="11.90625" customWidth="1"/>
    <col min="12" max="12" width="10.81640625" bestFit="1" customWidth="1"/>
  </cols>
  <sheetData>
    <row r="1" spans="1:12" ht="29" x14ac:dyDescent="0.35">
      <c r="A1" s="48"/>
      <c r="B1" s="48"/>
      <c r="C1" s="48"/>
      <c r="D1" s="48" t="s">
        <v>2</v>
      </c>
      <c r="E1" s="48" t="s">
        <v>3</v>
      </c>
      <c r="F1" s="48"/>
      <c r="G1" s="48"/>
      <c r="H1" s="48"/>
      <c r="I1" s="48" t="s">
        <v>12</v>
      </c>
      <c r="J1" s="48" t="s">
        <v>9</v>
      </c>
      <c r="K1" s="11" t="s">
        <v>68</v>
      </c>
      <c r="L1" s="48" t="s">
        <v>11</v>
      </c>
    </row>
    <row r="2" spans="1:12" x14ac:dyDescent="0.35">
      <c r="A2" s="1">
        <v>197</v>
      </c>
      <c r="B2" s="6" t="s">
        <v>0</v>
      </c>
      <c r="C2" s="3">
        <v>44473</v>
      </c>
      <c r="D2" s="83">
        <v>24.54</v>
      </c>
      <c r="E2" s="50">
        <v>435.1019</v>
      </c>
      <c r="G2">
        <f>D2</f>
        <v>24.54</v>
      </c>
      <c r="H2" s="4">
        <f>-D2*E2</f>
        <v>-10677.400625999999</v>
      </c>
      <c r="I2" s="10">
        <f>D2-D9</f>
        <v>5.9039999999999999</v>
      </c>
      <c r="J2" s="4">
        <f>(E9-E2)*D9</f>
        <v>421.92276719999984</v>
      </c>
      <c r="K2" s="4">
        <f>I2*E2</f>
        <v>2568.8416176000001</v>
      </c>
      <c r="L2" s="4">
        <f t="shared" ref="L2:L8" si="0">(E$10-E2)*I2</f>
        <v>148.85223840000012</v>
      </c>
    </row>
    <row r="3" spans="1:12" x14ac:dyDescent="0.35">
      <c r="A3" s="1">
        <v>203</v>
      </c>
      <c r="B3" s="6" t="s">
        <v>0</v>
      </c>
      <c r="C3" s="3">
        <v>44496</v>
      </c>
      <c r="D3" s="83">
        <v>34.723999999999997</v>
      </c>
      <c r="E3" s="50">
        <v>434.9468</v>
      </c>
      <c r="G3">
        <f>G2+D3</f>
        <v>59.263999999999996</v>
      </c>
      <c r="H3" s="4">
        <f t="shared" ref="H3:H8" si="1">-D3*E3</f>
        <v>-15103.092683199999</v>
      </c>
      <c r="I3" s="10">
        <f>D3</f>
        <v>34.723999999999997</v>
      </c>
      <c r="K3" s="4">
        <f t="shared" ref="K3:K8" si="2">I3*E3</f>
        <v>15103.092683199999</v>
      </c>
      <c r="L3" s="4">
        <f t="shared" si="0"/>
        <v>880.85065280000083</v>
      </c>
    </row>
    <row r="4" spans="1:12" x14ac:dyDescent="0.35">
      <c r="A4" s="1">
        <v>205</v>
      </c>
      <c r="B4" s="6" t="s">
        <v>0</v>
      </c>
      <c r="C4" s="3">
        <v>44524</v>
      </c>
      <c r="D4" s="83">
        <v>46.265999999999998</v>
      </c>
      <c r="E4" s="50">
        <v>434.7577</v>
      </c>
      <c r="G4">
        <f t="shared" ref="G4:G8" si="3">G3+D4</f>
        <v>105.53</v>
      </c>
      <c r="H4" s="4">
        <f t="shared" si="1"/>
        <v>-20114.4997482</v>
      </c>
      <c r="I4" s="10">
        <f t="shared" ref="I4:I8" si="4">D4</f>
        <v>46.265999999999998</v>
      </c>
      <c r="K4" s="4">
        <f t="shared" si="2"/>
        <v>20114.4997482</v>
      </c>
      <c r="L4" s="4">
        <f t="shared" si="0"/>
        <v>1182.387775800001</v>
      </c>
    </row>
    <row r="5" spans="1:12" x14ac:dyDescent="0.35">
      <c r="A5" s="1">
        <v>217</v>
      </c>
      <c r="B5" s="6" t="s">
        <v>0</v>
      </c>
      <c r="C5" s="3">
        <v>44725</v>
      </c>
      <c r="D5" s="83">
        <v>23.23</v>
      </c>
      <c r="E5" s="50">
        <v>433.28309999999999</v>
      </c>
      <c r="G5">
        <f t="shared" si="3"/>
        <v>128.76</v>
      </c>
      <c r="H5" s="4">
        <f t="shared" si="1"/>
        <v>-10065.166413000001</v>
      </c>
      <c r="I5" s="10">
        <f t="shared" si="4"/>
        <v>23.23</v>
      </c>
      <c r="K5" s="4">
        <f t="shared" si="2"/>
        <v>10065.166413000001</v>
      </c>
      <c r="L5" s="4">
        <f t="shared" si="0"/>
        <v>627.92780700000071</v>
      </c>
    </row>
    <row r="6" spans="1:12" x14ac:dyDescent="0.35">
      <c r="A6" s="1">
        <v>1235</v>
      </c>
      <c r="B6" s="6" t="s">
        <v>0</v>
      </c>
      <c r="C6" s="3">
        <v>44893</v>
      </c>
      <c r="D6" s="83">
        <v>21.81</v>
      </c>
      <c r="E6" s="50">
        <v>433.51990000000001</v>
      </c>
      <c r="G6">
        <f t="shared" si="3"/>
        <v>150.57</v>
      </c>
      <c r="H6" s="4">
        <f t="shared" si="1"/>
        <v>-9455.0690190000005</v>
      </c>
      <c r="I6" s="10">
        <f t="shared" si="4"/>
        <v>21.81</v>
      </c>
      <c r="K6" s="4">
        <f t="shared" si="2"/>
        <v>9455.0690190000005</v>
      </c>
      <c r="L6" s="4">
        <f t="shared" si="0"/>
        <v>584.37932100000023</v>
      </c>
    </row>
    <row r="7" spans="1:12" x14ac:dyDescent="0.35">
      <c r="A7" s="1">
        <v>1239</v>
      </c>
      <c r="B7" s="6" t="s">
        <v>0</v>
      </c>
      <c r="C7" s="3">
        <v>44893</v>
      </c>
      <c r="D7" s="83">
        <v>18.635999999999999</v>
      </c>
      <c r="E7" s="50">
        <v>433.5419</v>
      </c>
      <c r="G7">
        <f t="shared" si="3"/>
        <v>169.20599999999999</v>
      </c>
      <c r="H7" s="4">
        <f t="shared" si="1"/>
        <v>-8079.4868483999999</v>
      </c>
      <c r="I7" s="10">
        <f t="shared" si="4"/>
        <v>18.635999999999999</v>
      </c>
      <c r="K7" s="4">
        <f t="shared" si="2"/>
        <v>8079.4868483999999</v>
      </c>
      <c r="L7" s="4">
        <f t="shared" si="0"/>
        <v>498.9248556000004</v>
      </c>
    </row>
    <row r="8" spans="1:12" x14ac:dyDescent="0.35">
      <c r="A8" s="1">
        <v>1241</v>
      </c>
      <c r="B8" s="6" t="s">
        <v>0</v>
      </c>
      <c r="C8" s="3">
        <v>44939</v>
      </c>
      <c r="D8" s="83">
        <v>5.8719999999999999</v>
      </c>
      <c r="E8" s="50">
        <v>434.45089999999999</v>
      </c>
      <c r="G8">
        <f t="shared" si="3"/>
        <v>175.07799999999997</v>
      </c>
      <c r="H8" s="4">
        <f t="shared" si="1"/>
        <v>-2551.0956848000001</v>
      </c>
      <c r="I8" s="10">
        <f t="shared" si="4"/>
        <v>5.8719999999999999</v>
      </c>
      <c r="K8" s="4">
        <f t="shared" si="2"/>
        <v>2551.0956848000001</v>
      </c>
      <c r="L8" s="4">
        <f t="shared" si="0"/>
        <v>151.86812320000018</v>
      </c>
    </row>
    <row r="9" spans="1:12" x14ac:dyDescent="0.35">
      <c r="A9" s="1">
        <v>1278</v>
      </c>
      <c r="B9" s="6" t="s">
        <v>1</v>
      </c>
      <c r="C9" s="3">
        <v>45495</v>
      </c>
      <c r="D9" s="83">
        <v>18.635999999999999</v>
      </c>
      <c r="E9" s="50">
        <v>457.74209999999999</v>
      </c>
      <c r="G9">
        <f>G8-D9</f>
        <v>156.44199999999998</v>
      </c>
      <c r="H9" s="4">
        <f>D9*E9</f>
        <v>8530.4817755999993</v>
      </c>
      <c r="I9" s="4"/>
    </row>
    <row r="10" spans="1:12" x14ac:dyDescent="0.35">
      <c r="B10" s="6" t="s">
        <v>10</v>
      </c>
      <c r="D10" s="84">
        <f>G9</f>
        <v>156.44199999999998</v>
      </c>
      <c r="E10" s="10">
        <v>460.31400000000002</v>
      </c>
      <c r="H10" s="4">
        <f>D10*E10</f>
        <v>72012.442788</v>
      </c>
      <c r="I10" s="4"/>
    </row>
    <row r="11" spans="1:12" x14ac:dyDescent="0.35">
      <c r="E11" s="10">
        <v>460.06439999999998</v>
      </c>
      <c r="J11" s="4">
        <f>SUM(J2:J9)</f>
        <v>421.92276719999984</v>
      </c>
      <c r="K11" s="4">
        <f>SUM(K2:K9)</f>
        <v>67937.252014200014</v>
      </c>
      <c r="L11" s="4">
        <f>SUM(L2:L9)</f>
        <v>4075.1907738000041</v>
      </c>
    </row>
    <row r="12" spans="1:12" x14ac:dyDescent="0.35">
      <c r="J12" s="8"/>
      <c r="K12" s="8" t="s">
        <v>65</v>
      </c>
      <c r="L12" s="81">
        <f>+J11+L11</f>
        <v>4497.1135410000043</v>
      </c>
    </row>
    <row r="14" spans="1:12" x14ac:dyDescent="0.35">
      <c r="L14">
        <v>4075.19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067BC-D477-473D-98A4-83F12DFA1D93}">
  <sheetPr>
    <tabColor rgb="FFFFC000"/>
  </sheetPr>
  <dimension ref="A1:T38"/>
  <sheetViews>
    <sheetView topLeftCell="G1" zoomScale="130" zoomScaleNormal="130" workbookViewId="0">
      <pane ySplit="1" topLeftCell="A2" activePane="bottomLeft" state="frozen"/>
      <selection activeCell="J11" sqref="J11"/>
      <selection pane="bottomLeft" activeCell="T1" sqref="T1"/>
    </sheetView>
  </sheetViews>
  <sheetFormatPr defaultRowHeight="14.5" x14ac:dyDescent="0.35"/>
  <cols>
    <col min="1" max="1" width="4.81640625" bestFit="1" customWidth="1"/>
    <col min="2" max="2" width="5" bestFit="1" customWidth="1"/>
    <col min="3" max="3" width="4.54296875" customWidth="1"/>
    <col min="4" max="4" width="6.81640625" customWidth="1"/>
    <col min="5" max="5" width="11.90625" style="2" bestFit="1" customWidth="1"/>
    <col min="6" max="6" width="11.1796875" style="2" customWidth="1"/>
    <col min="7" max="7" width="9.7265625" style="13" bestFit="1" customWidth="1"/>
    <col min="8" max="8" width="10.6328125" style="13" bestFit="1" customWidth="1"/>
    <col min="9" max="10" width="9.6328125" style="12" bestFit="1" customWidth="1"/>
    <col min="11" max="11" width="8.6328125" style="46" bestFit="1" customWidth="1"/>
    <col min="12" max="12" width="7.54296875" style="12" bestFit="1" customWidth="1"/>
    <col min="13" max="13" width="10.7265625" bestFit="1" customWidth="1"/>
    <col min="14" max="14" width="11.36328125" bestFit="1" customWidth="1"/>
    <col min="15" max="15" width="11.7265625" bestFit="1" customWidth="1"/>
    <col min="16" max="16" width="10.6328125" customWidth="1"/>
    <col min="17" max="17" width="11.26953125" bestFit="1" customWidth="1"/>
    <col min="18" max="18" width="13.90625" customWidth="1"/>
    <col min="19" max="19" width="10.54296875" bestFit="1" customWidth="1"/>
    <col min="20" max="20" width="10.6328125" bestFit="1" customWidth="1"/>
  </cols>
  <sheetData>
    <row r="1" spans="1:20" ht="29" customHeight="1" x14ac:dyDescent="0.35">
      <c r="A1" s="14" t="s">
        <v>34</v>
      </c>
      <c r="B1" s="14" t="s">
        <v>6</v>
      </c>
      <c r="C1" s="7" t="s">
        <v>5</v>
      </c>
      <c r="D1" s="7" t="s">
        <v>21</v>
      </c>
      <c r="E1" s="15" t="s">
        <v>27</v>
      </c>
      <c r="F1" s="15" t="s">
        <v>7</v>
      </c>
      <c r="G1" s="18" t="s">
        <v>3</v>
      </c>
      <c r="H1" s="18" t="s">
        <v>18</v>
      </c>
      <c r="I1" s="16" t="s">
        <v>2</v>
      </c>
      <c r="J1" s="17" t="s">
        <v>13</v>
      </c>
      <c r="K1" s="45" t="s">
        <v>8</v>
      </c>
      <c r="L1" s="17" t="s">
        <v>14</v>
      </c>
      <c r="M1" s="7" t="s">
        <v>15</v>
      </c>
      <c r="N1" s="7" t="s">
        <v>16</v>
      </c>
      <c r="O1" s="11" t="s">
        <v>19</v>
      </c>
      <c r="P1" s="7" t="s">
        <v>28</v>
      </c>
      <c r="Q1" s="7" t="s">
        <v>20</v>
      </c>
      <c r="R1" s="7" t="s">
        <v>17</v>
      </c>
      <c r="S1" s="7" t="s">
        <v>64</v>
      </c>
      <c r="T1" s="7" t="s">
        <v>65</v>
      </c>
    </row>
    <row r="2" spans="1:20" x14ac:dyDescent="0.35">
      <c r="A2" t="s">
        <v>35</v>
      </c>
      <c r="B2" s="19">
        <v>1239</v>
      </c>
      <c r="C2" s="19">
        <v>15</v>
      </c>
      <c r="D2" s="19" t="s">
        <v>22</v>
      </c>
      <c r="E2" s="20">
        <v>44893.572569444441</v>
      </c>
      <c r="F2" s="20">
        <v>36841</v>
      </c>
      <c r="G2" s="22">
        <v>433.54192724694099</v>
      </c>
      <c r="H2" s="22">
        <v>22.9920399034783</v>
      </c>
      <c r="I2" s="43">
        <v>18.6356</v>
      </c>
      <c r="J2" s="21">
        <v>321.66890000000001</v>
      </c>
      <c r="K2" s="43">
        <f>K3</f>
        <v>18.6356</v>
      </c>
      <c r="L2" s="21">
        <f>J2/I2*K2</f>
        <v>321.66890000000001</v>
      </c>
      <c r="M2" s="21">
        <f>I2-K2</f>
        <v>0</v>
      </c>
      <c r="N2" s="21">
        <f>J2-L2</f>
        <v>0</v>
      </c>
      <c r="O2" s="22">
        <f>$H2*L2</f>
        <v>7395.824184507971</v>
      </c>
      <c r="P2" s="22">
        <f>$H2*N2</f>
        <v>0</v>
      </c>
      <c r="Q2" s="22">
        <f>K3*G3-O2</f>
        <v>1134.4744942520292</v>
      </c>
      <c r="R2" s="22">
        <f>M2*G$16-P2</f>
        <v>0</v>
      </c>
      <c r="S2" s="22">
        <f>S$3/I3*I2</f>
        <v>1836.6005786649498</v>
      </c>
      <c r="T2" s="22">
        <f>Q2+R2</f>
        <v>1134.4744942520292</v>
      </c>
    </row>
    <row r="3" spans="1:20" x14ac:dyDescent="0.35">
      <c r="A3" t="s">
        <v>36</v>
      </c>
      <c r="B3" s="23">
        <v>1278</v>
      </c>
      <c r="C3" s="23"/>
      <c r="D3" s="23"/>
      <c r="E3" s="24">
        <v>45495.441631944443</v>
      </c>
      <c r="F3" s="24"/>
      <c r="G3" s="26">
        <v>457.74209999999999</v>
      </c>
      <c r="H3" s="26"/>
      <c r="I3" s="44">
        <v>18.635999999999999</v>
      </c>
      <c r="J3" s="25"/>
      <c r="K3" s="44">
        <f>I2</f>
        <v>18.6356</v>
      </c>
      <c r="L3" s="25"/>
      <c r="M3" s="23"/>
      <c r="N3" s="23"/>
      <c r="O3" s="26"/>
      <c r="P3" s="23"/>
      <c r="Q3" s="26"/>
      <c r="R3" s="23"/>
      <c r="S3" s="26">
        <v>1836.64</v>
      </c>
      <c r="T3" s="26"/>
    </row>
    <row r="4" spans="1:20" x14ac:dyDescent="0.35">
      <c r="A4" t="s">
        <v>35</v>
      </c>
      <c r="B4" s="19">
        <v>217</v>
      </c>
      <c r="C4" s="19">
        <v>16</v>
      </c>
      <c r="D4" s="19" t="s">
        <v>4</v>
      </c>
      <c r="E4" s="20">
        <v>44725.295381944445</v>
      </c>
      <c r="F4" s="20">
        <v>41166</v>
      </c>
      <c r="G4" s="22">
        <v>433.283090830822</v>
      </c>
      <c r="H4" s="22">
        <v>18.259999998612201</v>
      </c>
      <c r="I4" s="43">
        <v>23.23</v>
      </c>
      <c r="J4" s="21">
        <v>152.5463</v>
      </c>
      <c r="K4" s="43">
        <f>K5</f>
        <v>4.0000000000000002E-4</v>
      </c>
      <c r="L4" s="21">
        <f>J4/I4*K4</f>
        <v>2.6267120103314681E-3</v>
      </c>
      <c r="M4" s="43">
        <f>I4-K4</f>
        <v>23.229600000000001</v>
      </c>
      <c r="N4" s="21">
        <f>J4-L4</f>
        <v>152.54367328798966</v>
      </c>
      <c r="O4" s="22">
        <f>$H4*L4</f>
        <v>4.7963761305007263E-2</v>
      </c>
      <c r="P4" s="22">
        <f>$H4*N4</f>
        <v>2785.4474740269911</v>
      </c>
      <c r="Q4" s="22">
        <f>K5*G5-O4</f>
        <v>0.13513307869499275</v>
      </c>
      <c r="R4" s="22">
        <f>M4*G$16-P4</f>
        <v>7907.4626203730113</v>
      </c>
      <c r="S4" s="22">
        <f>S$3/I5*I4</f>
        <v>2289.3940330543037</v>
      </c>
      <c r="T4" s="22">
        <f>Q4+R4</f>
        <v>7907.597753451706</v>
      </c>
    </row>
    <row r="5" spans="1:20" x14ac:dyDescent="0.35">
      <c r="A5" t="s">
        <v>36</v>
      </c>
      <c r="B5" s="23">
        <v>1278</v>
      </c>
      <c r="C5" s="23"/>
      <c r="D5" s="23"/>
      <c r="E5" s="24">
        <v>45495.441631944443</v>
      </c>
      <c r="F5" s="24"/>
      <c r="G5" s="26">
        <v>457.74209999999999</v>
      </c>
      <c r="H5" s="26"/>
      <c r="I5" s="44">
        <v>18.635999999999999</v>
      </c>
      <c r="J5" s="25"/>
      <c r="K5" s="44">
        <f>I6</f>
        <v>4.0000000000000002E-4</v>
      </c>
      <c r="L5" s="25"/>
      <c r="M5" s="23"/>
      <c r="N5" s="23"/>
      <c r="O5" s="26"/>
      <c r="P5" s="23"/>
      <c r="Q5" s="26"/>
      <c r="R5" s="23"/>
      <c r="S5" s="26">
        <v>1836.64</v>
      </c>
      <c r="T5" s="26"/>
    </row>
    <row r="6" spans="1:20" x14ac:dyDescent="0.35">
      <c r="A6" t="s">
        <v>35</v>
      </c>
      <c r="B6" s="19">
        <v>1239</v>
      </c>
      <c r="C6" s="19">
        <v>16</v>
      </c>
      <c r="D6" s="19" t="s">
        <v>4</v>
      </c>
      <c r="E6" s="20">
        <v>44893.572569444441</v>
      </c>
      <c r="F6" s="20">
        <v>41166</v>
      </c>
      <c r="G6" s="22">
        <v>433.54192724694099</v>
      </c>
      <c r="H6" s="22">
        <v>18.259999998612201</v>
      </c>
      <c r="I6" s="43">
        <v>4.0000000000000002E-4</v>
      </c>
      <c r="J6" s="21">
        <v>2.8999999999999998E-3</v>
      </c>
      <c r="K6" s="43"/>
      <c r="L6" s="21"/>
      <c r="M6" s="21"/>
      <c r="N6" s="21"/>
      <c r="O6" s="22"/>
      <c r="P6" s="22"/>
      <c r="Q6" s="22"/>
      <c r="R6" s="22"/>
      <c r="S6" s="22"/>
      <c r="T6" s="22"/>
    </row>
    <row r="7" spans="1:20" x14ac:dyDescent="0.35">
      <c r="A7" t="s">
        <v>35</v>
      </c>
      <c r="B7" s="19">
        <v>1241</v>
      </c>
      <c r="C7" s="19">
        <v>16</v>
      </c>
      <c r="D7" s="19" t="s">
        <v>4</v>
      </c>
      <c r="E7" s="20">
        <v>44939.567002314812</v>
      </c>
      <c r="F7" s="20">
        <v>41166</v>
      </c>
      <c r="G7" s="22">
        <v>434.45088886239699</v>
      </c>
      <c r="H7" s="22">
        <v>18.259999998612201</v>
      </c>
      <c r="I7" s="43">
        <v>2.0112999999999999</v>
      </c>
      <c r="J7" s="21">
        <v>14.956799999999999</v>
      </c>
      <c r="K7" s="43"/>
      <c r="L7" s="21"/>
      <c r="M7" s="19"/>
      <c r="N7" s="19"/>
      <c r="O7" s="19"/>
      <c r="P7" s="19"/>
      <c r="Q7" s="19"/>
      <c r="R7" s="19"/>
      <c r="S7" s="22"/>
      <c r="T7" s="22"/>
    </row>
    <row r="8" spans="1:20" x14ac:dyDescent="0.35">
      <c r="A8" t="s">
        <v>35</v>
      </c>
      <c r="B8" s="19">
        <v>1235</v>
      </c>
      <c r="C8" s="19">
        <v>16</v>
      </c>
      <c r="D8" s="19" t="s">
        <v>4</v>
      </c>
      <c r="E8" s="20">
        <v>44893.559050925927</v>
      </c>
      <c r="F8" s="20">
        <v>41166</v>
      </c>
      <c r="G8" s="22">
        <v>433.51991556808798</v>
      </c>
      <c r="H8" s="22">
        <v>18.259999998612201</v>
      </c>
      <c r="I8" s="43">
        <v>21.81</v>
      </c>
      <c r="J8" s="21">
        <v>158.67240000000001</v>
      </c>
      <c r="K8" s="43"/>
      <c r="L8" s="21"/>
      <c r="M8" s="19"/>
      <c r="N8" s="19"/>
      <c r="O8" s="19"/>
      <c r="P8" s="19"/>
      <c r="Q8" s="19"/>
      <c r="R8" s="19"/>
      <c r="S8" s="22"/>
      <c r="T8" s="22"/>
    </row>
    <row r="9" spans="1:20" x14ac:dyDescent="0.35">
      <c r="A9" t="s">
        <v>35</v>
      </c>
      <c r="B9" s="19">
        <v>197</v>
      </c>
      <c r="C9" s="19">
        <v>17</v>
      </c>
      <c r="D9" s="19" t="s">
        <v>4</v>
      </c>
      <c r="E9" s="20">
        <v>44473.584976851853</v>
      </c>
      <c r="F9" s="20">
        <v>41377</v>
      </c>
      <c r="G9" s="22">
        <v>435.10187449062698</v>
      </c>
      <c r="H9" s="22">
        <v>19.7899983277443</v>
      </c>
      <c r="I9" s="43">
        <v>24.54</v>
      </c>
      <c r="J9" s="21">
        <v>226.48509999999999</v>
      </c>
      <c r="K9" s="43"/>
      <c r="L9" s="21"/>
      <c r="M9" s="19"/>
      <c r="N9" s="19"/>
      <c r="O9" s="19"/>
      <c r="P9" s="19"/>
      <c r="Q9" s="19"/>
      <c r="R9" s="19"/>
      <c r="S9" s="22"/>
      <c r="T9" s="22"/>
    </row>
    <row r="10" spans="1:20" x14ac:dyDescent="0.35">
      <c r="A10" t="s">
        <v>35</v>
      </c>
      <c r="B10" s="19">
        <v>1241</v>
      </c>
      <c r="C10" s="19">
        <v>17</v>
      </c>
      <c r="D10" s="19" t="s">
        <v>4</v>
      </c>
      <c r="E10" s="20">
        <v>44939.567002314812</v>
      </c>
      <c r="F10" s="20">
        <v>41377</v>
      </c>
      <c r="G10" s="22">
        <v>434.45088886239699</v>
      </c>
      <c r="H10" s="22">
        <v>19.7899983277443</v>
      </c>
      <c r="I10" s="43">
        <v>1.1525000000000001</v>
      </c>
      <c r="J10" s="21">
        <v>18.2224</v>
      </c>
      <c r="K10" s="43"/>
      <c r="L10" s="21"/>
      <c r="M10" s="19"/>
      <c r="N10" s="19"/>
      <c r="O10" s="19"/>
      <c r="P10" s="19"/>
      <c r="Q10" s="19"/>
      <c r="R10" s="19"/>
      <c r="S10" s="22"/>
      <c r="T10" s="22"/>
    </row>
    <row r="11" spans="1:20" x14ac:dyDescent="0.35">
      <c r="A11" t="s">
        <v>35</v>
      </c>
      <c r="B11" s="19">
        <v>205</v>
      </c>
      <c r="C11" s="19">
        <v>17</v>
      </c>
      <c r="D11" s="19" t="s">
        <v>4</v>
      </c>
      <c r="E11" s="20">
        <v>44524.517384259256</v>
      </c>
      <c r="F11" s="20">
        <v>41377</v>
      </c>
      <c r="G11" s="22">
        <v>434.75770544244102</v>
      </c>
      <c r="H11" s="22">
        <v>19.7899983277443</v>
      </c>
      <c r="I11" s="43">
        <v>46.265999999999998</v>
      </c>
      <c r="J11" s="21">
        <v>396.34890000000001</v>
      </c>
      <c r="K11" s="43"/>
      <c r="L11" s="21"/>
      <c r="M11" s="19"/>
      <c r="N11" s="19"/>
      <c r="O11" s="19"/>
      <c r="P11" s="19"/>
      <c r="Q11" s="19"/>
      <c r="R11" s="19"/>
      <c r="S11" s="22"/>
      <c r="T11" s="22"/>
    </row>
    <row r="12" spans="1:20" x14ac:dyDescent="0.35">
      <c r="A12" t="s">
        <v>35</v>
      </c>
      <c r="B12" s="19">
        <v>203</v>
      </c>
      <c r="C12" s="19">
        <v>7</v>
      </c>
      <c r="D12" s="19" t="s">
        <v>24</v>
      </c>
      <c r="E12" s="20">
        <v>44496.480810185189</v>
      </c>
      <c r="F12" s="20">
        <v>41492.000011574077</v>
      </c>
      <c r="G12" s="22">
        <v>434.94679414813902</v>
      </c>
      <c r="H12" s="22">
        <v>250.44122530300501</v>
      </c>
      <c r="I12" s="43">
        <v>29.760999999999999</v>
      </c>
      <c r="J12" s="21">
        <v>22.006</v>
      </c>
      <c r="K12" s="43"/>
      <c r="L12" s="21"/>
      <c r="M12" s="19"/>
      <c r="N12" s="19"/>
      <c r="O12" s="19"/>
      <c r="P12" s="19"/>
      <c r="Q12" s="19"/>
      <c r="R12" s="19"/>
      <c r="S12" s="22"/>
      <c r="T12" s="22"/>
    </row>
    <row r="13" spans="1:20" x14ac:dyDescent="0.35">
      <c r="A13" t="s">
        <v>35</v>
      </c>
      <c r="B13" s="19">
        <v>1241</v>
      </c>
      <c r="C13" s="19">
        <v>27</v>
      </c>
      <c r="D13" s="19" t="s">
        <v>23</v>
      </c>
      <c r="E13" s="20">
        <v>44939.567002314812</v>
      </c>
      <c r="F13" s="20">
        <v>41521</v>
      </c>
      <c r="G13" s="22">
        <v>434.45088886239699</v>
      </c>
      <c r="H13" s="22">
        <v>17.093261768828398</v>
      </c>
      <c r="I13" s="43">
        <v>0.64380000000000004</v>
      </c>
      <c r="J13" s="21">
        <v>13.0237</v>
      </c>
      <c r="K13" s="43"/>
      <c r="L13" s="21"/>
      <c r="M13" s="19"/>
      <c r="N13" s="19"/>
      <c r="O13" s="19"/>
      <c r="P13" s="19"/>
      <c r="Q13" s="19"/>
      <c r="R13" s="19"/>
      <c r="S13" s="22"/>
      <c r="T13" s="22"/>
    </row>
    <row r="14" spans="1:20" x14ac:dyDescent="0.35">
      <c r="A14" t="s">
        <v>35</v>
      </c>
      <c r="B14" s="19">
        <v>203</v>
      </c>
      <c r="C14" s="19">
        <v>37</v>
      </c>
      <c r="D14" s="19" t="s">
        <v>25</v>
      </c>
      <c r="E14" s="20">
        <v>44496.480810185189</v>
      </c>
      <c r="F14" s="20">
        <v>41534</v>
      </c>
      <c r="G14" s="22">
        <v>434.94679414813902</v>
      </c>
      <c r="H14" s="22">
        <v>13.029995048601901</v>
      </c>
      <c r="I14" s="43">
        <v>4.9630000000000001</v>
      </c>
      <c r="J14" s="21">
        <v>76.745999999999995</v>
      </c>
      <c r="K14" s="43"/>
      <c r="L14" s="21"/>
      <c r="M14" s="19"/>
      <c r="N14" s="19"/>
      <c r="O14" s="19"/>
      <c r="P14" s="19"/>
      <c r="Q14" s="19"/>
      <c r="R14" s="19"/>
      <c r="S14" s="22"/>
      <c r="T14" s="22"/>
    </row>
    <row r="15" spans="1:20" x14ac:dyDescent="0.35">
      <c r="A15" t="s">
        <v>35</v>
      </c>
      <c r="B15" s="19">
        <v>1241</v>
      </c>
      <c r="C15" s="19">
        <v>108</v>
      </c>
      <c r="D15" s="19" t="s">
        <v>26</v>
      </c>
      <c r="E15" s="20">
        <v>44939.567002314812</v>
      </c>
      <c r="F15" s="20">
        <v>42387.492534722223</v>
      </c>
      <c r="G15" s="22">
        <v>434.45088886239699</v>
      </c>
      <c r="H15" s="22">
        <v>1860.4651162790601</v>
      </c>
      <c r="I15" s="43">
        <v>2.0644</v>
      </c>
      <c r="J15" s="21">
        <v>0.53749999999999998</v>
      </c>
      <c r="K15" s="43"/>
      <c r="L15" s="21"/>
      <c r="M15" s="19"/>
      <c r="N15" s="19"/>
      <c r="O15" s="19"/>
      <c r="P15" s="19"/>
      <c r="Q15" s="19"/>
      <c r="R15" s="19"/>
      <c r="S15" s="22"/>
      <c r="T15" s="22"/>
    </row>
    <row r="16" spans="1:20" x14ac:dyDescent="0.35">
      <c r="G16" s="27">
        <f>'28-Euro Fund'!E10</f>
        <v>460.31400000000002</v>
      </c>
    </row>
    <row r="17" spans="5:17" ht="15" thickBot="1" x14ac:dyDescent="0.4">
      <c r="Q17" s="13"/>
    </row>
    <row r="18" spans="5:17" x14ac:dyDescent="0.35">
      <c r="E18" s="29" t="s">
        <v>32</v>
      </c>
      <c r="F18" s="30"/>
      <c r="G18" s="31"/>
    </row>
    <row r="19" spans="5:17" x14ac:dyDescent="0.35">
      <c r="E19" s="42" t="s">
        <v>29</v>
      </c>
      <c r="F19" s="40" t="s">
        <v>2</v>
      </c>
      <c r="G19" s="41" t="s">
        <v>30</v>
      </c>
    </row>
    <row r="20" spans="5:17" x14ac:dyDescent="0.35">
      <c r="E20" s="34">
        <v>36871</v>
      </c>
      <c r="F20" s="12">
        <v>7.1680000000000001</v>
      </c>
      <c r="G20" s="35">
        <v>3087.53</v>
      </c>
    </row>
    <row r="21" spans="5:17" x14ac:dyDescent="0.35">
      <c r="E21" s="34">
        <v>36889</v>
      </c>
      <c r="F21" s="12">
        <v>9.6880000000000006</v>
      </c>
      <c r="G21" s="35">
        <v>3005.06</v>
      </c>
    </row>
    <row r="22" spans="5:17" x14ac:dyDescent="0.35">
      <c r="E22" s="34">
        <v>36913</v>
      </c>
      <c r="F22" s="12">
        <v>1.778</v>
      </c>
      <c r="G22" s="35">
        <v>601.01</v>
      </c>
    </row>
    <row r="23" spans="5:17" x14ac:dyDescent="0.35">
      <c r="E23" s="34">
        <v>41169</v>
      </c>
      <c r="F23" s="12">
        <v>2E-3</v>
      </c>
      <c r="G23" s="35">
        <v>0.23</v>
      </c>
    </row>
    <row r="24" spans="5:17" x14ac:dyDescent="0.35">
      <c r="E24" s="32" t="s">
        <v>33</v>
      </c>
      <c r="F24" s="33">
        <f>SUM(F20:F23)</f>
        <v>18.635999999999999</v>
      </c>
      <c r="G24" s="36">
        <f>SUM(G20:G23)</f>
        <v>6693.83</v>
      </c>
    </row>
    <row r="25" spans="5:17" x14ac:dyDescent="0.35">
      <c r="E25" s="42" t="s">
        <v>31</v>
      </c>
      <c r="F25" s="40" t="s">
        <v>2</v>
      </c>
      <c r="G25" s="41" t="s">
        <v>30</v>
      </c>
    </row>
    <row r="26" spans="5:17" x14ac:dyDescent="0.35">
      <c r="E26" s="34">
        <v>45495</v>
      </c>
      <c r="F26" s="12">
        <v>18.635999999999999</v>
      </c>
      <c r="G26" s="35">
        <v>8530.48</v>
      </c>
    </row>
    <row r="27" spans="5:17" ht="15" thickBot="1" x14ac:dyDescent="0.4">
      <c r="E27" s="37"/>
      <c r="F27" s="38" t="s">
        <v>9</v>
      </c>
      <c r="G27" s="39">
        <f>G26-G24</f>
        <v>1836.6499999999996</v>
      </c>
    </row>
    <row r="28" spans="5:17" x14ac:dyDescent="0.35">
      <c r="J28" s="28"/>
    </row>
    <row r="35" spans="19:19" x14ac:dyDescent="0.35">
      <c r="S35" s="22" t="e">
        <f>S$3/#REF!*G35</f>
        <v>#REF!</v>
      </c>
    </row>
    <row r="36" spans="19:19" x14ac:dyDescent="0.35">
      <c r="S36" s="77"/>
    </row>
    <row r="37" spans="19:19" x14ac:dyDescent="0.35">
      <c r="S37" s="22"/>
    </row>
    <row r="38" spans="19:19" x14ac:dyDescent="0.35">
      <c r="S38" s="22"/>
    </row>
  </sheetData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314E9-3809-4674-908D-2CD9389C4479}">
  <sheetPr>
    <tabColor rgb="FF92D050"/>
  </sheetPr>
  <dimension ref="A1:F4"/>
  <sheetViews>
    <sheetView zoomScale="175" zoomScaleNormal="175" workbookViewId="0">
      <pane ySplit="1" topLeftCell="A2" activePane="bottomLeft" state="frozen"/>
      <selection activeCell="E4" sqref="E4"/>
      <selection pane="bottomLeft" activeCell="D6" sqref="D6"/>
    </sheetView>
  </sheetViews>
  <sheetFormatPr defaultRowHeight="14.5" x14ac:dyDescent="0.35"/>
  <cols>
    <col min="2" max="2" width="8.81640625" bestFit="1" customWidth="1"/>
    <col min="3" max="3" width="10.81640625" bestFit="1" customWidth="1"/>
    <col min="6" max="6" width="9.7265625" bestFit="1" customWidth="1"/>
    <col min="7" max="7" width="2.6328125" customWidth="1"/>
  </cols>
  <sheetData>
    <row r="1" spans="1:6" x14ac:dyDescent="0.35">
      <c r="A1" s="48"/>
      <c r="B1" s="48"/>
      <c r="C1" s="48"/>
      <c r="D1" s="48" t="s">
        <v>2</v>
      </c>
      <c r="E1" s="48" t="s">
        <v>3</v>
      </c>
      <c r="F1" s="48" t="s">
        <v>42</v>
      </c>
    </row>
    <row r="2" spans="1:6" x14ac:dyDescent="0.35">
      <c r="A2" s="1">
        <v>199</v>
      </c>
      <c r="B2" s="1" t="s">
        <v>0</v>
      </c>
      <c r="C2" s="3">
        <v>44476</v>
      </c>
      <c r="D2" s="1">
        <v>765.3691</v>
      </c>
      <c r="E2" s="5">
        <v>13.0395</v>
      </c>
      <c r="F2" s="5">
        <v>9980.0300000000007</v>
      </c>
    </row>
    <row r="3" spans="1:6" x14ac:dyDescent="0.35">
      <c r="A3" s="1">
        <v>1229</v>
      </c>
      <c r="B3" s="1" t="s">
        <v>1</v>
      </c>
      <c r="C3" s="3">
        <v>44844</v>
      </c>
      <c r="D3" s="1">
        <v>765.3691</v>
      </c>
      <c r="E3" s="5">
        <v>12.534000000000001</v>
      </c>
      <c r="F3" s="5">
        <v>9593.14</v>
      </c>
    </row>
    <row r="4" spans="1:6" x14ac:dyDescent="0.35">
      <c r="E4" s="8" t="s">
        <v>9</v>
      </c>
      <c r="F4" s="4">
        <f>+F3-F2</f>
        <v>-386.89000000000124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F4B26-8441-4E30-983C-8CF529BC519B}">
  <sheetPr>
    <tabColor rgb="FF92D050"/>
  </sheetPr>
  <dimension ref="A1:R8"/>
  <sheetViews>
    <sheetView zoomScale="115" zoomScaleNormal="115" workbookViewId="0">
      <pane ySplit="1" topLeftCell="A2" activePane="bottomLeft" state="frozen"/>
      <selection activeCell="E4" sqref="E4"/>
      <selection pane="bottomLeft" activeCell="E4" sqref="E4"/>
    </sheetView>
  </sheetViews>
  <sheetFormatPr defaultRowHeight="14.5" x14ac:dyDescent="0.35"/>
  <cols>
    <col min="1" max="1" width="4.81640625" bestFit="1" customWidth="1"/>
    <col min="2" max="2" width="5.08984375" bestFit="1" customWidth="1"/>
    <col min="3" max="3" width="6.453125" bestFit="1" customWidth="1"/>
    <col min="4" max="4" width="13.1796875" bestFit="1" customWidth="1"/>
    <col min="5" max="6" width="10.81640625" style="2" customWidth="1"/>
    <col min="7" max="7" width="9" bestFit="1" customWidth="1"/>
    <col min="8" max="8" width="7.81640625" customWidth="1"/>
    <col min="9" max="10" width="9.08984375" bestFit="1" customWidth="1"/>
    <col min="11" max="11" width="8.54296875" bestFit="1" customWidth="1"/>
    <col min="12" max="12" width="11.54296875" bestFit="1" customWidth="1"/>
    <col min="13" max="13" width="8.54296875" customWidth="1"/>
    <col min="14" max="14" width="10.7265625" customWidth="1"/>
    <col min="15" max="15" width="11.08984375" customWidth="1"/>
    <col min="16" max="16" width="11.1796875" customWidth="1"/>
    <col min="17" max="17" width="10.453125" customWidth="1"/>
    <col min="18" max="18" width="9.81640625" customWidth="1"/>
  </cols>
  <sheetData>
    <row r="1" spans="1:18" ht="25.5" customHeight="1" x14ac:dyDescent="0.35">
      <c r="A1" s="14" t="s">
        <v>34</v>
      </c>
      <c r="B1" s="14" t="s">
        <v>6</v>
      </c>
      <c r="C1" s="7" t="s">
        <v>5</v>
      </c>
      <c r="D1" s="7" t="s">
        <v>21</v>
      </c>
      <c r="E1" s="15" t="s">
        <v>27</v>
      </c>
      <c r="F1" s="15" t="s">
        <v>7</v>
      </c>
      <c r="G1" s="18" t="s">
        <v>3</v>
      </c>
      <c r="H1" s="18" t="s">
        <v>18</v>
      </c>
      <c r="I1" s="16" t="s">
        <v>2</v>
      </c>
      <c r="J1" s="17" t="s">
        <v>13</v>
      </c>
      <c r="K1" s="45" t="s">
        <v>8</v>
      </c>
      <c r="L1" s="17" t="s">
        <v>14</v>
      </c>
      <c r="M1" s="7" t="s">
        <v>15</v>
      </c>
      <c r="N1" s="7" t="s">
        <v>16</v>
      </c>
      <c r="O1" s="11" t="s">
        <v>19</v>
      </c>
      <c r="P1" s="7" t="s">
        <v>28</v>
      </c>
      <c r="Q1" s="7" t="s">
        <v>20</v>
      </c>
      <c r="R1" s="7" t="s">
        <v>17</v>
      </c>
    </row>
    <row r="2" spans="1:18" x14ac:dyDescent="0.35">
      <c r="A2" t="s">
        <v>35</v>
      </c>
      <c r="B2" s="19">
        <v>199</v>
      </c>
      <c r="C2" s="19">
        <v>15</v>
      </c>
      <c r="D2" s="19" t="s">
        <v>22</v>
      </c>
      <c r="E2" s="20">
        <v>44476.938761574071</v>
      </c>
      <c r="F2" s="20">
        <v>36841</v>
      </c>
      <c r="G2" s="22">
        <v>433.54192724694099</v>
      </c>
      <c r="H2" s="22">
        <v>22.9920399034783</v>
      </c>
      <c r="I2" s="19">
        <v>765.3691</v>
      </c>
      <c r="J2" s="19">
        <v>357.97120000000001</v>
      </c>
      <c r="K2" s="43">
        <f>K3</f>
        <v>765.3691</v>
      </c>
      <c r="L2" s="21">
        <f>J2/I2*K2</f>
        <v>357.97120000000001</v>
      </c>
      <c r="M2" s="21">
        <f>I2-K2</f>
        <v>0</v>
      </c>
      <c r="N2" s="21">
        <f>J2-L2</f>
        <v>0</v>
      </c>
      <c r="O2" s="22">
        <f>$H2*L2</f>
        <v>8230.4881146960124</v>
      </c>
      <c r="P2" s="22">
        <f>$H2*N2</f>
        <v>0</v>
      </c>
      <c r="Q2" s="22">
        <f>K3*G3-O2</f>
        <v>1362.6481847039886</v>
      </c>
      <c r="R2" s="22"/>
    </row>
    <row r="3" spans="1:18" x14ac:dyDescent="0.35">
      <c r="A3" t="s">
        <v>36</v>
      </c>
      <c r="B3" s="23">
        <v>1229</v>
      </c>
      <c r="C3" s="23"/>
      <c r="D3" s="23"/>
      <c r="E3" s="24">
        <v>44844.783541666664</v>
      </c>
      <c r="F3" s="24"/>
      <c r="G3" s="23">
        <v>12.534000000000001</v>
      </c>
      <c r="H3" s="23"/>
      <c r="I3" s="23">
        <v>765.3691</v>
      </c>
      <c r="J3" s="23"/>
      <c r="K3" s="23">
        <f>I3</f>
        <v>765.3691</v>
      </c>
      <c r="L3" s="23"/>
      <c r="M3" s="23"/>
      <c r="N3" s="23"/>
      <c r="O3" s="23"/>
      <c r="P3" s="23"/>
      <c r="Q3" s="23"/>
      <c r="R3" s="23"/>
    </row>
    <row r="5" spans="1:18" x14ac:dyDescent="0.35">
      <c r="G5" s="8" t="s">
        <v>37</v>
      </c>
      <c r="H5" s="47" t="s">
        <v>38</v>
      </c>
      <c r="J5" s="1"/>
    </row>
    <row r="6" spans="1:18" x14ac:dyDescent="0.35">
      <c r="G6">
        <v>29</v>
      </c>
      <c r="H6" t="s">
        <v>39</v>
      </c>
      <c r="K6">
        <f>J2</f>
        <v>357.97120000000001</v>
      </c>
    </row>
    <row r="7" spans="1:18" x14ac:dyDescent="0.35">
      <c r="G7">
        <v>28</v>
      </c>
      <c r="H7" t="s">
        <v>40</v>
      </c>
      <c r="K7">
        <v>321.66890000000001</v>
      </c>
    </row>
    <row r="8" spans="1:18" x14ac:dyDescent="0.35">
      <c r="H8" s="47" t="s">
        <v>41</v>
      </c>
      <c r="K8" s="47">
        <f>SUM(K6:K7)</f>
        <v>679.64010000000007</v>
      </c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Compra 15</vt:lpstr>
      <vt:lpstr>27-Global Tech</vt:lpstr>
      <vt:lpstr>Orig Vendes Reals 27</vt:lpstr>
      <vt:lpstr>28-Euro Fund</vt:lpstr>
      <vt:lpstr>Orig Vendes Reals 28</vt:lpstr>
      <vt:lpstr>29-CS Corto Plazo</vt:lpstr>
      <vt:lpstr>Orig Vendes Reals 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joanp</dc:creator>
  <cp:lastModifiedBy>joanp</cp:lastModifiedBy>
  <dcterms:created xsi:type="dcterms:W3CDTF">2024-09-07T17:22:57Z</dcterms:created>
  <dcterms:modified xsi:type="dcterms:W3CDTF">2024-09-15T11:53:42Z</dcterms:modified>
</cp:coreProperties>
</file>