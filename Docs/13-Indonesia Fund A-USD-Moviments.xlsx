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8ECC8790-D265-404B-9395-10EDC21F67C3}" xr6:coauthVersionLast="47" xr6:coauthVersionMax="47" xr10:uidLastSave="{00000000-0000-0000-0000-000000000000}"/>
  <bookViews>
    <workbookView xWindow="22932" yWindow="0" windowWidth="23256" windowHeight="12576" activeTab="1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J2" i="3" l="1"/>
  <c r="L3" i="4" l="1"/>
  <c r="K2" i="4"/>
  <c r="P3" i="4" l="1"/>
  <c r="L2" i="4" l="1"/>
  <c r="H2" i="3"/>
  <c r="H3" i="3" l="1"/>
  <c r="N2" i="4"/>
  <c r="M2" i="4" l="1"/>
  <c r="P2" i="4" s="1"/>
  <c r="R2" i="4" s="1"/>
  <c r="O2" i="4"/>
  <c r="Q2" i="4" s="1"/>
  <c r="S2" i="4" s="1"/>
  <c r="T2" i="4" l="1"/>
</calcChain>
</file>

<file path=xl/sharedStrings.xml><?xml version="1.0" encoding="utf-8"?>
<sst xmlns="http://schemas.openxmlformats.org/spreadsheetml/2006/main" count="35" uniqueCount="31">
  <si>
    <t>Traspàs C</t>
  </si>
  <si>
    <t>Id</t>
  </si>
  <si>
    <t>Mov</t>
  </si>
  <si>
    <t>Data</t>
  </si>
  <si>
    <t>Parts</t>
  </si>
  <si>
    <t>Brut</t>
  </si>
  <si>
    <t>PU</t>
  </si>
  <si>
    <t>Saldo parts</t>
  </si>
  <si>
    <t>Id Orig</t>
  </si>
  <si>
    <t>Nom Fons Orig</t>
  </si>
  <si>
    <t>Data Compra Venda</t>
  </si>
  <si>
    <t>Data Orig Compra</t>
  </si>
  <si>
    <t>PU Orig</t>
  </si>
  <si>
    <t>Parts Orig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</si>
  <si>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</si>
  <si>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</si>
  <si>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</si>
  <si>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</si>
  <si>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</si>
  <si>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</si>
  <si>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</si>
  <si>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</si>
  <si>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</si>
  <si>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CT</t>
  </si>
  <si>
    <t>PiG</t>
  </si>
  <si>
    <t>V</t>
  </si>
  <si>
    <t>Venda</t>
  </si>
  <si>
    <t>Cartera</t>
  </si>
  <si>
    <t>Parts VT o Ocup</t>
  </si>
  <si>
    <t>Imp. Vendes</t>
  </si>
  <si>
    <t>American Extended Alpha R USD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</si>
</sst>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8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65" fontId="0" fillId="2" borderId="1" xfId="0" applyNumberFormat="1" applyFill="1" applyBorder="1"/>
    <xf numFmtId="166" fontId="0" fillId="3" borderId="0" xfId="0" applyNumberFormat="1" applyFill="1" applyAlignment="1">
      <alignment vertical="center" wrapText="1"/>
    </xf>
    <xf numFmtId="167" fontId="0" fillId="3" borderId="0" xfId="0" applyNumberFormat="1" applyFill="1"/>
    <xf numFmtId="164" fontId="0" fillId="3" borderId="0" xfId="0" applyNumberFormat="1" applyFill="1"/>
    <xf numFmtId="165" fontId="0" fillId="3" borderId="1" xfId="0" applyNumberFormat="1" applyFill="1" applyBorder="1"/>
    <xf numFmtId="165" fontId="0" fillId="3" borderId="0" xfId="0" applyNumberFormat="1" applyFill="1"/>
    <xf numFmtId="168" fontId="0" fillId="3" borderId="0" xfId="0" applyNumberFormat="1" applyFill="1"/>
    <xf numFmtId="169" fontId="0" fillId="0" borderId="0" xfId="0" applyNumberFormat="1"/>
    <xf numFmtId="0" fontId="1" fillId="0" borderId="2" xfId="0" applyFont="1" applyBorder="1" applyAlignment="1">
      <alignment horizontal="center" vertical="center"/>
    </xf>
    <xf numFmtId="164" fontId="0" fillId="2" borderId="3" xfId="0" applyNumberFormat="1" applyFill="1" applyBorder="1"/>
    <xf numFmtId="164" fontId="0" fillId="3" borderId="3" xfId="0" applyNumberFormat="1" applyFill="1" applyBorder="1"/>
    <xf numFmtId="8" fontId="1" fillId="0" borderId="0" xfId="0" applyNumberFormat="1" applyFont="1" applyAlignment="1">
      <alignment vertical="center" wrapText="1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5"/>
  <sheetViews>
    <sheetView zoomScale="130" zoomScaleNormal="130" workbookViewId="0">
      <selection activeCell="J3" sqref="J3"/>
    </sheetView>
  </sheetViews>
  <sheetFormatPr defaultRowHeight="14.5" x14ac:dyDescent="0.35"/>
  <cols>
    <col min="1" max="1" width="4.81640625" bestFit="1" customWidth="1"/>
    <col min="2" max="2" width="8.81640625" bestFit="1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11.26953125" bestFit="1" customWidth="1"/>
  </cols>
  <sheetData>
    <row r="1" spans="1:10" ht="29" x14ac:dyDescent="0.35">
      <c r="A1" s="3" t="s">
        <v>1</v>
      </c>
      <c r="C1" s="3" t="s">
        <v>3</v>
      </c>
      <c r="D1" s="3" t="s">
        <v>4</v>
      </c>
      <c r="E1" s="3" t="s">
        <v>6</v>
      </c>
      <c r="F1" s="3" t="s">
        <v>5</v>
      </c>
      <c r="H1" s="8" t="s">
        <v>7</v>
      </c>
      <c r="I1" s="8" t="s">
        <v>29</v>
      </c>
      <c r="J1" s="8" t="s">
        <v>24</v>
      </c>
    </row>
    <row r="2" spans="1:10" x14ac:dyDescent="0.35">
      <c r="A2" s="5">
        <v>34</v>
      </c>
      <c r="B2" s="5" t="s">
        <v>0</v>
      </c>
      <c r="C2" s="6">
        <v>41385</v>
      </c>
      <c r="D2" s="5">
        <v>394.85</v>
      </c>
      <c r="E2" s="7">
        <v>26.2791</v>
      </c>
      <c r="F2" s="7">
        <v>10376.299999999999</v>
      </c>
      <c r="H2">
        <f>D2</f>
        <v>394.85</v>
      </c>
      <c r="I2" s="4"/>
      <c r="J2" s="4">
        <f>F3-F2</f>
        <v>-659.43999999999869</v>
      </c>
    </row>
    <row r="3" spans="1:10" x14ac:dyDescent="0.35">
      <c r="A3" s="5">
        <v>42</v>
      </c>
      <c r="B3" s="5" t="s">
        <v>26</v>
      </c>
      <c r="C3" s="6">
        <v>41436</v>
      </c>
      <c r="D3" s="5">
        <v>394.85</v>
      </c>
      <c r="E3" s="7">
        <v>24.609000000000002</v>
      </c>
      <c r="F3" s="7">
        <v>9716.86</v>
      </c>
      <c r="H3" s="1">
        <f>H2-D3</f>
        <v>0</v>
      </c>
    </row>
    <row r="4" spans="1:10" x14ac:dyDescent="0.35">
      <c r="B4" s="5" t="s">
        <v>27</v>
      </c>
      <c r="D4" s="5">
        <v>0</v>
      </c>
    </row>
    <row r="5" spans="1:10" x14ac:dyDescent="0.35">
      <c r="D5" s="29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5"/>
  <sheetViews>
    <sheetView tabSelected="1" zoomScale="160" zoomScaleNormal="160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B17" sqref="B17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12.453125" bestFit="1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.54296875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9" t="s">
        <v>2</v>
      </c>
      <c r="B1" s="10" t="s">
        <v>1</v>
      </c>
      <c r="C1" s="9" t="s">
        <v>8</v>
      </c>
      <c r="D1" s="9" t="s">
        <v>9</v>
      </c>
      <c r="E1" s="11" t="s">
        <v>10</v>
      </c>
      <c r="F1" s="9" t="s">
        <v>11</v>
      </c>
      <c r="G1" s="3" t="s">
        <v>6</v>
      </c>
      <c r="H1" s="3" t="s">
        <v>12</v>
      </c>
      <c r="I1" s="30" t="s">
        <v>4</v>
      </c>
      <c r="J1" s="12" t="s">
        <v>13</v>
      </c>
      <c r="K1" s="9" t="s">
        <v>28</v>
      </c>
      <c r="L1" s="9" t="s">
        <v>14</v>
      </c>
      <c r="M1" s="9" t="s">
        <v>15</v>
      </c>
      <c r="N1" s="9" t="s">
        <v>16</v>
      </c>
      <c r="O1" s="9" t="s">
        <v>17</v>
      </c>
      <c r="P1" s="8" t="s">
        <v>18</v>
      </c>
      <c r="Q1" s="9" t="s">
        <v>19</v>
      </c>
      <c r="R1" s="9" t="s">
        <v>20</v>
      </c>
      <c r="S1" s="9" t="s">
        <v>21</v>
      </c>
      <c r="T1" s="9" t="s">
        <v>22</v>
      </c>
    </row>
    <row r="2" spans="1:20" x14ac:dyDescent="0.35">
      <c r="A2" s="13" t="s">
        <v>23</v>
      </c>
      <c r="B2" s="13">
        <v>34</v>
      </c>
      <c r="C2" s="13">
        <v>32</v>
      </c>
      <c r="D2" s="13" t="s">
        <v>30</v>
      </c>
      <c r="E2" s="14">
        <v>41385.001388888886</v>
      </c>
      <c r="F2" s="14">
        <v>41166.001388888886</v>
      </c>
      <c r="G2" s="15">
        <v>26.279093326579702</v>
      </c>
      <c r="H2" s="16">
        <v>1.9974000000000001</v>
      </c>
      <c r="I2" s="31">
        <v>394.85</v>
      </c>
      <c r="J2" s="22">
        <v>5006.5078999999996</v>
      </c>
      <c r="K2" s="17">
        <f>K3</f>
        <v>0</v>
      </c>
      <c r="L2" s="17">
        <f>SUM(L3)</f>
        <v>394.85</v>
      </c>
      <c r="M2" s="17">
        <f>J2/I2*L2</f>
        <v>5006.5078999999996</v>
      </c>
      <c r="N2" s="18">
        <f>I2-(L2+K2)</f>
        <v>0</v>
      </c>
      <c r="O2" s="18">
        <f>J2/I2*N2</f>
        <v>0</v>
      </c>
      <c r="P2" s="19">
        <f>H2*M2</f>
        <v>9999.9988794599994</v>
      </c>
      <c r="Q2" s="16">
        <f>O2*H2</f>
        <v>0</v>
      </c>
      <c r="R2" s="16">
        <f>SUM(P3)-P2</f>
        <v>-283.13487945998349</v>
      </c>
      <c r="S2" s="16">
        <f>N2*G$4-Q2</f>
        <v>0</v>
      </c>
      <c r="T2" s="16">
        <f>R2+S2</f>
        <v>-283.13487945998349</v>
      </c>
    </row>
    <row r="3" spans="1:20" x14ac:dyDescent="0.35">
      <c r="A3" s="20" t="s">
        <v>25</v>
      </c>
      <c r="B3" s="20">
        <v>42</v>
      </c>
      <c r="C3" s="20"/>
      <c r="D3" s="20"/>
      <c r="E3" s="21">
        <v>41436.001388888886</v>
      </c>
      <c r="F3" s="21"/>
      <c r="G3" s="23">
        <v>24.609000886412598</v>
      </c>
      <c r="H3" s="24"/>
      <c r="I3" s="32">
        <v>394.85</v>
      </c>
      <c r="J3" s="26"/>
      <c r="K3" s="25"/>
      <c r="L3" s="25">
        <f>I2</f>
        <v>394.85</v>
      </c>
      <c r="M3" s="25"/>
      <c r="N3" s="27"/>
      <c r="O3" s="27"/>
      <c r="P3" s="28">
        <f>L3*G3</f>
        <v>9716.8640000000159</v>
      </c>
      <c r="Q3" s="24"/>
      <c r="R3" s="24"/>
      <c r="S3" s="24"/>
      <c r="T3" s="24"/>
    </row>
    <row r="4" spans="1:20" x14ac:dyDescent="0.35">
      <c r="A4" s="34" t="s">
        <v>27</v>
      </c>
      <c r="G4" s="33">
        <v>0</v>
      </c>
      <c r="K4" s="2"/>
      <c r="N4" s="35">
        <v>0</v>
      </c>
    </row>
    <row r="5" spans="1:20" x14ac:dyDescent="0.35">
      <c r="I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2024-09-19T16:16:56Z</dcterms:modified>
</cp:coreProperties>
</file>