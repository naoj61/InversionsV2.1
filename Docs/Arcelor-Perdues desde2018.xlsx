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P26" i="2"/>
  <c r="O26"/>
  <c r="O31"/>
  <c r="F46"/>
  <c r="P14"/>
  <c r="O14"/>
  <c r="N14"/>
  <c r="M14"/>
  <c r="P11"/>
  <c r="O11"/>
  <c r="N11"/>
  <c r="M11"/>
  <c r="N7"/>
  <c r="N4"/>
  <c r="M7"/>
  <c r="M4"/>
  <c r="P7"/>
  <c r="O7"/>
  <c r="P4"/>
  <c r="O4"/>
  <c r="K3"/>
  <c r="K5" s="1"/>
  <c r="K2"/>
  <c r="O33"/>
  <c r="K16"/>
  <c r="K8" i="1"/>
  <c r="L7"/>
  <c r="O32" i="2"/>
  <c r="N33"/>
  <c r="P33" s="1"/>
  <c r="N32"/>
  <c r="P32" s="1"/>
  <c r="P21"/>
  <c r="P18"/>
  <c r="N25"/>
  <c r="P25" s="1"/>
  <c r="N21"/>
  <c r="O21" s="1"/>
  <c r="N18"/>
  <c r="O18"/>
  <c r="J6" i="1"/>
  <c r="K7" s="1"/>
  <c r="Q7" i="2" l="1"/>
  <c r="Q4"/>
  <c r="R7" s="1"/>
  <c r="O25"/>
  <c r="Q25" s="1"/>
  <c r="Q11"/>
  <c r="R14" s="1"/>
  <c r="Q14"/>
  <c r="Q21"/>
  <c r="K6"/>
  <c r="Q18"/>
  <c r="Q32"/>
  <c r="Q33"/>
  <c r="N26"/>
  <c r="N31" s="1"/>
  <c r="K9" l="1"/>
  <c r="K10" s="1"/>
  <c r="R21"/>
  <c r="N34"/>
  <c r="P31"/>
  <c r="K17"/>
  <c r="K19" s="1"/>
  <c r="K20" s="1"/>
  <c r="Q26" l="1"/>
  <c r="R26" s="1"/>
  <c r="K12"/>
  <c r="K13" s="1"/>
  <c r="Q31"/>
  <c r="O34"/>
  <c r="Q34" s="1"/>
  <c r="P34"/>
  <c r="K22"/>
  <c r="K23" s="1"/>
  <c r="K24" s="1"/>
  <c r="R34" l="1"/>
  <c r="K27"/>
  <c r="K28" s="1"/>
  <c r="K29" s="1"/>
  <c r="K30" s="1"/>
  <c r="R35" l="1"/>
  <c r="T35" s="1"/>
  <c r="K36"/>
  <c r="K37" s="1"/>
  <c r="K38" s="1"/>
  <c r="K39" s="1"/>
</calcChain>
</file>

<file path=xl/sharedStrings.xml><?xml version="1.0" encoding="utf-8"?>
<sst xmlns="http://schemas.openxmlformats.org/spreadsheetml/2006/main" count="29" uniqueCount="9">
  <si>
    <t>Compra</t>
  </si>
  <si>
    <t>Venda</t>
  </si>
  <si>
    <t>Dividends</t>
  </si>
  <si>
    <t>Parts</t>
  </si>
  <si>
    <t>Net</t>
  </si>
  <si>
    <t>Imp Venda</t>
  </si>
  <si>
    <t>Imp Compra</t>
  </si>
  <si>
    <t>PiG</t>
  </si>
  <si>
    <t>Saldo part</t>
  </si>
</sst>
</file>

<file path=xl/styles.xml><?xml version="1.0" encoding="utf-8"?>
<styleSheet xmlns="http://schemas.openxmlformats.org/spreadsheetml/2006/main">
  <numFmts count="1">
    <numFmt numFmtId="8" formatCode="#,##0.00\ &quot;€&quot;;[Red]\-#,##0.00\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8" fontId="0" fillId="0" borderId="0" xfId="0" applyNumberFormat="1"/>
    <xf numFmtId="1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3" fontId="0" fillId="0" borderId="2" xfId="0" applyNumberFormat="1" applyBorder="1"/>
    <xf numFmtId="8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4" fontId="0" fillId="0" borderId="0" xfId="0" applyNumberFormat="1" applyBorder="1"/>
    <xf numFmtId="3" fontId="0" fillId="0" borderId="0" xfId="0" applyNumberFormat="1" applyBorder="1"/>
    <xf numFmtId="8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3" fontId="0" fillId="0" borderId="7" xfId="0" applyNumberFormat="1" applyBorder="1"/>
    <xf numFmtId="8" fontId="0" fillId="0" borderId="7" xfId="0" applyNumberFormat="1" applyBorder="1"/>
    <xf numFmtId="8" fontId="0" fillId="0" borderId="8" xfId="0" applyNumberFormat="1" applyBorder="1"/>
    <xf numFmtId="8" fontId="1" fillId="0" borderId="0" xfId="0" applyNumberFormat="1" applyFont="1"/>
    <xf numFmtId="4" fontId="0" fillId="0" borderId="0" xfId="0" applyNumberFormat="1"/>
    <xf numFmtId="0" fontId="0" fillId="0" borderId="8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8" fontId="0" fillId="0" borderId="5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4:L8"/>
  <sheetViews>
    <sheetView workbookViewId="0">
      <selection activeCell="K6" sqref="K6"/>
    </sheetView>
  </sheetViews>
  <sheetFormatPr defaultRowHeight="14.5"/>
  <cols>
    <col min="10" max="12" width="9.90625" customWidth="1"/>
  </cols>
  <sheetData>
    <row r="4" spans="10:12">
      <c r="J4" s="1">
        <v>-9095.86</v>
      </c>
      <c r="K4" s="1"/>
      <c r="L4" s="1"/>
    </row>
    <row r="5" spans="10:12">
      <c r="J5" s="1">
        <v>3125.41</v>
      </c>
      <c r="K5" s="1"/>
      <c r="L5" s="1"/>
    </row>
    <row r="6" spans="10:12">
      <c r="J6" s="1">
        <f>SUM(J4:J5)</f>
        <v>-5970.4500000000007</v>
      </c>
      <c r="K6" s="1">
        <v>-6987.06</v>
      </c>
      <c r="L6" s="1">
        <v>-4858.6613887390549</v>
      </c>
    </row>
    <row r="7" spans="10:12">
      <c r="J7" s="1"/>
      <c r="K7" s="1">
        <f>+J6-K6</f>
        <v>1016.6099999999997</v>
      </c>
      <c r="L7" s="1">
        <f>+J6-L6</f>
        <v>-1111.7886112609458</v>
      </c>
    </row>
    <row r="8" spans="10:12">
      <c r="K8" s="1">
        <f>+K6-L6</f>
        <v>-2128.3986112609455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>
      <pane ySplit="1" topLeftCell="A18" activePane="bottomLeft" state="frozen"/>
      <selection pane="bottomLeft" activeCell="P27" sqref="P27"/>
    </sheetView>
  </sheetViews>
  <sheetFormatPr defaultRowHeight="14.5"/>
  <cols>
    <col min="2" max="2" width="10.54296875" customWidth="1"/>
    <col min="3" max="3" width="10.81640625" customWidth="1"/>
    <col min="4" max="4" width="7.54296875" style="3" customWidth="1"/>
    <col min="6" max="7" width="10.7265625" customWidth="1"/>
    <col min="8" max="8" width="0" hidden="1" customWidth="1"/>
    <col min="10" max="10" width="2.54296875" customWidth="1"/>
    <col min="12" max="12" width="2.26953125" customWidth="1"/>
    <col min="13" max="13" width="4.453125" customWidth="1"/>
    <col min="14" max="14" width="5.1796875" customWidth="1"/>
    <col min="15" max="15" width="10.90625" bestFit="1" customWidth="1"/>
    <col min="16" max="16" width="10.26953125" bestFit="1" customWidth="1"/>
    <col min="17" max="17" width="11.453125" customWidth="1"/>
    <col min="18" max="18" width="10" bestFit="1" customWidth="1"/>
    <col min="19" max="19" width="9.90625" customWidth="1"/>
    <col min="20" max="20" width="8.7265625" customWidth="1"/>
  </cols>
  <sheetData>
    <row r="1" spans="1:18" ht="15" thickBot="1">
      <c r="A1" s="4"/>
      <c r="B1" s="4"/>
      <c r="C1" s="4"/>
      <c r="D1" s="5" t="s">
        <v>3</v>
      </c>
      <c r="E1" s="4"/>
      <c r="F1" s="4"/>
      <c r="G1" s="4" t="s">
        <v>4</v>
      </c>
      <c r="H1" s="4"/>
      <c r="I1" s="4"/>
      <c r="J1" s="4"/>
      <c r="K1" s="4" t="s">
        <v>8</v>
      </c>
      <c r="L1" s="4"/>
      <c r="M1" s="4"/>
      <c r="N1" s="4"/>
      <c r="O1" s="4" t="s">
        <v>6</v>
      </c>
      <c r="P1" s="4" t="s">
        <v>5</v>
      </c>
      <c r="Q1" s="4" t="s">
        <v>7</v>
      </c>
    </row>
    <row r="2" spans="1:18">
      <c r="A2" s="6">
        <v>79</v>
      </c>
      <c r="B2" s="7" t="s">
        <v>0</v>
      </c>
      <c r="C2" s="8">
        <v>41711</v>
      </c>
      <c r="D2" s="9">
        <v>925</v>
      </c>
      <c r="E2" s="10">
        <v>10.824999999999999</v>
      </c>
      <c r="F2" s="10">
        <v>10013.129999999999</v>
      </c>
      <c r="G2" s="10">
        <v>10028.19</v>
      </c>
      <c r="H2" s="7">
        <v>1</v>
      </c>
      <c r="I2" s="10">
        <v>15.06</v>
      </c>
      <c r="J2" s="7"/>
      <c r="K2" s="9">
        <f>D2</f>
        <v>925</v>
      </c>
      <c r="L2" s="7"/>
      <c r="M2" s="7"/>
      <c r="N2" s="9"/>
      <c r="O2" s="10"/>
      <c r="P2" s="10"/>
      <c r="Q2" s="10"/>
      <c r="R2" s="11"/>
    </row>
    <row r="3" spans="1:18">
      <c r="A3" s="12">
        <v>80</v>
      </c>
      <c r="B3" s="13" t="s">
        <v>1</v>
      </c>
      <c r="C3" s="14">
        <v>41717</v>
      </c>
      <c r="D3" s="15">
        <v>925</v>
      </c>
      <c r="E3" s="16">
        <v>11.05</v>
      </c>
      <c r="F3" s="16">
        <v>10221.25</v>
      </c>
      <c r="G3" s="16">
        <v>10195.93</v>
      </c>
      <c r="H3" s="13">
        <v>1</v>
      </c>
      <c r="I3" s="16">
        <v>25.32</v>
      </c>
      <c r="J3" s="13"/>
      <c r="K3" s="15">
        <f>K2-D3</f>
        <v>0</v>
      </c>
      <c r="L3" s="13"/>
      <c r="M3" s="13"/>
      <c r="N3" s="15"/>
      <c r="O3" s="16"/>
      <c r="P3" s="16"/>
      <c r="Q3" s="16"/>
      <c r="R3" s="17"/>
    </row>
    <row r="4" spans="1:18">
      <c r="A4" s="12"/>
      <c r="B4" s="13"/>
      <c r="C4" s="14"/>
      <c r="D4" s="15"/>
      <c r="E4" s="16"/>
      <c r="F4" s="16"/>
      <c r="G4" s="16"/>
      <c r="H4" s="13"/>
      <c r="I4" s="16"/>
      <c r="J4" s="13"/>
      <c r="K4" s="15"/>
      <c r="L4" s="13"/>
      <c r="M4" s="13">
        <f>A2</f>
        <v>79</v>
      </c>
      <c r="N4" s="15">
        <f>D3</f>
        <v>925</v>
      </c>
      <c r="O4" s="16">
        <f>-G2</f>
        <v>-10028.19</v>
      </c>
      <c r="P4" s="16">
        <f>G3</f>
        <v>10195.93</v>
      </c>
      <c r="Q4" s="16">
        <f>SUM(O4:P4)</f>
        <v>167.73999999999978</v>
      </c>
      <c r="R4" s="17"/>
    </row>
    <row r="5" spans="1:18">
      <c r="A5" s="12">
        <v>81</v>
      </c>
      <c r="B5" s="13" t="s">
        <v>0</v>
      </c>
      <c r="C5" s="14">
        <v>41830</v>
      </c>
      <c r="D5" s="15">
        <v>929</v>
      </c>
      <c r="E5" s="16">
        <v>10.74</v>
      </c>
      <c r="F5" s="16">
        <v>9977.4599999999991</v>
      </c>
      <c r="G5" s="16">
        <v>9992.52</v>
      </c>
      <c r="H5" s="13">
        <v>1</v>
      </c>
      <c r="I5" s="16">
        <v>15.06</v>
      </c>
      <c r="J5" s="13"/>
      <c r="K5" s="15">
        <f>K3+D5</f>
        <v>929</v>
      </c>
      <c r="L5" s="13"/>
      <c r="M5" s="13"/>
      <c r="N5" s="15"/>
      <c r="O5" s="16"/>
      <c r="P5" s="16"/>
      <c r="Q5" s="16"/>
      <c r="R5" s="17"/>
    </row>
    <row r="6" spans="1:18">
      <c r="A6" s="12">
        <v>82</v>
      </c>
      <c r="B6" s="13" t="s">
        <v>1</v>
      </c>
      <c r="C6" s="14">
        <v>41877</v>
      </c>
      <c r="D6" s="15">
        <v>929</v>
      </c>
      <c r="E6" s="16">
        <v>10.98</v>
      </c>
      <c r="F6" s="16">
        <v>10200.42</v>
      </c>
      <c r="G6" s="16">
        <v>10185.33</v>
      </c>
      <c r="H6" s="13">
        <v>1</v>
      </c>
      <c r="I6" s="16">
        <v>15.09</v>
      </c>
      <c r="J6" s="13"/>
      <c r="K6" s="15">
        <f t="shared" ref="K6:K13" si="0">K5-D6</f>
        <v>0</v>
      </c>
      <c r="L6" s="13"/>
      <c r="M6" s="13"/>
      <c r="N6" s="15"/>
      <c r="O6" s="16"/>
      <c r="P6" s="16"/>
      <c r="Q6" s="16"/>
      <c r="R6" s="17"/>
    </row>
    <row r="7" spans="1:18" ht="15" thickBot="1">
      <c r="A7" s="18"/>
      <c r="B7" s="19"/>
      <c r="C7" s="20"/>
      <c r="D7" s="21"/>
      <c r="E7" s="22"/>
      <c r="F7" s="22"/>
      <c r="G7" s="22"/>
      <c r="H7" s="19"/>
      <c r="I7" s="22"/>
      <c r="J7" s="19"/>
      <c r="K7" s="21"/>
      <c r="L7" s="19"/>
      <c r="M7" s="19">
        <f>A5</f>
        <v>81</v>
      </c>
      <c r="N7" s="15">
        <f>D6</f>
        <v>929</v>
      </c>
      <c r="O7" s="22">
        <f>-G5</f>
        <v>-9992.52</v>
      </c>
      <c r="P7" s="22">
        <f>G6</f>
        <v>10185.33</v>
      </c>
      <c r="Q7" s="22">
        <f>SUM(O7:P7)</f>
        <v>192.80999999999949</v>
      </c>
      <c r="R7" s="23">
        <f>SUM(Q4:Q7)</f>
        <v>360.54999999999927</v>
      </c>
    </row>
    <row r="8" spans="1:18">
      <c r="A8" s="6"/>
      <c r="B8" s="7"/>
      <c r="C8" s="8"/>
      <c r="D8" s="9"/>
      <c r="E8" s="10"/>
      <c r="F8" s="10"/>
      <c r="G8" s="10"/>
      <c r="H8" s="7"/>
      <c r="I8" s="10"/>
      <c r="J8" s="7"/>
      <c r="K8" s="9"/>
      <c r="L8" s="7"/>
      <c r="M8" s="7"/>
      <c r="N8" s="9"/>
      <c r="O8" s="10"/>
      <c r="P8" s="10"/>
      <c r="Q8" s="10"/>
      <c r="R8" s="11"/>
    </row>
    <row r="9" spans="1:18">
      <c r="A9" s="12">
        <v>83</v>
      </c>
      <c r="B9" s="13" t="s">
        <v>0</v>
      </c>
      <c r="C9" s="14">
        <v>41984</v>
      </c>
      <c r="D9" s="15">
        <v>5386</v>
      </c>
      <c r="E9" s="16">
        <v>9.2676999999999996</v>
      </c>
      <c r="F9" s="16">
        <v>49916.04</v>
      </c>
      <c r="G9" s="16">
        <v>49936.18</v>
      </c>
      <c r="H9" s="13">
        <v>1</v>
      </c>
      <c r="I9" s="16">
        <v>20.14</v>
      </c>
      <c r="J9" s="13"/>
      <c r="K9" s="15">
        <f>K6+D9</f>
        <v>5386</v>
      </c>
      <c r="L9" s="13"/>
      <c r="M9" s="13"/>
      <c r="N9" s="15"/>
      <c r="O9" s="16"/>
      <c r="P9" s="16"/>
      <c r="Q9" s="16"/>
      <c r="R9" s="17"/>
    </row>
    <row r="10" spans="1:18">
      <c r="A10" s="12">
        <v>84</v>
      </c>
      <c r="B10" s="13" t="s">
        <v>1</v>
      </c>
      <c r="C10" s="14">
        <v>42047</v>
      </c>
      <c r="D10" s="15">
        <v>5386</v>
      </c>
      <c r="E10" s="16">
        <v>9.0449999999999999</v>
      </c>
      <c r="F10" s="16">
        <v>48716.37</v>
      </c>
      <c r="G10" s="16">
        <v>48696.34</v>
      </c>
      <c r="H10" s="13">
        <v>1</v>
      </c>
      <c r="I10" s="16">
        <v>20.03</v>
      </c>
      <c r="J10" s="13"/>
      <c r="K10" s="15">
        <f t="shared" si="0"/>
        <v>0</v>
      </c>
      <c r="L10" s="13"/>
      <c r="M10" s="13"/>
      <c r="N10" s="15"/>
      <c r="O10" s="16"/>
      <c r="P10" s="16"/>
      <c r="Q10" s="16"/>
      <c r="R10" s="17"/>
    </row>
    <row r="11" spans="1:18">
      <c r="A11" s="12"/>
      <c r="B11" s="13"/>
      <c r="C11" s="14"/>
      <c r="D11" s="15"/>
      <c r="E11" s="16"/>
      <c r="F11" s="16"/>
      <c r="G11" s="16"/>
      <c r="H11" s="13"/>
      <c r="I11" s="16"/>
      <c r="J11" s="13"/>
      <c r="K11" s="15"/>
      <c r="L11" s="13"/>
      <c r="M11" s="13">
        <f>A9</f>
        <v>83</v>
      </c>
      <c r="N11" s="15">
        <f>D10</f>
        <v>5386</v>
      </c>
      <c r="O11" s="16">
        <f>-G9</f>
        <v>-49936.18</v>
      </c>
      <c r="P11" s="16">
        <f>G10</f>
        <v>48696.34</v>
      </c>
      <c r="Q11" s="16">
        <f>SUM(O11:P11)</f>
        <v>-1239.8400000000038</v>
      </c>
      <c r="R11" s="17"/>
    </row>
    <row r="12" spans="1:18">
      <c r="A12" s="12">
        <v>94</v>
      </c>
      <c r="B12" s="13" t="s">
        <v>0</v>
      </c>
      <c r="C12" s="14">
        <v>42212</v>
      </c>
      <c r="D12" s="15">
        <v>6415</v>
      </c>
      <c r="E12" s="16">
        <v>7.7939999999999996</v>
      </c>
      <c r="F12" s="16">
        <v>49998.51</v>
      </c>
      <c r="G12" s="16">
        <v>50018.66</v>
      </c>
      <c r="H12" s="13">
        <v>1</v>
      </c>
      <c r="I12" s="16">
        <v>20.149999999999999</v>
      </c>
      <c r="J12" s="13"/>
      <c r="K12" s="15">
        <f>K10+D12</f>
        <v>6415</v>
      </c>
      <c r="L12" s="13"/>
      <c r="M12" s="13"/>
      <c r="N12" s="15"/>
      <c r="O12" s="16"/>
      <c r="P12" s="16"/>
      <c r="Q12" s="16"/>
      <c r="R12" s="17"/>
    </row>
    <row r="13" spans="1:18">
      <c r="A13" s="12">
        <v>97</v>
      </c>
      <c r="B13" s="13" t="s">
        <v>1</v>
      </c>
      <c r="C13" s="14">
        <v>42214</v>
      </c>
      <c r="D13" s="15">
        <v>6415</v>
      </c>
      <c r="E13" s="16">
        <v>8.19</v>
      </c>
      <c r="F13" s="16">
        <v>52538.85</v>
      </c>
      <c r="G13" s="16">
        <v>52518.45</v>
      </c>
      <c r="H13" s="13">
        <v>1</v>
      </c>
      <c r="I13" s="16">
        <v>20.399999999999999</v>
      </c>
      <c r="J13" s="13"/>
      <c r="K13" s="15">
        <f t="shared" si="0"/>
        <v>0</v>
      </c>
      <c r="L13" s="13"/>
      <c r="M13" s="13"/>
      <c r="N13" s="15"/>
      <c r="O13" s="16"/>
      <c r="P13" s="16"/>
      <c r="Q13" s="16"/>
      <c r="R13" s="17"/>
    </row>
    <row r="14" spans="1:18">
      <c r="A14" s="12"/>
      <c r="B14" s="13"/>
      <c r="C14" s="14"/>
      <c r="D14" s="15"/>
      <c r="E14" s="16"/>
      <c r="F14" s="16"/>
      <c r="G14" s="16"/>
      <c r="H14" s="13"/>
      <c r="I14" s="16"/>
      <c r="J14" s="13"/>
      <c r="K14" s="15"/>
      <c r="L14" s="13"/>
      <c r="M14" s="13">
        <f>A12</f>
        <v>94</v>
      </c>
      <c r="N14" s="15">
        <f>D13</f>
        <v>6415</v>
      </c>
      <c r="O14" s="16">
        <f>-G12</f>
        <v>-50018.66</v>
      </c>
      <c r="P14" s="16">
        <f>G13</f>
        <v>52518.45</v>
      </c>
      <c r="Q14" s="16">
        <f>SUM(O14:P14)</f>
        <v>2499.7899999999936</v>
      </c>
      <c r="R14" s="30">
        <f>SUM(Q11:Q14)</f>
        <v>1259.9499999999898</v>
      </c>
    </row>
    <row r="15" spans="1:18" ht="15" thickBot="1">
      <c r="A15" s="27"/>
      <c r="B15" s="28"/>
      <c r="C15" s="28"/>
      <c r="D15" s="29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6"/>
    </row>
    <row r="16" spans="1:18">
      <c r="A16" s="6">
        <v>151</v>
      </c>
      <c r="B16" s="7" t="s">
        <v>0</v>
      </c>
      <c r="C16" s="8">
        <v>42822</v>
      </c>
      <c r="D16" s="9">
        <v>527</v>
      </c>
      <c r="E16" s="10">
        <v>22.773</v>
      </c>
      <c r="F16" s="10">
        <v>12001.37</v>
      </c>
      <c r="G16" s="10">
        <v>12016.52</v>
      </c>
      <c r="H16" s="7">
        <v>1</v>
      </c>
      <c r="I16" s="10">
        <v>15.15</v>
      </c>
      <c r="J16" s="7"/>
      <c r="K16" s="9">
        <f>D16</f>
        <v>527</v>
      </c>
      <c r="L16" s="7"/>
      <c r="M16" s="7"/>
      <c r="N16" s="7"/>
      <c r="O16" s="7"/>
      <c r="P16" s="7"/>
      <c r="Q16" s="7"/>
      <c r="R16" s="11"/>
    </row>
    <row r="17" spans="1:20">
      <c r="A17" s="12">
        <v>165</v>
      </c>
      <c r="B17" s="13" t="s">
        <v>1</v>
      </c>
      <c r="C17" s="14">
        <v>43236</v>
      </c>
      <c r="D17" s="15">
        <v>527</v>
      </c>
      <c r="E17" s="16">
        <v>30.416</v>
      </c>
      <c r="F17" s="16">
        <v>16029.25</v>
      </c>
      <c r="G17" s="16">
        <v>16001.8</v>
      </c>
      <c r="H17" s="13">
        <v>1</v>
      </c>
      <c r="I17" s="16">
        <v>27.45</v>
      </c>
      <c r="J17" s="13"/>
      <c r="K17" s="15">
        <f t="shared" ref="K17:K24" si="1">K16-D17</f>
        <v>0</v>
      </c>
      <c r="L17" s="13"/>
      <c r="M17" s="13"/>
      <c r="N17" s="13"/>
      <c r="O17" s="16"/>
      <c r="P17" s="13"/>
      <c r="Q17" s="13"/>
      <c r="R17" s="17"/>
    </row>
    <row r="18" spans="1:20">
      <c r="A18" s="12"/>
      <c r="B18" s="13"/>
      <c r="C18" s="14"/>
      <c r="D18" s="15"/>
      <c r="E18" s="16"/>
      <c r="F18" s="16"/>
      <c r="G18" s="16"/>
      <c r="H18" s="13"/>
      <c r="I18" s="16"/>
      <c r="J18" s="13"/>
      <c r="K18" s="15"/>
      <c r="L18" s="13"/>
      <c r="M18" s="13">
        <v>151</v>
      </c>
      <c r="N18" s="15">
        <f>D16</f>
        <v>527</v>
      </c>
      <c r="O18" s="16">
        <f>-G16</f>
        <v>-12016.52</v>
      </c>
      <c r="P18" s="16">
        <f>G17</f>
        <v>16001.8</v>
      </c>
      <c r="Q18" s="16">
        <f>SUM(O18:P18)</f>
        <v>3985.2799999999988</v>
      </c>
      <c r="R18" s="17"/>
    </row>
    <row r="19" spans="1:20">
      <c r="A19" s="12">
        <v>166</v>
      </c>
      <c r="B19" s="13" t="s">
        <v>0</v>
      </c>
      <c r="C19" s="14">
        <v>43389</v>
      </c>
      <c r="D19" s="15">
        <v>1600</v>
      </c>
      <c r="E19" s="16">
        <v>24.388000000000002</v>
      </c>
      <c r="F19" s="16">
        <v>39020.800000000003</v>
      </c>
      <c r="G19" s="16">
        <v>39049.31</v>
      </c>
      <c r="H19" s="13">
        <v>1</v>
      </c>
      <c r="I19" s="16">
        <v>28.51</v>
      </c>
      <c r="J19" s="13"/>
      <c r="K19" s="15">
        <f>K17+D19</f>
        <v>1600</v>
      </c>
      <c r="L19" s="13"/>
      <c r="M19" s="13"/>
      <c r="N19" s="13"/>
      <c r="O19" s="16"/>
      <c r="P19" s="13"/>
      <c r="Q19" s="13"/>
      <c r="R19" s="17"/>
    </row>
    <row r="20" spans="1:20">
      <c r="A20" s="12">
        <v>169</v>
      </c>
      <c r="B20" s="13" t="s">
        <v>1</v>
      </c>
      <c r="C20" s="14">
        <v>43458</v>
      </c>
      <c r="D20" s="15">
        <v>648</v>
      </c>
      <c r="E20" s="16">
        <v>18.260000000000002</v>
      </c>
      <c r="F20" s="16">
        <v>11832.48</v>
      </c>
      <c r="G20" s="16">
        <v>11822.42</v>
      </c>
      <c r="H20" s="13">
        <v>1</v>
      </c>
      <c r="I20" s="16">
        <v>10.06</v>
      </c>
      <c r="J20" s="13"/>
      <c r="K20" s="15">
        <f t="shared" si="1"/>
        <v>952</v>
      </c>
      <c r="L20" s="13"/>
      <c r="M20" s="13"/>
      <c r="N20" s="13"/>
      <c r="O20" s="13"/>
      <c r="P20" s="13"/>
      <c r="Q20" s="13"/>
      <c r="R20" s="17"/>
    </row>
    <row r="21" spans="1:20" ht="15" thickBot="1">
      <c r="A21" s="18"/>
      <c r="B21" s="19"/>
      <c r="C21" s="20"/>
      <c r="D21" s="21"/>
      <c r="E21" s="22"/>
      <c r="F21" s="22"/>
      <c r="G21" s="22"/>
      <c r="H21" s="19"/>
      <c r="I21" s="22"/>
      <c r="J21" s="19"/>
      <c r="K21" s="21"/>
      <c r="L21" s="19"/>
      <c r="M21" s="19">
        <v>166</v>
      </c>
      <c r="N21" s="21">
        <f>D20</f>
        <v>648</v>
      </c>
      <c r="O21" s="22">
        <f>-G19/D19*N21</f>
        <v>-15814.970549999998</v>
      </c>
      <c r="P21" s="22">
        <f>G20</f>
        <v>11822.42</v>
      </c>
      <c r="Q21" s="22">
        <f>SUM(O21:P21)</f>
        <v>-3992.5505499999981</v>
      </c>
      <c r="R21" s="23">
        <f>SUM(Q18:Q21)</f>
        <v>-7.2705499999992753</v>
      </c>
    </row>
    <row r="22" spans="1:20">
      <c r="A22" s="6">
        <v>174</v>
      </c>
      <c r="B22" s="7" t="s">
        <v>0</v>
      </c>
      <c r="C22" s="8">
        <v>43550</v>
      </c>
      <c r="D22" s="9">
        <v>700</v>
      </c>
      <c r="E22" s="10">
        <v>18.027999999999999</v>
      </c>
      <c r="F22" s="10">
        <v>12619.6</v>
      </c>
      <c r="G22" s="10">
        <v>12629.66</v>
      </c>
      <c r="H22" s="7">
        <v>1</v>
      </c>
      <c r="I22" s="10">
        <v>10.06</v>
      </c>
      <c r="J22" s="7"/>
      <c r="K22" s="9">
        <f>K20+D22</f>
        <v>1652</v>
      </c>
      <c r="L22" s="7"/>
      <c r="M22" s="7"/>
      <c r="N22" s="7"/>
      <c r="O22" s="7"/>
      <c r="P22" s="7"/>
      <c r="Q22" s="7"/>
      <c r="R22" s="11"/>
    </row>
    <row r="23" spans="1:20">
      <c r="A23" s="12">
        <v>176</v>
      </c>
      <c r="B23" s="13" t="s">
        <v>2</v>
      </c>
      <c r="C23" s="14">
        <v>43629</v>
      </c>
      <c r="D23" s="15">
        <v>0</v>
      </c>
      <c r="E23" s="16">
        <v>294.32</v>
      </c>
      <c r="F23" s="16">
        <v>294.32</v>
      </c>
      <c r="G23" s="16">
        <v>294.32</v>
      </c>
      <c r="H23" s="13">
        <v>1</v>
      </c>
      <c r="I23" s="16">
        <v>0</v>
      </c>
      <c r="J23" s="13"/>
      <c r="K23" s="15">
        <f t="shared" si="1"/>
        <v>1652</v>
      </c>
      <c r="L23" s="13"/>
      <c r="M23" s="13"/>
      <c r="N23" s="13"/>
      <c r="O23" s="13"/>
      <c r="P23" s="13"/>
      <c r="Q23" s="13"/>
      <c r="R23" s="17"/>
    </row>
    <row r="24" spans="1:20">
      <c r="A24" s="12">
        <v>177</v>
      </c>
      <c r="B24" s="13" t="s">
        <v>1</v>
      </c>
      <c r="C24" s="14">
        <v>43797</v>
      </c>
      <c r="D24" s="15">
        <v>1252</v>
      </c>
      <c r="E24" s="16">
        <v>15.624000000000001</v>
      </c>
      <c r="F24" s="16">
        <v>19561.25</v>
      </c>
      <c r="G24" s="16">
        <v>19551.189999999999</v>
      </c>
      <c r="H24" s="13">
        <v>1</v>
      </c>
      <c r="I24" s="16">
        <v>10.06</v>
      </c>
      <c r="J24" s="13"/>
      <c r="K24" s="15">
        <f t="shared" si="1"/>
        <v>400</v>
      </c>
      <c r="L24" s="13"/>
      <c r="M24" s="13"/>
      <c r="N24" s="13"/>
      <c r="O24" s="13"/>
      <c r="P24" s="13"/>
      <c r="Q24" s="13"/>
      <c r="R24" s="17"/>
      <c r="T24" s="3"/>
    </row>
    <row r="25" spans="1:20">
      <c r="A25" s="12"/>
      <c r="B25" s="13"/>
      <c r="C25" s="14"/>
      <c r="D25" s="15"/>
      <c r="E25" s="16"/>
      <c r="F25" s="16"/>
      <c r="G25" s="16"/>
      <c r="H25" s="13"/>
      <c r="I25" s="16"/>
      <c r="J25" s="13"/>
      <c r="K25" s="15"/>
      <c r="L25" s="13"/>
      <c r="M25" s="13">
        <v>166</v>
      </c>
      <c r="N25" s="15">
        <f>D19-D20</f>
        <v>952</v>
      </c>
      <c r="O25" s="16">
        <f>-G19/D19*N25</f>
        <v>-23234.339449999999</v>
      </c>
      <c r="P25" s="16">
        <f>G24/D24*N25</f>
        <v>14866.400063897763</v>
      </c>
      <c r="Q25" s="16">
        <f>SUM(O25:P25)</f>
        <v>-8367.9393861022363</v>
      </c>
      <c r="R25" s="17"/>
    </row>
    <row r="26" spans="1:20" ht="15" thickBot="1">
      <c r="A26" s="18"/>
      <c r="B26" s="19"/>
      <c r="C26" s="20"/>
      <c r="D26" s="21"/>
      <c r="E26" s="22"/>
      <c r="F26" s="22"/>
      <c r="G26" s="22"/>
      <c r="H26" s="19"/>
      <c r="I26" s="22"/>
      <c r="J26" s="19"/>
      <c r="K26" s="21"/>
      <c r="L26" s="19"/>
      <c r="M26" s="19">
        <v>174</v>
      </c>
      <c r="N26" s="21">
        <f>D24-N25</f>
        <v>300</v>
      </c>
      <c r="O26" s="22">
        <f>-G22/D22*N26</f>
        <v>-5412.7114285714288</v>
      </c>
      <c r="P26" s="22">
        <f>G24/D24*N26</f>
        <v>4684.7899361022364</v>
      </c>
      <c r="Q26" s="22">
        <f>SUM(O26:P26)</f>
        <v>-727.92149246919234</v>
      </c>
      <c r="R26" s="23">
        <f>SUM(Q25:Q26)</f>
        <v>-9095.8608785714277</v>
      </c>
    </row>
    <row r="27" spans="1:20">
      <c r="A27" s="6">
        <v>178</v>
      </c>
      <c r="B27" s="7" t="s">
        <v>0</v>
      </c>
      <c r="C27" s="8">
        <v>43802</v>
      </c>
      <c r="D27" s="9">
        <v>500</v>
      </c>
      <c r="E27" s="10">
        <v>15.32</v>
      </c>
      <c r="F27" s="10">
        <v>7660</v>
      </c>
      <c r="G27" s="10">
        <v>7670.06</v>
      </c>
      <c r="H27" s="7">
        <v>1</v>
      </c>
      <c r="I27" s="10">
        <v>10.06</v>
      </c>
      <c r="J27" s="7"/>
      <c r="K27" s="9">
        <f>K24+D27</f>
        <v>900</v>
      </c>
      <c r="L27" s="7"/>
      <c r="M27" s="7"/>
      <c r="N27" s="7"/>
      <c r="O27" s="7"/>
      <c r="P27" s="7"/>
      <c r="Q27" s="7"/>
      <c r="R27" s="11"/>
    </row>
    <row r="28" spans="1:20">
      <c r="A28" s="12">
        <v>190</v>
      </c>
      <c r="B28" s="13" t="s">
        <v>0</v>
      </c>
      <c r="C28" s="14">
        <v>43802</v>
      </c>
      <c r="D28" s="15">
        <v>92</v>
      </c>
      <c r="E28" s="16">
        <v>15.32</v>
      </c>
      <c r="F28" s="16">
        <v>1409.44</v>
      </c>
      <c r="G28" s="16">
        <v>1414.5</v>
      </c>
      <c r="H28" s="13">
        <v>1</v>
      </c>
      <c r="I28" s="16">
        <v>5.0599999999999996</v>
      </c>
      <c r="J28" s="13"/>
      <c r="K28" s="15">
        <f>K27+D28</f>
        <v>992</v>
      </c>
      <c r="L28" s="13"/>
      <c r="M28" s="13"/>
      <c r="N28" s="13"/>
      <c r="O28" s="13"/>
      <c r="P28" s="13"/>
      <c r="Q28" s="13"/>
      <c r="R28" s="17"/>
    </row>
    <row r="29" spans="1:20">
      <c r="A29" s="12">
        <v>191</v>
      </c>
      <c r="B29" s="13" t="s">
        <v>0</v>
      </c>
      <c r="C29" s="14">
        <v>43802</v>
      </c>
      <c r="D29" s="15">
        <v>660</v>
      </c>
      <c r="E29" s="16">
        <v>15.31</v>
      </c>
      <c r="F29" s="16">
        <v>10104.6</v>
      </c>
      <c r="G29" s="16">
        <v>10114.77</v>
      </c>
      <c r="H29" s="13">
        <v>1</v>
      </c>
      <c r="I29" s="16">
        <v>10.17</v>
      </c>
      <c r="J29" s="13"/>
      <c r="K29" s="15">
        <f>K28+D29</f>
        <v>1652</v>
      </c>
      <c r="L29" s="13"/>
      <c r="M29" s="13"/>
      <c r="N29" s="13"/>
      <c r="O29" s="13"/>
      <c r="P29" s="13"/>
      <c r="Q29" s="13"/>
      <c r="R29" s="17"/>
    </row>
    <row r="30" spans="1:20">
      <c r="A30" s="12">
        <v>179</v>
      </c>
      <c r="B30" s="13" t="s">
        <v>1</v>
      </c>
      <c r="C30" s="14">
        <v>43872</v>
      </c>
      <c r="D30" s="15">
        <v>1252</v>
      </c>
      <c r="E30" s="16">
        <v>16.611999999999998</v>
      </c>
      <c r="F30" s="16">
        <v>20798.22</v>
      </c>
      <c r="G30" s="16">
        <v>20781.68</v>
      </c>
      <c r="H30" s="13">
        <v>1</v>
      </c>
      <c r="I30" s="16">
        <v>16.54</v>
      </c>
      <c r="J30" s="13"/>
      <c r="K30" s="15">
        <f>K29-D30</f>
        <v>400</v>
      </c>
      <c r="L30" s="13"/>
      <c r="M30" s="13"/>
      <c r="N30" s="13"/>
      <c r="O30" s="13"/>
      <c r="P30" s="13"/>
      <c r="Q30" s="13"/>
      <c r="R30" s="17"/>
    </row>
    <row r="31" spans="1:20">
      <c r="A31" s="12"/>
      <c r="B31" s="13"/>
      <c r="C31" s="14"/>
      <c r="D31" s="15"/>
      <c r="E31" s="16"/>
      <c r="F31" s="16"/>
      <c r="G31" s="16"/>
      <c r="H31" s="13"/>
      <c r="I31" s="16"/>
      <c r="J31" s="13"/>
      <c r="K31" s="15"/>
      <c r="L31" s="13"/>
      <c r="M31" s="13">
        <v>174</v>
      </c>
      <c r="N31" s="15">
        <f>D22-N26</f>
        <v>400</v>
      </c>
      <c r="O31" s="16">
        <f>-G22/D22*N31</f>
        <v>-7216.9485714285711</v>
      </c>
      <c r="P31" s="16">
        <f>G$30/D$30*N31</f>
        <v>6639.5143769968054</v>
      </c>
      <c r="Q31" s="16">
        <f>SUM(O31:P31)</f>
        <v>-577.43419443176572</v>
      </c>
      <c r="R31" s="17"/>
    </row>
    <row r="32" spans="1:20">
      <c r="A32" s="12"/>
      <c r="B32" s="13"/>
      <c r="C32" s="14"/>
      <c r="D32" s="15"/>
      <c r="E32" s="16"/>
      <c r="F32" s="16"/>
      <c r="G32" s="16"/>
      <c r="H32" s="13"/>
      <c r="I32" s="16"/>
      <c r="J32" s="13"/>
      <c r="K32" s="15"/>
      <c r="L32" s="13"/>
      <c r="M32" s="13">
        <v>178</v>
      </c>
      <c r="N32" s="15">
        <f>D27</f>
        <v>500</v>
      </c>
      <c r="O32" s="16">
        <f>-G27</f>
        <v>-7670.06</v>
      </c>
      <c r="P32" s="16">
        <f t="shared" ref="P32:P34" si="2">G$30/D$30*N32</f>
        <v>8299.3929712460067</v>
      </c>
      <c r="Q32" s="16">
        <f t="shared" ref="Q32:Q34" si="3">SUM(O32:P32)</f>
        <v>629.33297124600631</v>
      </c>
      <c r="R32" s="17"/>
    </row>
    <row r="33" spans="1:20">
      <c r="A33" s="12"/>
      <c r="B33" s="13"/>
      <c r="C33" s="14"/>
      <c r="D33" s="15"/>
      <c r="E33" s="16"/>
      <c r="F33" s="16"/>
      <c r="G33" s="16"/>
      <c r="H33" s="13"/>
      <c r="I33" s="16"/>
      <c r="J33" s="13"/>
      <c r="K33" s="15"/>
      <c r="L33" s="13"/>
      <c r="M33" s="13">
        <v>190</v>
      </c>
      <c r="N33" s="13">
        <f>D28</f>
        <v>92</v>
      </c>
      <c r="O33" s="16">
        <f>-G28</f>
        <v>-1414.5</v>
      </c>
      <c r="P33" s="16">
        <f t="shared" si="2"/>
        <v>1527.0883067092655</v>
      </c>
      <c r="Q33" s="16">
        <f t="shared" si="3"/>
        <v>112.58830670926545</v>
      </c>
      <c r="R33" s="17"/>
    </row>
    <row r="34" spans="1:20" ht="15" thickBot="1">
      <c r="A34" s="18"/>
      <c r="B34" s="19"/>
      <c r="C34" s="20"/>
      <c r="D34" s="21"/>
      <c r="E34" s="22"/>
      <c r="F34" s="22"/>
      <c r="G34" s="22"/>
      <c r="H34" s="19"/>
      <c r="I34" s="22"/>
      <c r="J34" s="19"/>
      <c r="K34" s="21"/>
      <c r="L34" s="19"/>
      <c r="M34" s="19">
        <v>191</v>
      </c>
      <c r="N34" s="21">
        <f>D30-N31-N32-N33</f>
        <v>260</v>
      </c>
      <c r="O34" s="22">
        <f>-G29/D29*N34</f>
        <v>-3984.6063636363642</v>
      </c>
      <c r="P34" s="22">
        <f t="shared" si="2"/>
        <v>4315.6843450479237</v>
      </c>
      <c r="Q34" s="22">
        <f t="shared" si="3"/>
        <v>331.07798141155945</v>
      </c>
      <c r="R34" s="23">
        <f>SUM(Q31:Q34)</f>
        <v>495.56506493506549</v>
      </c>
    </row>
    <row r="35" spans="1:20">
      <c r="O35" s="3"/>
      <c r="R35" s="24">
        <f>SUM(R16:R34)</f>
        <v>-8607.5663636363606</v>
      </c>
      <c r="S35" s="1">
        <v>-6987.06</v>
      </c>
      <c r="T35" s="1">
        <f>+S35-R35</f>
        <v>1620.5063636363602</v>
      </c>
    </row>
    <row r="36" spans="1:20">
      <c r="A36">
        <v>182</v>
      </c>
      <c r="B36" t="s">
        <v>0</v>
      </c>
      <c r="C36" s="2">
        <v>43893</v>
      </c>
      <c r="D36" s="3">
        <v>567</v>
      </c>
      <c r="E36" s="1">
        <v>13.28</v>
      </c>
      <c r="F36" s="1">
        <v>7529.76</v>
      </c>
      <c r="G36" s="1">
        <v>7539.93</v>
      </c>
      <c r="H36">
        <v>1</v>
      </c>
      <c r="I36" s="1">
        <v>10.17</v>
      </c>
      <c r="K36" s="3">
        <f>K30+D36</f>
        <v>967</v>
      </c>
      <c r="N36" s="3"/>
      <c r="O36" s="1"/>
    </row>
    <row r="37" spans="1:20">
      <c r="A37">
        <v>192</v>
      </c>
      <c r="B37" t="s">
        <v>0</v>
      </c>
      <c r="C37" s="2">
        <v>43893</v>
      </c>
      <c r="D37" s="3">
        <v>500</v>
      </c>
      <c r="E37" s="1">
        <v>13.28</v>
      </c>
      <c r="F37" s="1">
        <v>6640</v>
      </c>
      <c r="G37" s="1">
        <v>6650.06</v>
      </c>
      <c r="H37">
        <v>1</v>
      </c>
      <c r="I37" s="1">
        <v>10.06</v>
      </c>
      <c r="K37" s="3">
        <f>K36+D37</f>
        <v>1467</v>
      </c>
    </row>
    <row r="38" spans="1:20">
      <c r="A38">
        <v>193</v>
      </c>
      <c r="B38" t="s">
        <v>0</v>
      </c>
      <c r="C38" s="2">
        <v>43893</v>
      </c>
      <c r="D38" s="3">
        <v>433</v>
      </c>
      <c r="E38" s="1">
        <v>13.29</v>
      </c>
      <c r="F38" s="1">
        <v>5754.57</v>
      </c>
      <c r="G38" s="1">
        <v>5762.63</v>
      </c>
      <c r="H38">
        <v>1</v>
      </c>
      <c r="I38" s="1">
        <v>8.06</v>
      </c>
      <c r="K38" s="3">
        <f>K37+D38</f>
        <v>1900</v>
      </c>
    </row>
    <row r="39" spans="1:20">
      <c r="A39">
        <v>195</v>
      </c>
      <c r="B39" t="s">
        <v>2</v>
      </c>
      <c r="C39" s="2">
        <v>44362</v>
      </c>
      <c r="D39" s="3">
        <v>0</v>
      </c>
      <c r="E39" s="1">
        <v>467.17</v>
      </c>
      <c r="F39" s="1">
        <v>467.17</v>
      </c>
      <c r="G39" s="1">
        <v>467.17</v>
      </c>
      <c r="H39">
        <v>1</v>
      </c>
      <c r="I39" s="1">
        <v>0</v>
      </c>
      <c r="K39" s="3">
        <f>K38-D39</f>
        <v>1900</v>
      </c>
      <c r="Q39" s="1"/>
      <c r="R39" s="24"/>
    </row>
    <row r="44" spans="1:20">
      <c r="F44" s="25">
        <v>-3998.58</v>
      </c>
    </row>
    <row r="45" spans="1:20">
      <c r="F45" s="25">
        <v>3985.29</v>
      </c>
    </row>
    <row r="46" spans="1:20">
      <c r="E46">
        <v>2018</v>
      </c>
      <c r="F46" s="25">
        <f>SUM(F44:F45)</f>
        <v>-13.289999999999964</v>
      </c>
    </row>
    <row r="47" spans="1:20">
      <c r="F47" s="1"/>
    </row>
    <row r="49" spans="5:6">
      <c r="E49">
        <v>2019</v>
      </c>
      <c r="F49" s="25">
        <v>-9089.81</v>
      </c>
    </row>
    <row r="51" spans="5:6">
      <c r="E51">
        <v>2020</v>
      </c>
      <c r="F51">
        <v>502.4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2021-07-22T17:17:36Z</dcterms:created>
  <dcterms:modified xsi:type="dcterms:W3CDTF">2021-07-23T10:19:07Z</dcterms:modified>
</cp:coreProperties>
</file>