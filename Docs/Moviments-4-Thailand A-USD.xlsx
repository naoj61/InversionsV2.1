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33F8CED9-C676-4510-B01B-7A405959F5D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L6" i="4" l="1"/>
  <c r="L3" i="4"/>
  <c r="P3" i="4" s="1"/>
  <c r="H3" i="3"/>
  <c r="H4" i="3"/>
  <c r="H5" i="3" s="1"/>
  <c r="H6" i="3" s="1"/>
  <c r="H2" i="3"/>
  <c r="L5" i="4" l="1"/>
  <c r="P6" i="4"/>
  <c r="L2" i="4"/>
  <c r="N2" i="4" s="1"/>
  <c r="L4" i="4" l="1"/>
  <c r="N4" i="4" s="1"/>
  <c r="P5" i="4"/>
  <c r="M2" i="4"/>
  <c r="P2" i="4" s="1"/>
  <c r="O2" i="4"/>
  <c r="Q2" i="4" s="1"/>
  <c r="S2" i="4" s="1"/>
  <c r="R2" i="4" l="1"/>
  <c r="T2" i="4" s="1"/>
  <c r="R3" i="4"/>
  <c r="M4" i="4"/>
  <c r="P4" i="4" s="1"/>
  <c r="R5" i="4" s="1"/>
  <c r="O4" i="4"/>
  <c r="Q4" i="4" s="1"/>
  <c r="S4" i="4" s="1"/>
  <c r="R9" i="4" l="1"/>
  <c r="R4" i="4"/>
  <c r="T4" i="4" s="1"/>
  <c r="R6" i="4"/>
  <c r="R10" i="4" s="1"/>
  <c r="Q7" i="4" l="1"/>
  <c r="N7" i="4"/>
  <c r="T7" i="4" l="1"/>
  <c r="S7" i="4"/>
  <c r="R7" i="4" l="1"/>
</calcChain>
</file>

<file path=xl/sharedStrings.xml><?xml version="1.0" encoding="utf-8"?>
<sst xmlns="http://schemas.openxmlformats.org/spreadsheetml/2006/main" count="43" uniqueCount="32">
  <si>
    <t>Compra</t>
  </si>
  <si>
    <t>Id</t>
  </si>
  <si>
    <t>Mov</t>
  </si>
  <si>
    <t>Data</t>
  </si>
  <si>
    <t>Parts</t>
  </si>
  <si>
    <t>Venda</t>
  </si>
  <si>
    <t>Brut</t>
  </si>
  <si>
    <t>PU</t>
  </si>
  <si>
    <t>Saldo parts</t>
  </si>
  <si>
    <t>Import compra venda</t>
  </si>
  <si>
    <t>PiG Venda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</si>
  <si>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</si>
  <si>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</si>
  <si>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</si>
  <si>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</si>
  <si>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</si>
  <si>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</si>
  <si>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</si>
  <si>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</si>
  <si>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</si>
  <si>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</si>
  <si>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</si>
  <si>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</si>
  <si>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</si>
  <si>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</si>
  <si>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</si>
  <si>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</si>
  <si>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V</t>
  </si>
  <si>
    <t>En cartera</t>
  </si>
  <si>
    <t>C</t>
  </si>
  <si>
    <t>Dividends</t>
  </si>
  <si>
    <t>Thailand A-USD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</si>
</sst>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2" borderId="1" xfId="0" applyNumberFormat="1" applyFill="1" applyBorder="1"/>
    <xf numFmtId="14" fontId="0" fillId="3" borderId="0" xfId="0" applyNumberFormat="1" applyFill="1"/>
    <xf numFmtId="167" fontId="0" fillId="3" borderId="0" xfId="0" applyNumberFormat="1" applyFill="1" applyAlignment="1">
      <alignment vertical="center" wrapText="1"/>
    </xf>
    <xf numFmtId="165" fontId="0" fillId="4" borderId="0" xfId="0" applyNumberFormat="1" applyFill="1"/>
    <xf numFmtId="165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/>
    <xf numFmtId="164" fontId="1" fillId="4" borderId="0" xfId="0" applyNumberFormat="1" applyFont="1" applyFill="1"/>
    <xf numFmtId="164" fontId="0" fillId="3" borderId="0" xfId="0" applyNumberFormat="1" applyFill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66" fontId="0" fillId="0" borderId="3" xfId="0" applyNumberFormat="1" applyBorder="1"/>
    <xf numFmtId="167" fontId="1" fillId="0" borderId="4" xfId="0" applyNumberFormat="1" applyFont="1" applyBorder="1"/>
    <xf numFmtId="0" fontId="0" fillId="0" borderId="5" xfId="0" applyBorder="1"/>
    <xf numFmtId="0" fontId="0" fillId="0" borderId="6" xfId="0" applyBorder="1"/>
    <xf numFmtId="167" fontId="1" fillId="0" borderId="7" xfId="0" applyNumberFormat="1" applyFont="1" applyBorder="1"/>
    <xf numFmtId="166" fontId="0" fillId="0" borderId="6" xfId="0" applyNumberFormat="1" applyBorder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6"/>
  <sheetViews>
    <sheetView zoomScale="115" zoomScaleNormal="115" workbookViewId="0">
      <selection activeCell="L12" sqref="L12"/>
    </sheetView>
  </sheetViews>
  <sheetFormatPr defaultRowHeight="14.5" x14ac:dyDescent="0.35"/>
  <cols>
    <col min="1" max="1" width="3.90625" bestFit="1" customWidth="1"/>
    <col min="2" max="2" width="11.6328125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9.54296875" customWidth="1"/>
  </cols>
  <sheetData>
    <row r="1" spans="1:10" ht="43.5" x14ac:dyDescent="0.35">
      <c r="A1" s="2" t="s">
        <v>1</v>
      </c>
      <c r="C1" s="2" t="s">
        <v>3</v>
      </c>
      <c r="D1" s="2" t="s">
        <v>4</v>
      </c>
      <c r="E1" s="2" t="s">
        <v>7</v>
      </c>
      <c r="F1" s="2" t="s">
        <v>6</v>
      </c>
      <c r="H1" s="7" t="s">
        <v>8</v>
      </c>
      <c r="I1" s="7" t="s">
        <v>9</v>
      </c>
      <c r="J1" s="7" t="s">
        <v>10</v>
      </c>
    </row>
    <row r="2" spans="1:10" x14ac:dyDescent="0.35">
      <c r="A2" s="4">
        <v>11</v>
      </c>
      <c r="B2" s="4" t="s">
        <v>0</v>
      </c>
      <c r="C2" s="5">
        <v>41554</v>
      </c>
      <c r="D2" s="4">
        <v>28.28</v>
      </c>
      <c r="E2" s="6">
        <v>35.357100000000003</v>
      </c>
      <c r="F2" s="6">
        <v>999.9</v>
      </c>
      <c r="H2">
        <f>D2</f>
        <v>28.28</v>
      </c>
    </row>
    <row r="3" spans="1:10" x14ac:dyDescent="0.35">
      <c r="A3" s="4">
        <v>12</v>
      </c>
      <c r="B3" s="4" t="s">
        <v>0</v>
      </c>
      <c r="C3" s="5">
        <v>41565</v>
      </c>
      <c r="D3" s="4">
        <v>134.86000000000001</v>
      </c>
      <c r="E3" s="6">
        <v>37.076300000000003</v>
      </c>
      <c r="F3" s="6">
        <v>5000.1099999999997</v>
      </c>
      <c r="H3" s="1">
        <f>H2+D3</f>
        <v>163.14000000000001</v>
      </c>
    </row>
    <row r="4" spans="1:10" x14ac:dyDescent="0.35">
      <c r="A4" s="4">
        <v>13</v>
      </c>
      <c r="B4" s="4" t="s">
        <v>5</v>
      </c>
      <c r="C4" s="5">
        <v>41639</v>
      </c>
      <c r="D4" s="4">
        <v>160</v>
      </c>
      <c r="E4" s="6">
        <v>30.947800000000001</v>
      </c>
      <c r="F4" s="6">
        <v>4951.6400000000003</v>
      </c>
      <c r="H4" s="1">
        <f>H3-D4</f>
        <v>3.1400000000000148</v>
      </c>
    </row>
    <row r="5" spans="1:10" x14ac:dyDescent="0.35">
      <c r="A5" s="4">
        <v>175</v>
      </c>
      <c r="B5" s="4" t="s">
        <v>30</v>
      </c>
      <c r="C5" s="5">
        <v>43313</v>
      </c>
      <c r="D5" s="4">
        <v>0</v>
      </c>
      <c r="E5" s="6">
        <v>1.57</v>
      </c>
      <c r="F5" s="6">
        <v>1.57</v>
      </c>
      <c r="H5" s="1">
        <f t="shared" ref="H5:H6" si="0">H4-D5</f>
        <v>3.1400000000000148</v>
      </c>
      <c r="I5" s="3"/>
      <c r="J5" s="3"/>
    </row>
    <row r="6" spans="1:10" x14ac:dyDescent="0.35">
      <c r="A6" s="4">
        <v>186</v>
      </c>
      <c r="B6" s="4" t="s">
        <v>5</v>
      </c>
      <c r="C6" s="5">
        <v>44176</v>
      </c>
      <c r="D6" s="4">
        <v>3.14</v>
      </c>
      <c r="E6" s="6">
        <v>42.410800000000002</v>
      </c>
      <c r="F6" s="6">
        <v>133.16999999999999</v>
      </c>
      <c r="H6" s="1">
        <f t="shared" si="0"/>
        <v>1.4654943925052066E-14</v>
      </c>
      <c r="J6" s="8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0"/>
  <sheetViews>
    <sheetView tabSelected="1" zoomScale="115" zoomScaleNormal="115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I1" sqref="I1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2</v>
      </c>
      <c r="B1" s="10" t="s">
        <v>1</v>
      </c>
      <c r="C1" s="9" t="s">
        <v>11</v>
      </c>
      <c r="D1" s="9" t="s">
        <v>12</v>
      </c>
      <c r="E1" s="11" t="s">
        <v>13</v>
      </c>
      <c r="F1" s="9" t="s">
        <v>14</v>
      </c>
      <c r="G1" s="2" t="s">
        <v>7</v>
      </c>
      <c r="H1" s="2" t="s">
        <v>15</v>
      </c>
      <c r="I1" s="41" t="s">
        <v>4</v>
      </c>
      <c r="J1" s="12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7" t="s">
        <v>22</v>
      </c>
      <c r="Q1" s="9" t="s">
        <v>23</v>
      </c>
      <c r="R1" s="9" t="s">
        <v>24</v>
      </c>
      <c r="S1" s="9" t="s">
        <v>25</v>
      </c>
      <c r="T1" s="9" t="s">
        <v>26</v>
      </c>
    </row>
    <row r="2" spans="1:20" x14ac:dyDescent="0.35">
      <c r="A2" s="13" t="s">
        <v>29</v>
      </c>
      <c r="B2" s="13">
        <v>11</v>
      </c>
      <c r="C2" s="13">
        <v>11</v>
      </c>
      <c r="D2" s="13" t="s">
        <v>31</v>
      </c>
      <c r="E2" s="14">
        <v>41554</v>
      </c>
      <c r="F2" s="14">
        <v>41554</v>
      </c>
      <c r="G2" s="15">
        <v>35.357142857142897</v>
      </c>
      <c r="H2" s="16">
        <v>35.357142857142897</v>
      </c>
      <c r="I2" s="17">
        <v>28.28</v>
      </c>
      <c r="J2" s="24">
        <v>28.28</v>
      </c>
      <c r="K2" s="17"/>
      <c r="L2" s="17">
        <f>L3</f>
        <v>28.28</v>
      </c>
      <c r="M2" s="17">
        <f>J2/I2*L2</f>
        <v>28.28</v>
      </c>
      <c r="N2" s="18">
        <f>I2-(L2+K2)</f>
        <v>0</v>
      </c>
      <c r="O2" s="18">
        <f>J2/I2*N2</f>
        <v>0</v>
      </c>
      <c r="P2" s="19">
        <f>H2*M2</f>
        <v>999.90000000000111</v>
      </c>
      <c r="Q2" s="16">
        <f>O2*H2</f>
        <v>0</v>
      </c>
      <c r="R2" s="16">
        <f>SUM(P3)-P2</f>
        <v>-124.69763000000114</v>
      </c>
      <c r="S2" s="16">
        <f>N2*G$7-Q2</f>
        <v>0</v>
      </c>
      <c r="T2" s="16">
        <f>R2+S2</f>
        <v>-124.69763000000114</v>
      </c>
    </row>
    <row r="3" spans="1:20" x14ac:dyDescent="0.35">
      <c r="A3" s="20" t="s">
        <v>27</v>
      </c>
      <c r="B3" s="21">
        <v>13</v>
      </c>
      <c r="C3" s="20"/>
      <c r="D3" s="20"/>
      <c r="E3" s="22">
        <v>41639</v>
      </c>
      <c r="F3" s="25"/>
      <c r="G3" s="26">
        <v>30.947749999999999</v>
      </c>
      <c r="H3" s="23"/>
      <c r="I3" s="31">
        <v>160</v>
      </c>
      <c r="J3" s="32"/>
      <c r="K3" s="23"/>
      <c r="L3" s="23">
        <f>I2</f>
        <v>28.28</v>
      </c>
      <c r="M3" s="23"/>
      <c r="N3" s="23"/>
      <c r="O3" s="23"/>
      <c r="P3" s="23">
        <f>L3*G3</f>
        <v>875.20236999999997</v>
      </c>
      <c r="Q3" s="23"/>
      <c r="R3" s="26">
        <f>P3-P2/L2*L3</f>
        <v>-124.69763000000114</v>
      </c>
      <c r="S3" s="23"/>
      <c r="T3" s="23"/>
    </row>
    <row r="4" spans="1:20" x14ac:dyDescent="0.35">
      <c r="A4" s="13" t="s">
        <v>29</v>
      </c>
      <c r="B4" s="13">
        <v>12</v>
      </c>
      <c r="C4" s="13">
        <v>12</v>
      </c>
      <c r="D4" s="13" t="s">
        <v>31</v>
      </c>
      <c r="E4" s="14">
        <v>41565</v>
      </c>
      <c r="F4" s="14">
        <v>41565</v>
      </c>
      <c r="G4" s="15">
        <v>37.076301349547698</v>
      </c>
      <c r="H4" s="16">
        <v>37.076301349547698</v>
      </c>
      <c r="I4" s="17">
        <v>134.86000000000001</v>
      </c>
      <c r="J4" s="24">
        <v>134.86000000000001</v>
      </c>
      <c r="K4" s="17"/>
      <c r="L4" s="17">
        <f>SUM(L5:L6)</f>
        <v>134.85999999999999</v>
      </c>
      <c r="M4" s="17">
        <f>J4/I4*L4</f>
        <v>134.85999999999999</v>
      </c>
      <c r="N4" s="18">
        <f>I4-L4</f>
        <v>0</v>
      </c>
      <c r="O4" s="18">
        <f>J4/I4*N4</f>
        <v>0</v>
      </c>
      <c r="P4" s="19">
        <f>H4*M4</f>
        <v>5000.1100000000024</v>
      </c>
      <c r="Q4" s="16">
        <f>O4*H4</f>
        <v>0</v>
      </c>
      <c r="R4" s="16">
        <f>SUM(P5:P6)-P4</f>
        <v>-790.50256476000231</v>
      </c>
      <c r="S4" s="16">
        <f>N4*G$7-Q4</f>
        <v>0</v>
      </c>
      <c r="T4" s="16">
        <f>R4+S4</f>
        <v>-790.50256476000231</v>
      </c>
    </row>
    <row r="5" spans="1:20" x14ac:dyDescent="0.35">
      <c r="A5" s="20" t="s">
        <v>27</v>
      </c>
      <c r="B5" s="21">
        <v>13</v>
      </c>
      <c r="C5" s="20"/>
      <c r="D5" s="20"/>
      <c r="E5" s="22">
        <v>41639</v>
      </c>
      <c r="F5" s="25"/>
      <c r="G5" s="26">
        <v>30.947749999999999</v>
      </c>
      <c r="H5" s="23"/>
      <c r="I5" s="31">
        <v>160</v>
      </c>
      <c r="J5" s="32"/>
      <c r="K5" s="23"/>
      <c r="L5" s="23">
        <f>I5-L3</f>
        <v>131.72</v>
      </c>
      <c r="M5" s="23"/>
      <c r="N5" s="23"/>
      <c r="O5" s="23"/>
      <c r="P5" s="23">
        <f>L5*G5</f>
        <v>4076.4376299999999</v>
      </c>
      <c r="Q5" s="23"/>
      <c r="R5" s="26">
        <f>P5-P4/L4*L5</f>
        <v>-807.2527837624225</v>
      </c>
      <c r="S5" s="23"/>
      <c r="T5" s="23"/>
    </row>
    <row r="6" spans="1:20" x14ac:dyDescent="0.35">
      <c r="A6" s="20" t="s">
        <v>27</v>
      </c>
      <c r="B6" s="21">
        <v>186</v>
      </c>
      <c r="C6" s="20"/>
      <c r="D6" s="20"/>
      <c r="E6" s="22">
        <v>44176.608043981483</v>
      </c>
      <c r="F6" s="25"/>
      <c r="G6" s="26">
        <v>42.410766000000002</v>
      </c>
      <c r="H6" s="23"/>
      <c r="I6" s="31">
        <v>3.14</v>
      </c>
      <c r="J6" s="32"/>
      <c r="K6" s="23"/>
      <c r="L6" s="23">
        <f>I6</f>
        <v>3.14</v>
      </c>
      <c r="M6" s="23"/>
      <c r="N6" s="23"/>
      <c r="O6" s="23"/>
      <c r="P6" s="23">
        <f>L6*G6</f>
        <v>133.16980524000002</v>
      </c>
      <c r="Q6" s="23"/>
      <c r="R6" s="26">
        <f>P6-P4/L4*L6</f>
        <v>16.750219002420238</v>
      </c>
      <c r="S6" s="23"/>
      <c r="T6" s="23"/>
    </row>
    <row r="7" spans="1:20" s="8" customFormat="1" x14ac:dyDescent="0.35">
      <c r="A7" s="27"/>
      <c r="B7" s="27"/>
      <c r="C7" s="27"/>
      <c r="D7" s="28" t="s">
        <v>28</v>
      </c>
      <c r="E7" s="27"/>
      <c r="F7" s="27"/>
      <c r="G7" s="29">
        <v>0</v>
      </c>
      <c r="H7" s="27"/>
      <c r="I7" s="27"/>
      <c r="J7" s="27"/>
      <c r="K7" s="27"/>
      <c r="L7" s="27"/>
      <c r="M7" s="27"/>
      <c r="N7" s="30">
        <f>SUM(N2:N6)</f>
        <v>0</v>
      </c>
      <c r="O7" s="30"/>
      <c r="P7" s="27"/>
      <c r="Q7" s="29">
        <f>SUM(Q2:Q6)</f>
        <v>0</v>
      </c>
      <c r="R7" s="29">
        <f>SUM(R2:R6)</f>
        <v>-1830.4003895200069</v>
      </c>
      <c r="S7" s="29">
        <f>SUM(S2:S6)</f>
        <v>0</v>
      </c>
      <c r="T7" s="29">
        <f>SUM(T2:T6)</f>
        <v>-915.20019476000346</v>
      </c>
    </row>
    <row r="8" spans="1:20" ht="15" thickBot="1" x14ac:dyDescent="0.4">
      <c r="J8" s="8"/>
      <c r="K8" s="8"/>
      <c r="L8" s="8"/>
      <c r="R8" s="8"/>
    </row>
    <row r="9" spans="1:20" x14ac:dyDescent="0.35">
      <c r="A9" s="33" t="s">
        <v>27</v>
      </c>
      <c r="B9" s="34">
        <v>13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4"/>
      <c r="R9" s="36">
        <f>R3+R5</f>
        <v>-931.95041376242364</v>
      </c>
    </row>
    <row r="10" spans="1:20" ht="15" thickBot="1" x14ac:dyDescent="0.4">
      <c r="A10" s="37" t="s">
        <v>27</v>
      </c>
      <c r="B10" s="38">
        <v>186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40"/>
      <c r="Q10" s="38"/>
      <c r="R10" s="39">
        <f>R6</f>
        <v>16.750219002420238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2024-09-21T07:35:14Z</dcterms:modified>
</cp:coreProperties>
</file>