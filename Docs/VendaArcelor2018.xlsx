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10" windowWidth="19140" windowHeight="73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15" i="1"/>
  <c r="F15"/>
  <c r="E3"/>
  <c r="E12"/>
  <c r="C15"/>
  <c r="G12"/>
  <c r="F12"/>
  <c r="D12"/>
</calcChain>
</file>

<file path=xl/sharedStrings.xml><?xml version="1.0" encoding="utf-8"?>
<sst xmlns="http://schemas.openxmlformats.org/spreadsheetml/2006/main" count="18" uniqueCount="18">
  <si>
    <t>Arcelor</t>
  </si>
  <si>
    <t>Emerging</t>
  </si>
  <si>
    <t>Deutche</t>
  </si>
  <si>
    <t>DWS</t>
  </si>
  <si>
    <t>Biotech</t>
  </si>
  <si>
    <t>PiG Real</t>
  </si>
  <si>
    <t>Optimal</t>
  </si>
  <si>
    <t>Asian</t>
  </si>
  <si>
    <t>Thailand</t>
  </si>
  <si>
    <t>NB Capital</t>
  </si>
  <si>
    <t>Total</t>
  </si>
  <si>
    <t>Valor actual</t>
  </si>
  <si>
    <t>PiG Real 2018</t>
  </si>
  <si>
    <t>PiG Actual</t>
  </si>
  <si>
    <t>Preu compra</t>
  </si>
  <si>
    <t>Preu actual</t>
  </si>
  <si>
    <t>Total participacions a vendre</t>
  </si>
  <si>
    <t>Guanys per desgravar</t>
  </si>
</sst>
</file>

<file path=xl/styles.xml><?xml version="1.0" encoding="utf-8"?>
<styleSheet xmlns="http://schemas.openxmlformats.org/spreadsheetml/2006/main">
  <numFmts count="1">
    <numFmt numFmtId="8" formatCode="#,##0.00\ &quot;€&quot;;[Red]\-#,##0.00\ &quot;€&quot;"/>
  </numFmts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0">
    <xf numFmtId="0" fontId="0" fillId="0" borderId="0" xfId="0"/>
    <xf numFmtId="8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8" fontId="0" fillId="0" borderId="0" xfId="0" applyNumberFormat="1" applyAlignment="1">
      <alignment wrapText="1"/>
    </xf>
    <xf numFmtId="8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 wrapText="1"/>
    </xf>
    <xf numFmtId="8" fontId="2" fillId="3" borderId="1" xfId="2" applyNumberFormat="1"/>
    <xf numFmtId="8" fontId="1" fillId="2" borderId="0" xfId="1" applyNumberFormat="1"/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G17"/>
  <sheetViews>
    <sheetView tabSelected="1" workbookViewId="0">
      <selection activeCell="E16" sqref="E16"/>
    </sheetView>
  </sheetViews>
  <sheetFormatPr defaultRowHeight="14.5"/>
  <cols>
    <col min="3" max="3" width="19.36328125" customWidth="1"/>
    <col min="4" max="6" width="11.90625" customWidth="1"/>
    <col min="7" max="7" width="13.453125" customWidth="1"/>
  </cols>
  <sheetData>
    <row r="1" spans="3:7">
      <c r="D1" s="3" t="s">
        <v>12</v>
      </c>
      <c r="E1" s="3" t="s">
        <v>5</v>
      </c>
      <c r="F1" s="3" t="s">
        <v>13</v>
      </c>
      <c r="G1" s="3" t="s">
        <v>11</v>
      </c>
    </row>
    <row r="3" spans="3:7">
      <c r="C3" t="s">
        <v>0</v>
      </c>
      <c r="D3" s="4">
        <v>3985.28</v>
      </c>
      <c r="E3" s="1">
        <f>F3</f>
        <v>-7500</v>
      </c>
      <c r="F3" s="1">
        <v>-7500</v>
      </c>
      <c r="G3" s="1">
        <v>31030.400000000001</v>
      </c>
    </row>
    <row r="4" spans="3:7">
      <c r="C4" t="s">
        <v>1</v>
      </c>
      <c r="D4" s="4">
        <v>0</v>
      </c>
      <c r="E4" s="1">
        <v>1760.1966725</v>
      </c>
      <c r="F4" s="4">
        <v>-4921.99</v>
      </c>
      <c r="G4" s="1">
        <v>52758.540040499996</v>
      </c>
    </row>
    <row r="5" spans="3:7">
      <c r="C5" t="s">
        <v>2</v>
      </c>
      <c r="D5" s="4">
        <v>0</v>
      </c>
      <c r="E5" s="1">
        <v>18201.508664000001</v>
      </c>
      <c r="F5" s="4">
        <v>-263.27</v>
      </c>
      <c r="G5" s="1">
        <v>981.47866400000703</v>
      </c>
    </row>
    <row r="6" spans="3:7">
      <c r="C6" t="s">
        <v>3</v>
      </c>
      <c r="D6" s="4">
        <v>0</v>
      </c>
      <c r="E6" s="1">
        <v>4145.818096</v>
      </c>
      <c r="F6" s="4">
        <v>-12739.66</v>
      </c>
      <c r="G6" s="1">
        <v>56154.168096000001</v>
      </c>
    </row>
    <row r="7" spans="3:7">
      <c r="C7" t="s">
        <v>4</v>
      </c>
      <c r="D7" s="4">
        <v>0</v>
      </c>
      <c r="E7" s="1">
        <v>4620.5127552000004</v>
      </c>
      <c r="F7" s="4">
        <v>195.34</v>
      </c>
      <c r="G7" s="1">
        <v>10703.4237552</v>
      </c>
    </row>
    <row r="8" spans="3:7">
      <c r="C8" t="s">
        <v>6</v>
      </c>
      <c r="D8" s="4">
        <v>0</v>
      </c>
      <c r="E8" s="1">
        <v>-177.302426999988</v>
      </c>
      <c r="F8" s="4">
        <v>-42.41</v>
      </c>
      <c r="G8" s="1">
        <v>870.64757299999405</v>
      </c>
    </row>
    <row r="9" spans="3:7">
      <c r="C9" t="s">
        <v>7</v>
      </c>
      <c r="D9" s="4">
        <v>0</v>
      </c>
      <c r="E9" s="1">
        <v>1044.6363292999899</v>
      </c>
      <c r="F9" s="4">
        <v>-66.41</v>
      </c>
      <c r="G9" s="1">
        <v>888.27632929999299</v>
      </c>
    </row>
    <row r="10" spans="3:7">
      <c r="C10" t="s">
        <v>8</v>
      </c>
      <c r="D10" s="4">
        <v>0</v>
      </c>
      <c r="E10" s="1">
        <v>-900.42701599999896</v>
      </c>
      <c r="F10" s="4">
        <v>-5.94</v>
      </c>
      <c r="G10" s="1">
        <v>147.94298400000099</v>
      </c>
    </row>
    <row r="11" spans="3:7">
      <c r="C11" t="s">
        <v>9</v>
      </c>
      <c r="D11" s="4">
        <v>0</v>
      </c>
      <c r="E11" s="1">
        <v>11.698194999999901</v>
      </c>
      <c r="F11" s="4">
        <v>-21.53</v>
      </c>
      <c r="G11" s="1">
        <v>1011.6981950000001</v>
      </c>
    </row>
    <row r="12" spans="3:7">
      <c r="C12" s="2" t="s">
        <v>10</v>
      </c>
      <c r="D12" s="5">
        <f>SUM(D3:D11)</f>
        <v>3985.28</v>
      </c>
      <c r="E12" s="5">
        <f>SUM(E3:E11)</f>
        <v>21206.641269000007</v>
      </c>
      <c r="F12" s="5">
        <f t="shared" ref="F12:G12" si="0">SUM(F3:F11)</f>
        <v>-25365.869999999995</v>
      </c>
      <c r="G12" s="5">
        <f t="shared" si="0"/>
        <v>154546.57563699997</v>
      </c>
    </row>
    <row r="13" spans="3:7">
      <c r="E13" s="1"/>
    </row>
    <row r="14" spans="3:7" ht="43.5">
      <c r="D14" s="7" t="s">
        <v>14</v>
      </c>
      <c r="E14" s="7" t="s">
        <v>15</v>
      </c>
      <c r="F14" s="7" t="s">
        <v>17</v>
      </c>
      <c r="G14" s="7" t="s">
        <v>16</v>
      </c>
    </row>
    <row r="15" spans="3:7">
      <c r="C15" t="str">
        <f>C3</f>
        <v>Arcelor</v>
      </c>
      <c r="D15" s="1">
        <v>24.405799999999999</v>
      </c>
      <c r="E15" s="8">
        <v>18.260000000000002</v>
      </c>
      <c r="F15" s="1">
        <f>D3</f>
        <v>3985.28</v>
      </c>
      <c r="G15" s="9">
        <f>F15/(D15-E15)</f>
        <v>648.45585603176175</v>
      </c>
    </row>
    <row r="16" spans="3:7">
      <c r="D16" s="6"/>
    </row>
    <row r="17" spans="4:4">
      <c r="D17" s="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2018-12-17T08:58:53Z</dcterms:created>
  <dcterms:modified xsi:type="dcterms:W3CDTF">2018-12-24T10:02:18Z</dcterms:modified>
</cp:coreProperties>
</file>