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63189381-B823-422F-8298-77A3C5E61BDD}" xr6:coauthVersionLast="47" xr6:coauthVersionMax="47" xr10:uidLastSave="{00000000-0000-0000-0000-000000000000}"/>
  <bookViews>
    <workbookView xWindow="19090" yWindow="-110" windowWidth="19420" windowHeight="10420" activeTab="3" xr2:uid="{9C88047F-F2B0-4C94-90F2-1B9BFBAFCCBB}"/>
  </bookViews>
  <sheets>
    <sheet name="Sheet3" sheetId="9" r:id="rId1"/>
    <sheet name="Movs 27" sheetId="7" r:id="rId2"/>
    <sheet name="Dif PiG" sheetId="6" r:id="rId3"/>
    <sheet name="Movs" sheetId="4" r:id="rId4"/>
    <sheet name="Taules" sheetId="2" r:id="rId5"/>
    <sheet name="Deusch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4" l="1"/>
  <c r="M16" i="4"/>
  <c r="N19" i="2"/>
  <c r="I17" i="4"/>
  <c r="I18" i="4" s="1"/>
  <c r="I19" i="4" s="1"/>
  <c r="I9" i="4"/>
  <c r="I10" i="4" s="1"/>
  <c r="I11" i="4" s="1"/>
  <c r="I12" i="4" s="1"/>
  <c r="I13" i="4" s="1"/>
  <c r="I5" i="4"/>
  <c r="I4" i="4"/>
  <c r="J3" i="9"/>
  <c r="J2" i="9"/>
  <c r="I7" i="7"/>
  <c r="I12" i="7" s="1"/>
  <c r="I2" i="7"/>
  <c r="I6" i="7"/>
  <c r="I11" i="7" s="1"/>
  <c r="F12" i="7"/>
  <c r="F11" i="7"/>
  <c r="I5" i="7"/>
  <c r="I10" i="7" s="1"/>
  <c r="F5" i="7"/>
  <c r="F10" i="7" s="1"/>
  <c r="M35" i="7"/>
  <c r="M36" i="7" s="1"/>
  <c r="N36" i="7" s="1"/>
  <c r="M46" i="7"/>
  <c r="M51" i="7" s="1"/>
  <c r="N51" i="7" s="1"/>
  <c r="L46" i="7"/>
  <c r="O51" i="7"/>
  <c r="O41" i="7" s="1"/>
  <c r="K46" i="7"/>
  <c r="K50" i="7" s="1"/>
  <c r="K51" i="7" s="1"/>
  <c r="K52" i="7" s="1"/>
  <c r="K35" i="7"/>
  <c r="K36" i="7" s="1"/>
  <c r="K40" i="7" s="1"/>
  <c r="K41" i="7" s="1"/>
  <c r="K42" i="7" s="1"/>
  <c r="K43" i="7" s="1"/>
  <c r="K30" i="7"/>
  <c r="K31" i="7" s="1"/>
  <c r="K32" i="7" s="1"/>
  <c r="L9" i="4"/>
  <c r="J8" i="4"/>
  <c r="K9" i="4"/>
  <c r="K8" i="4"/>
  <c r="J18" i="4"/>
  <c r="J11" i="4"/>
  <c r="K18" i="4"/>
  <c r="I16" i="4"/>
  <c r="K11" i="4"/>
  <c r="I8" i="4"/>
  <c r="I3" i="4"/>
  <c r="Q12" i="2"/>
  <c r="Q11" i="2"/>
  <c r="Q10" i="2"/>
  <c r="Q9" i="2"/>
  <c r="P11" i="2"/>
  <c r="P10" i="2"/>
  <c r="P9" i="2"/>
  <c r="Q7" i="2"/>
  <c r="Q3" i="2"/>
  <c r="Q4" i="2"/>
  <c r="Q5" i="2"/>
  <c r="Q6" i="2"/>
  <c r="Q2" i="2"/>
  <c r="O12" i="2"/>
  <c r="O7" i="2"/>
  <c r="N12" i="2"/>
  <c r="G12" i="2"/>
  <c r="G6" i="2"/>
  <c r="N7" i="2"/>
  <c r="I43" i="6"/>
  <c r="I40" i="6"/>
  <c r="I35" i="6"/>
  <c r="I28" i="6"/>
  <c r="I20" i="6"/>
  <c r="I14" i="6"/>
  <c r="I7" i="6"/>
  <c r="I39" i="6"/>
  <c r="I34" i="6"/>
  <c r="H39" i="6"/>
  <c r="H34" i="6"/>
  <c r="H26" i="6"/>
  <c r="I26" i="6"/>
  <c r="H27" i="6"/>
  <c r="I27" i="6"/>
  <c r="I25" i="6"/>
  <c r="H25" i="6"/>
  <c r="H19" i="6"/>
  <c r="I19" i="6"/>
  <c r="I18" i="6"/>
  <c r="H18" i="6"/>
  <c r="I13" i="6"/>
  <c r="H13" i="6"/>
  <c r="H5" i="6"/>
  <c r="I5" i="6"/>
  <c r="H6" i="6"/>
  <c r="I6" i="6"/>
  <c r="I4" i="6"/>
  <c r="H4" i="6"/>
  <c r="G13" i="1"/>
  <c r="D13" i="1"/>
  <c r="C13" i="1"/>
  <c r="B13" i="1"/>
  <c r="G12" i="1"/>
  <c r="D12" i="1"/>
  <c r="C12" i="1"/>
  <c r="B12" i="1"/>
  <c r="G11" i="1"/>
  <c r="D11" i="1"/>
  <c r="C11" i="1"/>
  <c r="B11" i="1"/>
  <c r="G10" i="1"/>
  <c r="D10" i="1"/>
  <c r="C10" i="1"/>
  <c r="B10" i="1"/>
</calcChain>
</file>

<file path=xl/sharedStrings.xml><?xml version="1.0" encoding="utf-8"?>
<sst xmlns="http://schemas.openxmlformats.org/spreadsheetml/2006/main" count="168" uniqueCount="56">
  <si>
    <t>Data Compra Orig</t>
  </si>
  <si>
    <t>Data Compra</t>
  </si>
  <si>
    <t>Parts</t>
  </si>
  <si>
    <t>Parts Orig</t>
  </si>
  <si>
    <t>Id</t>
  </si>
  <si>
    <t>Id Orig</t>
  </si>
  <si>
    <t>NULL</t>
  </si>
  <si>
    <t>Usu</t>
  </si>
  <si>
    <t>Prod</t>
  </si>
  <si>
    <t>Tipus mov</t>
  </si>
  <si>
    <t>Ref</t>
  </si>
  <si>
    <t>Data</t>
  </si>
  <si>
    <t>PU</t>
  </si>
  <si>
    <t>IdCompra</t>
  </si>
  <si>
    <t>IdOrig</t>
  </si>
  <si>
    <t>PartsOrig</t>
  </si>
  <si>
    <t>Compra</t>
  </si>
  <si>
    <t>Traspàs V</t>
  </si>
  <si>
    <t>Brut</t>
  </si>
  <si>
    <t>10-Bolsa Tecnología y Telecomunicaciones FI</t>
  </si>
  <si>
    <t>Traspàs C</t>
  </si>
  <si>
    <t>11-Total Return N Acc €-H1</t>
  </si>
  <si>
    <t>5-Deutschland</t>
  </si>
  <si>
    <t>1-Optimal Income A-H Grs Acc Hdg EUR</t>
  </si>
  <si>
    <t>16-DWS Aktien Strategie Deutschland</t>
  </si>
  <si>
    <t>19-NB Capital Plus FI</t>
  </si>
  <si>
    <t>Preu Unit. Compra</t>
  </si>
  <si>
    <t>PiG</t>
  </si>
  <si>
    <t>PigOrigen</t>
  </si>
  <si>
    <t>29-CS Corto Plazo B FI</t>
  </si>
  <si>
    <t>28-Aberdeen Standard Liquidity Fund Euro Fund A-2 Ac</t>
  </si>
  <si>
    <t>27-Global Technology A-Acc-EUR</t>
  </si>
  <si>
    <t>N</t>
  </si>
  <si>
    <t>O</t>
  </si>
  <si>
    <t>U</t>
  </si>
  <si>
    <t>Dif PiG</t>
  </si>
  <si>
    <t>Dif PiG Orig</t>
  </si>
  <si>
    <t>Dif tot</t>
  </si>
  <si>
    <t>A</t>
  </si>
  <si>
    <t>C</t>
  </si>
  <si>
    <t>T</t>
  </si>
  <si>
    <t>PU Orig</t>
  </si>
  <si>
    <t>Últimes</t>
  </si>
  <si>
    <t>Ocup</t>
  </si>
  <si>
    <t>Util</t>
  </si>
  <si>
    <t>Disp</t>
  </si>
  <si>
    <t>V30</t>
  </si>
  <si>
    <t>V91</t>
  </si>
  <si>
    <t xml:space="preserve"> </t>
  </si>
  <si>
    <t>11-Total Return N Acc €-H0</t>
  </si>
  <si>
    <t>Desg</t>
  </si>
  <si>
    <t>Parts:</t>
  </si>
  <si>
    <t>PartsOrig:</t>
  </si>
  <si>
    <t>PUtil:</t>
  </si>
  <si>
    <t>PUtilO: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</si>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</sst>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0"/>
    <numFmt numFmtId="165" formatCode="0.000"/>
    <numFmt numFmtId="166" formatCode="#,##0.0000\ &quot;€&quot;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3" fontId="0" fillId="3" borderId="0" xfId="0" applyNumberFormat="1" applyFill="1"/>
    <xf numFmtId="0" fontId="1" fillId="0" borderId="0" xfId="0" applyFont="1" applyAlignment="1">
      <alignment horizontal="center"/>
    </xf>
    <xf numFmtId="2" fontId="0" fillId="0" borderId="0" xfId="0" applyNumberFormat="1"/>
    <xf numFmtId="2" fontId="0" fillId="3" borderId="0" xfId="0" applyNumberFormat="1" applyFill="1"/>
    <xf numFmtId="165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/>
    </xf>
    <xf numFmtId="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8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0" fillId="4" borderId="0" xfId="0" applyFill="1"/>
    <xf numFmtId="4" fontId="0" fillId="3" borderId="0" xfId="0" applyNumberFormat="1" applyFill="1"/>
    <xf numFmtId="4" fontId="0" fillId="5" borderId="0" xfId="0" applyNumberFormat="1" applyFill="1"/>
    <xf numFmtId="0" fontId="0" fillId="5" borderId="0" xfId="0" applyFill="1"/>
    <xf numFmtId="0" fontId="0" fillId="4" borderId="2" xfId="0" applyFill="1" applyBorder="1"/>
    <xf numFmtId="0" fontId="0" fillId="4" borderId="3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2" xfId="0" applyBorder="1"/>
    <xf numFmtId="0" fontId="0" fillId="4" borderId="0" xfId="0" applyFill="1" applyBorder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8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0" fillId="0" borderId="0" xfId="0" applyAlignment="1"/>
    <xf numFmtId="2" fontId="0" fillId="0" borderId="0" xfId="0" applyNumberFormat="1" applyFont="1" applyAlignment="1"/>
    <xf numFmtId="14" fontId="0" fillId="0" borderId="0" xfId="0" applyNumberFormat="1" applyFont="1" applyAlignment="1"/>
    <xf numFmtId="14" fontId="0" fillId="0" borderId="0" xfId="0" applyNumberFormat="1" applyAlignment="1"/>
    <xf numFmtId="0" fontId="1" fillId="0" borderId="0" xfId="0" applyFont="1" applyAlignment="1"/>
    <xf numFmtId="8" fontId="0" fillId="0" borderId="0" xfId="0" applyNumberFormat="1" applyFont="1" applyAlignment="1"/>
    <xf numFmtId="8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0EF9-1D37-4AF3-8267-1950FB3DB311}">
  <dimension ref="A1:J57"/>
  <sheetViews>
    <sheetView topLeftCell="A4" zoomScaleNormal="100" workbookViewId="0">
      <selection activeCell="H19" sqref="H19"/>
    </sheetView>
  </sheetViews>
  <sheetFormatPr defaultRowHeight="14.5" x14ac:dyDescent="0.35"/>
  <cols>
    <col min="1" max="1" width="2.90625" bestFit="1" customWidth="1"/>
    <col min="2" max="2" width="8.81640625" bestFit="1" customWidth="1"/>
    <col min="3" max="3" width="10.7265625" customWidth="1"/>
    <col min="4" max="4" width="9.1796875" bestFit="1" customWidth="1"/>
    <col min="5" max="5" width="8.08984375" bestFit="1" customWidth="1"/>
    <col min="6" max="6" width="10.6328125" bestFit="1" customWidth="1"/>
    <col min="7" max="8" width="10.6328125" customWidth="1"/>
    <col min="9" max="9" width="1.7265625" customWidth="1"/>
  </cols>
  <sheetData>
    <row r="1" spans="1:10" x14ac:dyDescent="0.35">
      <c r="A1" s="11" t="s">
        <v>4</v>
      </c>
      <c r="B1" s="11"/>
      <c r="C1" s="11" t="s">
        <v>11</v>
      </c>
      <c r="D1" s="11" t="s">
        <v>2</v>
      </c>
      <c r="E1" s="11" t="s">
        <v>12</v>
      </c>
      <c r="F1" s="11" t="s">
        <v>18</v>
      </c>
      <c r="G1" s="11"/>
      <c r="H1" s="11"/>
    </row>
    <row r="2" spans="1:10" x14ac:dyDescent="0.35">
      <c r="A2">
        <v>26</v>
      </c>
      <c r="B2" t="s">
        <v>20</v>
      </c>
      <c r="C2" s="2">
        <v>41439</v>
      </c>
      <c r="D2" s="25">
        <v>249.34710000000001</v>
      </c>
      <c r="E2" s="20">
        <v>139.71</v>
      </c>
      <c r="F2" s="20">
        <v>34836.28</v>
      </c>
      <c r="G2" s="20"/>
      <c r="H2" s="20"/>
      <c r="J2">
        <f>D2</f>
        <v>249.34710000000001</v>
      </c>
    </row>
    <row r="3" spans="1:10" x14ac:dyDescent="0.35">
      <c r="A3">
        <v>28</v>
      </c>
      <c r="B3" t="s">
        <v>17</v>
      </c>
      <c r="C3" s="2">
        <v>41794</v>
      </c>
      <c r="D3" s="25">
        <v>249</v>
      </c>
      <c r="E3" s="20">
        <v>172.04</v>
      </c>
      <c r="F3" s="20">
        <v>42837.96</v>
      </c>
      <c r="G3" s="20"/>
      <c r="H3" s="20"/>
      <c r="J3">
        <f>IF(ISNUMBER(SEARCH("v",B3,1)),J2-D3,J2+D3)</f>
        <v>0.34710000000001173</v>
      </c>
    </row>
    <row r="4" spans="1:10" x14ac:dyDescent="0.35">
      <c r="C4" s="2"/>
      <c r="D4" s="25"/>
      <c r="E4" s="20"/>
      <c r="F4" s="20"/>
      <c r="G4" s="20"/>
      <c r="H4" s="20"/>
    </row>
    <row r="5" spans="1:10" x14ac:dyDescent="0.35">
      <c r="C5" s="2"/>
      <c r="D5" s="25"/>
      <c r="E5" s="20"/>
      <c r="F5" s="20"/>
      <c r="G5" s="20"/>
      <c r="H5" s="20"/>
    </row>
    <row r="6" spans="1:10" x14ac:dyDescent="0.35">
      <c r="C6" s="2"/>
      <c r="D6" s="25"/>
    </row>
    <row r="7" spans="1:10" x14ac:dyDescent="0.35">
      <c r="B7" t="s">
        <v>50</v>
      </c>
    </row>
    <row r="8" spans="1:10" x14ac:dyDescent="0.35">
      <c r="B8">
        <v>15</v>
      </c>
      <c r="C8" t="s">
        <v>51</v>
      </c>
      <c r="D8">
        <v>37.988199999999999</v>
      </c>
      <c r="E8">
        <v>39.353999999999999</v>
      </c>
    </row>
    <row r="9" spans="1:10" x14ac:dyDescent="0.35">
      <c r="B9">
        <v>15</v>
      </c>
      <c r="C9" t="s">
        <v>52</v>
      </c>
      <c r="D9">
        <v>679.64</v>
      </c>
      <c r="E9">
        <v>679.64</v>
      </c>
    </row>
    <row r="10" spans="1:10" x14ac:dyDescent="0.35">
      <c r="B10">
        <v>15</v>
      </c>
      <c r="C10" t="s">
        <v>53</v>
      </c>
      <c r="D10">
        <v>0</v>
      </c>
      <c r="E10">
        <v>0</v>
      </c>
    </row>
    <row r="11" spans="1:10" x14ac:dyDescent="0.35">
      <c r="B11">
        <v>15</v>
      </c>
      <c r="C11" t="s">
        <v>54</v>
      </c>
      <c r="D11">
        <v>0</v>
      </c>
      <c r="E11">
        <v>0</v>
      </c>
    </row>
    <row r="13" spans="1:10" x14ac:dyDescent="0.35">
      <c r="B13">
        <v>16</v>
      </c>
      <c r="C13" t="s">
        <v>51</v>
      </c>
      <c r="D13">
        <v>74.281599999999997</v>
      </c>
      <c r="E13">
        <v>76.952299999999994</v>
      </c>
    </row>
    <row r="14" spans="1:10" x14ac:dyDescent="0.35">
      <c r="B14">
        <v>16</v>
      </c>
      <c r="C14" t="s">
        <v>52</v>
      </c>
      <c r="D14">
        <v>547.64509999999996</v>
      </c>
      <c r="E14">
        <v>547.64509999999996</v>
      </c>
    </row>
    <row r="15" spans="1:10" x14ac:dyDescent="0.35">
      <c r="B15">
        <v>16</v>
      </c>
      <c r="C15" t="s">
        <v>53</v>
      </c>
      <c r="D15">
        <v>0</v>
      </c>
      <c r="E15">
        <v>0</v>
      </c>
    </row>
    <row r="16" spans="1:10" x14ac:dyDescent="0.35">
      <c r="B16">
        <v>16</v>
      </c>
      <c r="C16" t="s">
        <v>54</v>
      </c>
      <c r="D16">
        <v>0</v>
      </c>
      <c r="E16">
        <v>0</v>
      </c>
    </row>
    <row r="18" spans="2:8" x14ac:dyDescent="0.35">
      <c r="B18">
        <v>17</v>
      </c>
      <c r="C18" t="s">
        <v>51</v>
      </c>
      <c r="D18">
        <v>137.07740000000001</v>
      </c>
      <c r="E18">
        <v>141.64619999999999</v>
      </c>
      <c r="G18">
        <v>137.07740000000001</v>
      </c>
      <c r="H18">
        <v>141.64619999999999</v>
      </c>
    </row>
    <row r="19" spans="2:8" x14ac:dyDescent="0.35">
      <c r="B19">
        <v>17</v>
      </c>
      <c r="C19" t="s">
        <v>52</v>
      </c>
      <c r="D19">
        <v>1010.611</v>
      </c>
      <c r="E19">
        <v>1008.0512</v>
      </c>
      <c r="G19">
        <v>1010.611</v>
      </c>
      <c r="H19">
        <v>1008.0512</v>
      </c>
    </row>
    <row r="20" spans="2:8" x14ac:dyDescent="0.35">
      <c r="B20">
        <v>17</v>
      </c>
      <c r="C20" t="s">
        <v>53</v>
      </c>
      <c r="D20">
        <v>116.65349999999999</v>
      </c>
      <c r="E20">
        <v>141.64619999999999</v>
      </c>
      <c r="G20">
        <v>116.65349999999999</v>
      </c>
      <c r="H20">
        <v>141.64619999999999</v>
      </c>
    </row>
    <row r="21" spans="2:8" x14ac:dyDescent="0.35">
      <c r="B21">
        <v>17</v>
      </c>
      <c r="C21" t="s">
        <v>54</v>
      </c>
      <c r="D21">
        <v>860.03462487981199</v>
      </c>
      <c r="E21">
        <v>1008.0512</v>
      </c>
      <c r="G21">
        <v>860.03462487981199</v>
      </c>
      <c r="H21">
        <v>1008.0512</v>
      </c>
    </row>
    <row r="23" spans="2:8" x14ac:dyDescent="0.35">
      <c r="B23">
        <v>15</v>
      </c>
      <c r="C23" t="s">
        <v>51</v>
      </c>
    </row>
    <row r="24" spans="2:8" x14ac:dyDescent="0.35">
      <c r="B24">
        <v>15</v>
      </c>
      <c r="C24" t="s">
        <v>52</v>
      </c>
    </row>
    <row r="25" spans="2:8" x14ac:dyDescent="0.35">
      <c r="B25">
        <v>15</v>
      </c>
      <c r="C25" t="s">
        <v>53</v>
      </c>
    </row>
    <row r="26" spans="2:8" x14ac:dyDescent="0.35">
      <c r="B26">
        <v>15</v>
      </c>
      <c r="C26" t="s">
        <v>54</v>
      </c>
    </row>
    <row r="28" spans="2:8" x14ac:dyDescent="0.35">
      <c r="B28">
        <v>16</v>
      </c>
      <c r="C28" t="s">
        <v>51</v>
      </c>
    </row>
    <row r="29" spans="2:8" x14ac:dyDescent="0.35">
      <c r="B29">
        <v>16</v>
      </c>
      <c r="C29" t="s">
        <v>52</v>
      </c>
    </row>
    <row r="30" spans="2:8" x14ac:dyDescent="0.35">
      <c r="B30">
        <v>16</v>
      </c>
      <c r="C30" t="s">
        <v>53</v>
      </c>
    </row>
    <row r="31" spans="2:8" x14ac:dyDescent="0.35">
      <c r="B31">
        <v>16</v>
      </c>
      <c r="C31" t="s">
        <v>54</v>
      </c>
    </row>
    <row r="33" spans="2:7" x14ac:dyDescent="0.35">
      <c r="B33">
        <v>17</v>
      </c>
      <c r="C33" t="s">
        <v>51</v>
      </c>
    </row>
    <row r="34" spans="2:7" x14ac:dyDescent="0.35">
      <c r="B34">
        <v>17</v>
      </c>
      <c r="C34" t="s">
        <v>52</v>
      </c>
    </row>
    <row r="35" spans="2:7" x14ac:dyDescent="0.35">
      <c r="B35">
        <v>17</v>
      </c>
      <c r="C35" t="s">
        <v>53</v>
      </c>
    </row>
    <row r="36" spans="2:7" x14ac:dyDescent="0.35">
      <c r="B36">
        <v>17</v>
      </c>
      <c r="C36" t="s">
        <v>54</v>
      </c>
    </row>
    <row r="38" spans="2:7" x14ac:dyDescent="0.35">
      <c r="B38">
        <v>27</v>
      </c>
      <c r="C38" t="s">
        <v>51</v>
      </c>
      <c r="D38">
        <v>6.2279999999999998</v>
      </c>
      <c r="G38">
        <v>6.2279999999999998</v>
      </c>
    </row>
    <row r="39" spans="2:7" x14ac:dyDescent="0.35">
      <c r="B39">
        <v>27</v>
      </c>
      <c r="C39" t="s">
        <v>52</v>
      </c>
      <c r="D39">
        <v>56.674100000000003</v>
      </c>
      <c r="G39">
        <v>56.674100000000003</v>
      </c>
    </row>
    <row r="40" spans="2:7" x14ac:dyDescent="0.35">
      <c r="B40">
        <v>27</v>
      </c>
      <c r="C40" t="s">
        <v>53</v>
      </c>
      <c r="D40">
        <v>1.23029999999997</v>
      </c>
      <c r="G40">
        <v>1.23029999999997</v>
      </c>
    </row>
    <row r="41" spans="2:7" x14ac:dyDescent="0.35">
      <c r="B41">
        <v>27</v>
      </c>
      <c r="C41" t="s">
        <v>54</v>
      </c>
      <c r="D41">
        <v>11.195591719652899</v>
      </c>
      <c r="G41">
        <v>11.195591719652899</v>
      </c>
    </row>
    <row r="43" spans="2:7" x14ac:dyDescent="0.35">
      <c r="B43" t="s">
        <v>55</v>
      </c>
    </row>
    <row r="44" spans="2:7" x14ac:dyDescent="0.35">
      <c r="B44">
        <v>17</v>
      </c>
      <c r="C44" t="s">
        <v>51</v>
      </c>
      <c r="D44">
        <v>137.07740000000001</v>
      </c>
    </row>
    <row r="45" spans="2:7" x14ac:dyDescent="0.35">
      <c r="B45">
        <v>17</v>
      </c>
      <c r="C45" t="s">
        <v>52</v>
      </c>
      <c r="D45">
        <v>1010.611</v>
      </c>
    </row>
    <row r="46" spans="2:7" x14ac:dyDescent="0.35">
      <c r="B46">
        <v>17</v>
      </c>
      <c r="C46" t="s">
        <v>53</v>
      </c>
      <c r="D46">
        <v>116.65349999999999</v>
      </c>
    </row>
    <row r="47" spans="2:7" x14ac:dyDescent="0.35">
      <c r="B47">
        <v>17</v>
      </c>
      <c r="C47" t="s">
        <v>54</v>
      </c>
      <c r="D47">
        <v>860.03462487981199</v>
      </c>
    </row>
    <row r="49" spans="2:4" x14ac:dyDescent="0.35">
      <c r="B49">
        <v>17</v>
      </c>
      <c r="C49" t="s">
        <v>51</v>
      </c>
      <c r="D49">
        <v>141.64619999999999</v>
      </c>
    </row>
    <row r="50" spans="2:4" x14ac:dyDescent="0.35">
      <c r="B50">
        <v>17</v>
      </c>
      <c r="C50" t="s">
        <v>52</v>
      </c>
      <c r="D50">
        <v>1008.0512</v>
      </c>
    </row>
    <row r="51" spans="2:4" x14ac:dyDescent="0.35">
      <c r="B51">
        <v>17</v>
      </c>
      <c r="C51" t="s">
        <v>53</v>
      </c>
      <c r="D51">
        <v>141.64619999999999</v>
      </c>
    </row>
    <row r="52" spans="2:4" x14ac:dyDescent="0.35">
      <c r="B52">
        <v>17</v>
      </c>
      <c r="C52" t="s">
        <v>54</v>
      </c>
      <c r="D52">
        <v>1008.0512</v>
      </c>
    </row>
    <row r="54" spans="2:4" x14ac:dyDescent="0.35">
      <c r="B54">
        <v>27</v>
      </c>
      <c r="C54" t="s">
        <v>51</v>
      </c>
      <c r="D54">
        <v>6.2279999999999998</v>
      </c>
    </row>
    <row r="55" spans="2:4" x14ac:dyDescent="0.35">
      <c r="B55">
        <v>27</v>
      </c>
      <c r="C55" t="s">
        <v>52</v>
      </c>
      <c r="D55">
        <v>56.674100000000003</v>
      </c>
    </row>
    <row r="56" spans="2:4" x14ac:dyDescent="0.35">
      <c r="B56">
        <v>27</v>
      </c>
      <c r="C56" t="s">
        <v>53</v>
      </c>
      <c r="D56">
        <v>1.23029999999997</v>
      </c>
    </row>
    <row r="57" spans="2:4" x14ac:dyDescent="0.35">
      <c r="B57">
        <v>27</v>
      </c>
      <c r="C57" t="s">
        <v>54</v>
      </c>
      <c r="D57">
        <v>11.195591719652899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5221-FF52-4F30-B290-97282768550A}">
  <dimension ref="A1:O52"/>
  <sheetViews>
    <sheetView workbookViewId="0">
      <selection activeCell="D13" sqref="D13"/>
    </sheetView>
  </sheetViews>
  <sheetFormatPr defaultRowHeight="14.5" x14ac:dyDescent="0.35"/>
  <cols>
    <col min="1" max="1" width="6.453125" style="1" customWidth="1"/>
    <col min="2" max="2" width="3.90625" bestFit="1" customWidth="1"/>
    <col min="3" max="3" width="4.453125" customWidth="1"/>
    <col min="4" max="4" width="8.81640625" bestFit="1" customWidth="1"/>
    <col min="5" max="5" width="10.7265625" bestFit="1" customWidth="1"/>
    <col min="6" max="6" width="8.6328125" customWidth="1"/>
    <col min="7" max="7" width="9.6328125" bestFit="1" customWidth="1"/>
    <col min="8" max="8" width="10.6328125" bestFit="1" customWidth="1"/>
    <col min="9" max="9" width="9.08984375" customWidth="1"/>
    <col min="10" max="10" width="1.36328125" customWidth="1"/>
    <col min="12" max="12" width="9.26953125" bestFit="1" customWidth="1"/>
    <col min="13" max="13" width="9.81640625" bestFit="1" customWidth="1"/>
  </cols>
  <sheetData>
    <row r="1" spans="1:14" ht="29" x14ac:dyDescent="0.35">
      <c r="A1" s="1" t="s">
        <v>8</v>
      </c>
      <c r="B1" s="11" t="s">
        <v>4</v>
      </c>
      <c r="C1" s="4" t="s">
        <v>5</v>
      </c>
      <c r="D1" s="11"/>
      <c r="E1" s="11" t="s">
        <v>11</v>
      </c>
      <c r="F1" s="11" t="s">
        <v>2</v>
      </c>
      <c r="G1" s="11" t="s">
        <v>12</v>
      </c>
      <c r="H1" s="11" t="s">
        <v>18</v>
      </c>
      <c r="I1" s="11" t="s">
        <v>3</v>
      </c>
      <c r="J1" s="11"/>
      <c r="L1" s="11" t="s">
        <v>43</v>
      </c>
      <c r="M1" s="11" t="s">
        <v>44</v>
      </c>
      <c r="N1" s="11" t="s">
        <v>45</v>
      </c>
    </row>
    <row r="2" spans="1:14" x14ac:dyDescent="0.35">
      <c r="A2" s="45" t="s">
        <v>19</v>
      </c>
      <c r="B2" s="40">
        <v>15</v>
      </c>
      <c r="C2" s="40"/>
      <c r="D2" s="40" t="s">
        <v>16</v>
      </c>
      <c r="E2" s="43">
        <v>36841</v>
      </c>
      <c r="F2" s="42">
        <v>679.64</v>
      </c>
      <c r="G2" s="46">
        <v>22.992000000000001</v>
      </c>
      <c r="H2" s="46">
        <v>15626.31</v>
      </c>
      <c r="I2" s="42">
        <f>F2</f>
        <v>679.64</v>
      </c>
      <c r="J2" s="11"/>
      <c r="L2" s="11"/>
      <c r="M2" s="11"/>
      <c r="N2" s="11"/>
    </row>
    <row r="3" spans="1:14" x14ac:dyDescent="0.35">
      <c r="A3" s="45" t="s">
        <v>19</v>
      </c>
      <c r="B3" s="40">
        <v>23</v>
      </c>
      <c r="C3" s="40"/>
      <c r="D3" s="40" t="s">
        <v>17</v>
      </c>
      <c r="E3" s="43">
        <v>41383</v>
      </c>
      <c r="F3" s="42">
        <v>679.64</v>
      </c>
      <c r="G3" s="46">
        <v>8.1097999999999999</v>
      </c>
      <c r="H3" s="46">
        <v>5511.77</v>
      </c>
      <c r="I3" s="42"/>
      <c r="J3" s="11"/>
      <c r="L3" s="11"/>
      <c r="M3" s="11"/>
      <c r="N3" s="11"/>
    </row>
    <row r="4" spans="1:14" x14ac:dyDescent="0.35">
      <c r="A4" s="45" t="s">
        <v>21</v>
      </c>
      <c r="B4" s="40">
        <v>24</v>
      </c>
      <c r="C4" s="40"/>
      <c r="D4" s="40" t="s">
        <v>20</v>
      </c>
      <c r="E4" s="43">
        <v>41383</v>
      </c>
      <c r="F4" s="42">
        <v>280.07</v>
      </c>
      <c r="G4" s="46">
        <v>19.68</v>
      </c>
      <c r="H4" s="46">
        <v>5511.77</v>
      </c>
      <c r="I4" s="42"/>
      <c r="J4" s="11"/>
      <c r="L4" s="11"/>
      <c r="M4" s="11"/>
      <c r="N4" s="11"/>
    </row>
    <row r="5" spans="1:14" x14ac:dyDescent="0.35">
      <c r="A5" s="45"/>
      <c r="B5" s="40" t="s">
        <v>48</v>
      </c>
      <c r="C5" s="40">
        <v>15</v>
      </c>
      <c r="D5" s="40"/>
      <c r="E5" s="40"/>
      <c r="F5" s="42">
        <f>F4</f>
        <v>280.07</v>
      </c>
      <c r="G5" s="40"/>
      <c r="H5" s="40"/>
      <c r="I5" s="42">
        <f>F2</f>
        <v>679.64</v>
      </c>
      <c r="J5" s="11"/>
      <c r="L5" s="11"/>
      <c r="M5" s="11"/>
      <c r="N5" s="11"/>
    </row>
    <row r="6" spans="1:14" x14ac:dyDescent="0.35">
      <c r="A6" s="45" t="s">
        <v>21</v>
      </c>
      <c r="B6" s="40">
        <v>16</v>
      </c>
      <c r="C6" s="40"/>
      <c r="D6" s="40" t="s">
        <v>16</v>
      </c>
      <c r="E6" s="43">
        <v>41166</v>
      </c>
      <c r="F6" s="42">
        <v>547.64509999999996</v>
      </c>
      <c r="G6" s="46">
        <v>18.260000000000002</v>
      </c>
      <c r="H6" s="46">
        <v>10000</v>
      </c>
      <c r="I6" s="42">
        <f>F6</f>
        <v>547.64509999999996</v>
      </c>
      <c r="J6" s="11"/>
      <c r="L6" s="11"/>
      <c r="M6" s="11"/>
      <c r="N6" s="11"/>
    </row>
    <row r="7" spans="1:14" x14ac:dyDescent="0.35">
      <c r="A7" s="45" t="s">
        <v>49</v>
      </c>
      <c r="B7" s="40">
        <v>17</v>
      </c>
      <c r="C7" s="40"/>
      <c r="D7" s="40" t="s">
        <v>16</v>
      </c>
      <c r="E7" s="43">
        <v>41377</v>
      </c>
      <c r="F7" s="42">
        <v>1010.611</v>
      </c>
      <c r="G7" s="46">
        <v>19.79</v>
      </c>
      <c r="H7" s="46">
        <v>19999.990000000002</v>
      </c>
      <c r="I7" s="42">
        <f>F7</f>
        <v>1010.611</v>
      </c>
      <c r="J7" s="11"/>
      <c r="L7" s="11"/>
      <c r="M7" s="11"/>
      <c r="N7" s="11"/>
    </row>
    <row r="8" spans="1:14" x14ac:dyDescent="0.35">
      <c r="A8" s="45" t="s">
        <v>21</v>
      </c>
      <c r="B8" s="40">
        <v>25</v>
      </c>
      <c r="C8" s="40"/>
      <c r="D8" s="40" t="s">
        <v>17</v>
      </c>
      <c r="E8" s="43">
        <v>41439</v>
      </c>
      <c r="F8" s="42">
        <v>1838.3261</v>
      </c>
      <c r="G8" s="46">
        <v>18.95</v>
      </c>
      <c r="H8" s="46">
        <v>34836.28</v>
      </c>
      <c r="I8" s="42"/>
      <c r="J8" s="11"/>
      <c r="L8" s="11"/>
      <c r="M8" s="11"/>
      <c r="N8" s="11"/>
    </row>
    <row r="9" spans="1:14" x14ac:dyDescent="0.35">
      <c r="A9" s="45" t="s">
        <v>22</v>
      </c>
      <c r="B9" s="41">
        <v>26</v>
      </c>
      <c r="C9" s="41"/>
      <c r="D9" s="41" t="s">
        <v>20</v>
      </c>
      <c r="E9" s="44">
        <v>41439</v>
      </c>
      <c r="F9" s="42">
        <v>249.34710000000001</v>
      </c>
      <c r="G9" s="47">
        <v>139.71</v>
      </c>
      <c r="H9" s="47">
        <v>34836.28</v>
      </c>
      <c r="I9" s="42"/>
      <c r="J9" s="11"/>
      <c r="L9" s="11"/>
      <c r="M9" s="11"/>
      <c r="N9" s="11"/>
    </row>
    <row r="10" spans="1:14" x14ac:dyDescent="0.35">
      <c r="A10" s="45"/>
      <c r="B10" s="41" t="s">
        <v>48</v>
      </c>
      <c r="C10" s="41">
        <v>15</v>
      </c>
      <c r="D10" s="41"/>
      <c r="E10" s="44"/>
      <c r="F10" s="42">
        <f>F5*F9/F8</f>
        <v>37.98816885480764</v>
      </c>
      <c r="G10" s="47"/>
      <c r="H10" s="47"/>
      <c r="I10" s="42">
        <f>I5</f>
        <v>679.64</v>
      </c>
      <c r="J10" s="11"/>
      <c r="L10" s="11"/>
      <c r="M10" s="11"/>
      <c r="N10" s="11"/>
    </row>
    <row r="11" spans="1:14" x14ac:dyDescent="0.35">
      <c r="A11" s="45"/>
      <c r="B11" s="41"/>
      <c r="C11" s="41">
        <v>16</v>
      </c>
      <c r="D11" s="41"/>
      <c r="E11" s="44"/>
      <c r="F11" s="42">
        <f>F6*F9/F8</f>
        <v>74.281552937865598</v>
      </c>
      <c r="G11" s="47"/>
      <c r="H11" s="47"/>
      <c r="I11" s="42">
        <f>I6</f>
        <v>547.64509999999996</v>
      </c>
      <c r="J11" s="11"/>
      <c r="L11" s="11"/>
      <c r="M11" s="11"/>
      <c r="N11" s="11"/>
    </row>
    <row r="12" spans="1:14" x14ac:dyDescent="0.35">
      <c r="A12" s="45"/>
      <c r="B12" s="41"/>
      <c r="C12" s="41">
        <v>17</v>
      </c>
      <c r="D12" s="41"/>
      <c r="E12" s="44"/>
      <c r="F12" s="42">
        <f>(F8-F4-F6)*F9/F8</f>
        <v>137.07737820732677</v>
      </c>
      <c r="G12" s="47"/>
      <c r="H12" s="47"/>
      <c r="I12" s="42">
        <f>I7</f>
        <v>1010.611</v>
      </c>
      <c r="J12" s="11"/>
      <c r="L12" s="11"/>
      <c r="M12" s="11"/>
      <c r="N12" s="11"/>
    </row>
    <row r="13" spans="1:14" x14ac:dyDescent="0.35">
      <c r="A13" s="45" t="s">
        <v>22</v>
      </c>
      <c r="B13" s="40">
        <v>28</v>
      </c>
      <c r="C13" s="40"/>
      <c r="D13" s="40" t="s">
        <v>17</v>
      </c>
      <c r="E13" s="43">
        <v>41794</v>
      </c>
      <c r="F13" s="42">
        <v>249</v>
      </c>
      <c r="G13" s="46">
        <v>172.04</v>
      </c>
      <c r="H13" s="46">
        <v>42837.96</v>
      </c>
      <c r="I13" s="42"/>
      <c r="J13" s="11"/>
      <c r="L13" s="11"/>
      <c r="M13" s="11"/>
      <c r="N13" s="11"/>
    </row>
    <row r="14" spans="1:14" x14ac:dyDescent="0.35">
      <c r="A14" s="45" t="s">
        <v>23</v>
      </c>
      <c r="B14" s="40">
        <v>29</v>
      </c>
      <c r="C14" s="40"/>
      <c r="D14" s="40" t="s">
        <v>20</v>
      </c>
      <c r="E14" s="43">
        <v>41794</v>
      </c>
      <c r="F14" s="42">
        <v>2347.326</v>
      </c>
      <c r="G14" s="46">
        <v>18.249700000000001</v>
      </c>
      <c r="H14" s="46">
        <v>42837.96</v>
      </c>
      <c r="I14" s="42"/>
      <c r="J14" s="11"/>
      <c r="L14" s="11"/>
      <c r="M14" s="11"/>
      <c r="N14" s="11"/>
    </row>
    <row r="15" spans="1:14" x14ac:dyDescent="0.35">
      <c r="A15" s="45"/>
      <c r="B15" s="40"/>
      <c r="C15" s="40"/>
      <c r="D15" s="40"/>
      <c r="E15" s="43"/>
      <c r="F15" s="42"/>
      <c r="G15" s="46"/>
      <c r="H15" s="46"/>
      <c r="I15" s="42"/>
      <c r="J15" s="11"/>
      <c r="L15" s="11"/>
      <c r="M15" s="11"/>
      <c r="N15" s="11"/>
    </row>
    <row r="16" spans="1:14" x14ac:dyDescent="0.35">
      <c r="A16" s="45"/>
      <c r="B16" s="40">
        <v>24</v>
      </c>
      <c r="C16" s="40"/>
      <c r="D16" s="40"/>
      <c r="E16" s="43"/>
      <c r="F16" s="42"/>
      <c r="G16" s="46"/>
      <c r="H16" s="46"/>
      <c r="I16" s="42"/>
      <c r="J16" s="11"/>
      <c r="L16" s="11"/>
      <c r="M16" s="11"/>
      <c r="N16" s="11"/>
    </row>
    <row r="17" spans="1:14" x14ac:dyDescent="0.35">
      <c r="A17" s="45"/>
      <c r="B17" s="40">
        <v>26</v>
      </c>
      <c r="C17" s="40"/>
      <c r="D17" s="40"/>
      <c r="E17" s="43"/>
      <c r="F17" s="42"/>
      <c r="G17" s="46"/>
      <c r="H17" s="46"/>
      <c r="I17" s="42"/>
      <c r="J17" s="11"/>
      <c r="L17" s="11"/>
      <c r="M17" s="11"/>
      <c r="N17" s="11"/>
    </row>
    <row r="18" spans="1:14" x14ac:dyDescent="0.35">
      <c r="A18" s="45"/>
      <c r="B18" s="40">
        <v>29</v>
      </c>
      <c r="C18" s="40"/>
      <c r="D18" s="40"/>
      <c r="E18" s="43"/>
      <c r="F18" s="42"/>
      <c r="G18" s="46"/>
      <c r="H18" s="46"/>
      <c r="I18" s="42"/>
      <c r="J18" s="11"/>
      <c r="L18" s="11"/>
      <c r="M18" s="11"/>
      <c r="N18" s="11"/>
    </row>
    <row r="19" spans="1:14" x14ac:dyDescent="0.35">
      <c r="A19" s="45"/>
      <c r="B19" s="40"/>
      <c r="C19" s="40"/>
      <c r="D19" s="40"/>
      <c r="E19" s="43"/>
      <c r="F19" s="42"/>
      <c r="G19" s="46"/>
      <c r="H19" s="46"/>
      <c r="I19" s="42"/>
      <c r="J19" s="11"/>
      <c r="L19" s="11"/>
      <c r="M19" s="11"/>
      <c r="N19" s="11"/>
    </row>
    <row r="20" spans="1:14" x14ac:dyDescent="0.35">
      <c r="A20" s="45"/>
      <c r="B20" s="40"/>
      <c r="C20" s="40"/>
      <c r="D20" s="40"/>
      <c r="E20" s="43"/>
      <c r="F20" s="42"/>
      <c r="G20" s="46"/>
      <c r="H20" s="46"/>
      <c r="I20" s="42"/>
      <c r="J20" s="11"/>
      <c r="L20" s="11"/>
      <c r="M20" s="11"/>
      <c r="N20" s="11"/>
    </row>
    <row r="21" spans="1:14" x14ac:dyDescent="0.35">
      <c r="A21" s="45"/>
      <c r="B21" s="40"/>
      <c r="C21" s="40"/>
      <c r="D21" s="40"/>
      <c r="E21" s="43"/>
      <c r="F21" s="42"/>
      <c r="G21" s="46"/>
      <c r="H21" s="46"/>
      <c r="I21" s="42"/>
      <c r="J21" s="11"/>
      <c r="L21" s="11"/>
      <c r="M21" s="11"/>
      <c r="N21" s="11"/>
    </row>
    <row r="22" spans="1:14" x14ac:dyDescent="0.35">
      <c r="A22" s="45"/>
      <c r="B22" s="40"/>
      <c r="C22" s="40"/>
      <c r="D22" s="40"/>
      <c r="E22" s="43"/>
      <c r="F22" s="42"/>
      <c r="G22" s="46"/>
      <c r="H22" s="46"/>
      <c r="I22" s="42"/>
      <c r="J22" s="11"/>
      <c r="L22" s="11"/>
      <c r="M22" s="11"/>
      <c r="N22" s="11"/>
    </row>
    <row r="23" spans="1:14" x14ac:dyDescent="0.35">
      <c r="A23" s="45"/>
      <c r="B23" s="40"/>
      <c r="C23" s="40"/>
      <c r="D23" s="40"/>
      <c r="E23" s="43"/>
      <c r="F23" s="42"/>
      <c r="G23" s="46"/>
      <c r="H23" s="46"/>
      <c r="I23" s="42"/>
      <c r="J23" s="11"/>
      <c r="L23" s="11"/>
      <c r="M23" s="11"/>
      <c r="N23" s="11"/>
    </row>
    <row r="24" spans="1:14" x14ac:dyDescent="0.35">
      <c r="A24" s="45"/>
      <c r="B24" s="41"/>
      <c r="C24" s="41"/>
      <c r="D24" s="41"/>
      <c r="E24" s="41"/>
      <c r="F24" s="42"/>
      <c r="G24" s="41"/>
      <c r="H24" s="41"/>
      <c r="I24" s="42"/>
      <c r="J24" s="11"/>
      <c r="L24" s="11"/>
      <c r="M24" s="11"/>
      <c r="N24" s="11"/>
    </row>
    <row r="25" spans="1:14" x14ac:dyDescent="0.35">
      <c r="A25" s="45"/>
      <c r="B25" s="41"/>
      <c r="C25" s="41"/>
      <c r="D25" s="41"/>
      <c r="E25" s="41"/>
      <c r="F25" s="42"/>
      <c r="G25" s="41"/>
      <c r="H25" s="41"/>
      <c r="I25" s="42"/>
      <c r="J25" s="11"/>
      <c r="L25" s="11"/>
      <c r="M25" s="11"/>
      <c r="N25" s="11"/>
    </row>
    <row r="26" spans="1:14" x14ac:dyDescent="0.35">
      <c r="B26" s="40"/>
      <c r="C26" s="40"/>
      <c r="D26" s="36"/>
      <c r="E26" s="37"/>
      <c r="F26" s="36"/>
      <c r="G26" s="38"/>
      <c r="H26" s="38"/>
      <c r="I26" s="38"/>
      <c r="J26" s="11"/>
      <c r="L26" s="11"/>
      <c r="M26" s="11"/>
      <c r="N26" s="11"/>
    </row>
    <row r="27" spans="1:14" x14ac:dyDescent="0.35">
      <c r="B27" s="40"/>
      <c r="C27" s="40"/>
      <c r="D27" s="36"/>
      <c r="E27" s="37"/>
      <c r="F27" s="39"/>
      <c r="G27" s="38"/>
      <c r="H27" s="38"/>
      <c r="I27" s="38"/>
      <c r="J27" s="11"/>
      <c r="L27" s="11"/>
      <c r="M27" s="11"/>
      <c r="N27" s="11"/>
    </row>
    <row r="28" spans="1:14" x14ac:dyDescent="0.35">
      <c r="B28" s="36"/>
      <c r="C28" s="36"/>
      <c r="D28" s="36"/>
      <c r="E28" s="36"/>
      <c r="F28" s="36"/>
      <c r="G28" s="36"/>
      <c r="H28" s="36"/>
      <c r="I28" s="36"/>
      <c r="J28" s="11"/>
      <c r="L28" s="11"/>
      <c r="M28" s="11"/>
      <c r="N28" s="11"/>
    </row>
    <row r="29" spans="1:14" x14ac:dyDescent="0.35">
      <c r="A29" s="1" t="s">
        <v>25</v>
      </c>
      <c r="B29" s="18"/>
      <c r="C29" s="18"/>
      <c r="D29" s="11"/>
      <c r="E29" s="11"/>
      <c r="F29" s="11"/>
      <c r="G29" s="11"/>
      <c r="H29" s="11"/>
      <c r="I29" s="11"/>
      <c r="J29" s="11"/>
    </row>
    <row r="30" spans="1:14" x14ac:dyDescent="0.35">
      <c r="B30">
        <v>108</v>
      </c>
      <c r="D30" t="s">
        <v>16</v>
      </c>
      <c r="E30" s="2">
        <v>42387</v>
      </c>
      <c r="F30" s="19">
        <v>0.53749999999999998</v>
      </c>
      <c r="G30" s="20">
        <v>1860.4650999999999</v>
      </c>
      <c r="H30" s="20">
        <v>1000</v>
      </c>
      <c r="I30" s="20"/>
      <c r="K30" s="19">
        <f>F30</f>
        <v>0.53749999999999998</v>
      </c>
    </row>
    <row r="31" spans="1:14" x14ac:dyDescent="0.35">
      <c r="A31" s="1">
        <v>7</v>
      </c>
      <c r="B31" s="26">
        <v>171</v>
      </c>
      <c r="C31" s="26"/>
      <c r="D31" t="s">
        <v>20</v>
      </c>
      <c r="E31" s="2">
        <v>43516</v>
      </c>
      <c r="F31" s="19">
        <v>0.46779999999999999</v>
      </c>
      <c r="G31" s="20">
        <v>1895.2417</v>
      </c>
      <c r="H31" s="20">
        <v>886.59</v>
      </c>
      <c r="I31" s="20"/>
      <c r="K31" s="19">
        <f>K30+F31</f>
        <v>1.0053000000000001</v>
      </c>
    </row>
    <row r="32" spans="1:14" x14ac:dyDescent="0.35">
      <c r="B32">
        <v>201</v>
      </c>
      <c r="D32" t="s">
        <v>20</v>
      </c>
      <c r="E32" s="2">
        <v>44477</v>
      </c>
      <c r="F32" s="19">
        <v>5.1657999999999999</v>
      </c>
      <c r="G32" s="20">
        <v>1904.1615999999999</v>
      </c>
      <c r="H32" s="20">
        <v>9836.52</v>
      </c>
      <c r="I32" s="20"/>
      <c r="K32" s="19">
        <f>K31+F32</f>
        <v>6.1711</v>
      </c>
    </row>
    <row r="33" spans="1:15" ht="15" thickBot="1" x14ac:dyDescent="0.4">
      <c r="K33" s="19"/>
    </row>
    <row r="34" spans="1:15" x14ac:dyDescent="0.35">
      <c r="A34" s="1" t="s">
        <v>23</v>
      </c>
      <c r="K34" s="19"/>
      <c r="M34" s="32" t="s">
        <v>46</v>
      </c>
    </row>
    <row r="35" spans="1:15" x14ac:dyDescent="0.35">
      <c r="A35" s="1">
        <v>1</v>
      </c>
      <c r="B35" s="29">
        <v>27</v>
      </c>
      <c r="C35" s="29"/>
      <c r="D35" t="s">
        <v>16</v>
      </c>
      <c r="E35" s="2">
        <v>41521</v>
      </c>
      <c r="F35" s="19">
        <v>58.502000000000002</v>
      </c>
      <c r="G35" s="20">
        <v>17.093299999999999</v>
      </c>
      <c r="H35" s="20">
        <v>999.99</v>
      </c>
      <c r="I35" s="20"/>
      <c r="K35" s="19">
        <f>F35</f>
        <v>58.502000000000002</v>
      </c>
      <c r="L35" s="19"/>
      <c r="M35" s="30">
        <f>F35</f>
        <v>58.502000000000002</v>
      </c>
    </row>
    <row r="36" spans="1:15" ht="15" thickBot="1" x14ac:dyDescent="0.4">
      <c r="B36">
        <v>29</v>
      </c>
      <c r="D36" t="s">
        <v>20</v>
      </c>
      <c r="E36" s="2">
        <v>41794</v>
      </c>
      <c r="F36" s="19">
        <v>2347.326</v>
      </c>
      <c r="G36" s="20">
        <v>18.249700000000001</v>
      </c>
      <c r="H36" s="20">
        <v>42837.96</v>
      </c>
      <c r="I36" s="20"/>
      <c r="K36" s="19">
        <f>K35+F36</f>
        <v>2405.828</v>
      </c>
      <c r="M36" s="31">
        <f>F40-M35</f>
        <v>2345.498</v>
      </c>
      <c r="N36" s="19">
        <f>F36-M36</f>
        <v>1.8279999999999745</v>
      </c>
    </row>
    <row r="37" spans="1:15" x14ac:dyDescent="0.35">
      <c r="E37" s="2"/>
      <c r="F37" s="19"/>
      <c r="G37" s="20"/>
      <c r="H37" s="20"/>
      <c r="I37" s="20"/>
      <c r="K37" s="19"/>
      <c r="M37" s="35"/>
      <c r="N37" s="19"/>
    </row>
    <row r="38" spans="1:15" x14ac:dyDescent="0.35">
      <c r="E38" s="2"/>
      <c r="F38" s="19"/>
      <c r="G38" s="20"/>
      <c r="H38" s="20"/>
      <c r="I38" s="20"/>
      <c r="K38" s="19"/>
      <c r="M38" s="35"/>
      <c r="N38" s="19"/>
    </row>
    <row r="39" spans="1:15" x14ac:dyDescent="0.35">
      <c r="E39" s="2"/>
      <c r="F39" s="19"/>
      <c r="G39" s="20"/>
      <c r="H39" s="20"/>
      <c r="I39" s="20"/>
      <c r="K39" s="19"/>
      <c r="M39" s="35"/>
      <c r="N39" s="19"/>
    </row>
    <row r="40" spans="1:15" x14ac:dyDescent="0.35">
      <c r="A40" s="1">
        <v>2</v>
      </c>
      <c r="B40" s="26">
        <v>30</v>
      </c>
      <c r="C40" s="26"/>
      <c r="D40" t="s">
        <v>17</v>
      </c>
      <c r="E40" s="2">
        <v>41971</v>
      </c>
      <c r="F40" s="19">
        <v>2404</v>
      </c>
      <c r="G40" s="20">
        <v>18.5245</v>
      </c>
      <c r="H40" s="20">
        <v>44532.91</v>
      </c>
      <c r="I40" s="20"/>
      <c r="K40" s="19">
        <f>K36-F40</f>
        <v>1.8279999999999745</v>
      </c>
    </row>
    <row r="41" spans="1:15" x14ac:dyDescent="0.35">
      <c r="A41" s="1">
        <v>5</v>
      </c>
      <c r="B41" s="8">
        <v>92</v>
      </c>
      <c r="C41" s="8"/>
      <c r="D41" t="s">
        <v>20</v>
      </c>
      <c r="E41" s="2">
        <v>42202</v>
      </c>
      <c r="F41" s="19">
        <v>2922.36</v>
      </c>
      <c r="G41" s="20">
        <v>18.3931</v>
      </c>
      <c r="H41" s="20">
        <v>53751.26</v>
      </c>
      <c r="I41" s="20"/>
      <c r="K41" s="19">
        <f>K40+F41</f>
        <v>2924.1880000000001</v>
      </c>
      <c r="L41" s="19"/>
      <c r="O41" s="28">
        <f>O51</f>
        <v>58.502000000000002</v>
      </c>
    </row>
    <row r="42" spans="1:15" x14ac:dyDescent="0.35">
      <c r="B42">
        <v>100</v>
      </c>
      <c r="D42" t="s">
        <v>17</v>
      </c>
      <c r="E42" s="2">
        <v>42279</v>
      </c>
      <c r="F42" s="19">
        <v>2879.2429999999999</v>
      </c>
      <c r="G42" s="20">
        <v>18.063199999999998</v>
      </c>
      <c r="H42" s="20">
        <v>52008.35</v>
      </c>
      <c r="I42" s="20"/>
      <c r="K42" s="19">
        <f>K41-F42</f>
        <v>44.945000000000164</v>
      </c>
    </row>
    <row r="43" spans="1:15" x14ac:dyDescent="0.35">
      <c r="A43" s="1">
        <v>6</v>
      </c>
      <c r="B43" s="26">
        <v>170</v>
      </c>
      <c r="C43" s="26"/>
      <c r="D43" t="s">
        <v>17</v>
      </c>
      <c r="E43" s="2">
        <v>43516</v>
      </c>
      <c r="F43" s="19">
        <v>44.945</v>
      </c>
      <c r="G43" s="20">
        <v>19.726199999999999</v>
      </c>
      <c r="H43" s="20">
        <v>886.59</v>
      </c>
      <c r="I43" s="20"/>
      <c r="K43" s="19">
        <f>K42-F43</f>
        <v>1.6342482922482304E-13</v>
      </c>
    </row>
    <row r="44" spans="1:15" ht="15" thickBot="1" x14ac:dyDescent="0.4"/>
    <row r="45" spans="1:15" x14ac:dyDescent="0.35">
      <c r="A45" s="1" t="s">
        <v>22</v>
      </c>
      <c r="M45" s="33" t="s">
        <v>47</v>
      </c>
    </row>
    <row r="46" spans="1:15" x14ac:dyDescent="0.35">
      <c r="B46">
        <v>26</v>
      </c>
      <c r="D46" t="s">
        <v>20</v>
      </c>
      <c r="E46" s="2">
        <v>41439</v>
      </c>
      <c r="F46">
        <v>249.34710000000001</v>
      </c>
      <c r="G46" s="20">
        <v>139.71</v>
      </c>
      <c r="H46" s="20">
        <v>34836.28</v>
      </c>
      <c r="I46" s="20"/>
      <c r="K46" s="19">
        <f>F46</f>
        <v>249.34710000000001</v>
      </c>
      <c r="L46">
        <f>F50</f>
        <v>249</v>
      </c>
      <c r="M46" s="30">
        <f>F46-F50</f>
        <v>0.34710000000001173</v>
      </c>
    </row>
    <row r="47" spans="1:15" x14ac:dyDescent="0.35">
      <c r="E47" s="2"/>
      <c r="G47" s="20"/>
      <c r="H47" s="20"/>
      <c r="I47" s="20"/>
      <c r="K47" s="19"/>
      <c r="M47" s="30"/>
    </row>
    <row r="48" spans="1:15" x14ac:dyDescent="0.35">
      <c r="E48" s="2"/>
      <c r="G48" s="20"/>
      <c r="H48" s="20"/>
      <c r="I48" s="20"/>
      <c r="K48" s="19"/>
      <c r="M48" s="30"/>
    </row>
    <row r="49" spans="1:15" x14ac:dyDescent="0.35">
      <c r="E49" s="2"/>
      <c r="G49" s="20"/>
      <c r="H49" s="20"/>
      <c r="I49" s="20"/>
      <c r="K49" s="19"/>
      <c r="M49" s="30"/>
    </row>
    <row r="50" spans="1:15" x14ac:dyDescent="0.35">
      <c r="B50">
        <v>28</v>
      </c>
      <c r="D50" t="s">
        <v>17</v>
      </c>
      <c r="E50" s="2">
        <v>41794</v>
      </c>
      <c r="F50">
        <v>249</v>
      </c>
      <c r="G50" s="20">
        <v>172.04</v>
      </c>
      <c r="H50" s="20">
        <v>42837.96</v>
      </c>
      <c r="I50" s="20"/>
      <c r="K50" s="19">
        <f>K46-F50</f>
        <v>0.34710000000001173</v>
      </c>
      <c r="M50" s="34"/>
    </row>
    <row r="51" spans="1:15" ht="15" thickBot="1" x14ac:dyDescent="0.4">
      <c r="A51" s="1">
        <v>3</v>
      </c>
      <c r="B51" s="8">
        <v>31</v>
      </c>
      <c r="C51" s="8"/>
      <c r="D51" t="s">
        <v>20</v>
      </c>
      <c r="E51" s="2">
        <v>41976</v>
      </c>
      <c r="F51">
        <v>264.18049999999999</v>
      </c>
      <c r="G51" s="20">
        <v>168.57</v>
      </c>
      <c r="H51" s="20">
        <v>44532.91</v>
      </c>
      <c r="I51" s="20"/>
      <c r="K51" s="19">
        <f>K50+F51</f>
        <v>264.52760000000001</v>
      </c>
      <c r="L51" s="12"/>
      <c r="M51" s="31">
        <f>F52-M46</f>
        <v>259.18289999999996</v>
      </c>
      <c r="N51" s="14">
        <f>F51-M51</f>
        <v>4.997600000000034</v>
      </c>
      <c r="O51" s="28">
        <f>F35</f>
        <v>58.502000000000002</v>
      </c>
    </row>
    <row r="52" spans="1:15" x14ac:dyDescent="0.35">
      <c r="A52" s="1">
        <v>4</v>
      </c>
      <c r="B52" s="26">
        <v>91</v>
      </c>
      <c r="C52" s="26"/>
      <c r="D52" t="s">
        <v>17</v>
      </c>
      <c r="E52" s="2">
        <v>42201</v>
      </c>
      <c r="F52">
        <v>259.52999999999997</v>
      </c>
      <c r="G52" s="20">
        <v>207.11</v>
      </c>
      <c r="H52" s="20">
        <v>53751.26</v>
      </c>
      <c r="I52" s="20"/>
      <c r="K52" s="3">
        <f>K51-F52</f>
        <v>4.997600000000034</v>
      </c>
      <c r="M52" s="12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0B6C-8918-4C92-B223-EC5CFB4A3472}">
  <dimension ref="A1:I43"/>
  <sheetViews>
    <sheetView workbookViewId="0"/>
  </sheetViews>
  <sheetFormatPr defaultRowHeight="14.5" x14ac:dyDescent="0.35"/>
  <cols>
    <col min="1" max="1" width="2.36328125" customWidth="1"/>
    <col min="2" max="2" width="4" bestFit="1" customWidth="1"/>
    <col min="3" max="3" width="11.90625" bestFit="1" customWidth="1"/>
    <col min="4" max="4" width="16.453125" bestFit="1" customWidth="1"/>
    <col min="5" max="6" width="10.54296875" bestFit="1" customWidth="1"/>
    <col min="7" max="7" width="1.54296875" customWidth="1"/>
    <col min="8" max="8" width="6.453125" bestFit="1" customWidth="1"/>
    <col min="9" max="9" width="10.453125" bestFit="1" customWidth="1"/>
  </cols>
  <sheetData>
    <row r="1" spans="1:9" x14ac:dyDescent="0.35">
      <c r="B1" s="11" t="s">
        <v>4</v>
      </c>
      <c r="C1" s="11" t="s">
        <v>1</v>
      </c>
      <c r="D1" s="11" t="s">
        <v>26</v>
      </c>
      <c r="E1" s="11" t="s">
        <v>27</v>
      </c>
      <c r="F1" s="11" t="s">
        <v>28</v>
      </c>
      <c r="H1" s="11" t="s">
        <v>35</v>
      </c>
      <c r="I1" s="11" t="s">
        <v>36</v>
      </c>
    </row>
    <row r="2" spans="1:9" x14ac:dyDescent="0.35">
      <c r="B2" s="11"/>
      <c r="C2" s="11"/>
      <c r="D2" s="11"/>
      <c r="E2" s="11"/>
      <c r="F2" s="11"/>
    </row>
    <row r="3" spans="1:9" x14ac:dyDescent="0.35">
      <c r="A3" s="1" t="s">
        <v>25</v>
      </c>
    </row>
    <row r="4" spans="1:9" x14ac:dyDescent="0.35">
      <c r="A4" s="1" t="s">
        <v>32</v>
      </c>
      <c r="B4">
        <v>108</v>
      </c>
      <c r="C4" s="2">
        <v>42387</v>
      </c>
      <c r="D4" s="20">
        <v>1860.4649999999999</v>
      </c>
      <c r="E4" s="20">
        <v>19.62</v>
      </c>
      <c r="F4" s="20">
        <v>19.62</v>
      </c>
      <c r="H4" s="20">
        <f>E4-E8</f>
        <v>0</v>
      </c>
      <c r="I4" s="20">
        <f>F4-F8</f>
        <v>0</v>
      </c>
    </row>
    <row r="5" spans="1:9" x14ac:dyDescent="0.35">
      <c r="A5" s="1" t="s">
        <v>33</v>
      </c>
      <c r="B5">
        <v>171</v>
      </c>
      <c r="C5" s="2">
        <v>43516</v>
      </c>
      <c r="D5" s="20">
        <v>1895.242</v>
      </c>
      <c r="E5" s="20">
        <v>0.81</v>
      </c>
      <c r="F5" s="20">
        <v>164.58</v>
      </c>
      <c r="H5" s="20">
        <f t="shared" ref="H5:I5" si="0">E5-E9</f>
        <v>0</v>
      </c>
      <c r="I5" s="20">
        <f t="shared" si="0"/>
        <v>-142.54</v>
      </c>
    </row>
    <row r="6" spans="1:9" x14ac:dyDescent="0.35">
      <c r="A6" s="1" t="s">
        <v>34</v>
      </c>
      <c r="B6">
        <v>201</v>
      </c>
      <c r="C6" s="2">
        <v>44477</v>
      </c>
      <c r="D6" s="20">
        <v>1904.162</v>
      </c>
      <c r="E6" s="20">
        <v>-37.15</v>
      </c>
      <c r="F6" s="20">
        <v>6832.64</v>
      </c>
      <c r="H6" s="20">
        <f t="shared" ref="H6:I6" si="1">E6-E10</f>
        <v>0</v>
      </c>
      <c r="I6" s="20">
        <f t="shared" si="1"/>
        <v>4702.26</v>
      </c>
    </row>
    <row r="7" spans="1:9" x14ac:dyDescent="0.35">
      <c r="A7" s="21"/>
      <c r="B7" s="21"/>
      <c r="C7" s="21"/>
      <c r="D7" s="21"/>
      <c r="E7" s="21"/>
      <c r="F7" s="21"/>
      <c r="I7" s="23">
        <f>SUM(I4:I6)</f>
        <v>4559.72</v>
      </c>
    </row>
    <row r="8" spans="1:9" x14ac:dyDescent="0.35">
      <c r="A8" s="21" t="s">
        <v>38</v>
      </c>
      <c r="B8" s="15">
        <v>108</v>
      </c>
      <c r="C8" s="16">
        <v>42387</v>
      </c>
      <c r="D8" s="17">
        <v>1860.4649999999999</v>
      </c>
      <c r="E8" s="17">
        <v>19.62</v>
      </c>
      <c r="F8" s="17">
        <v>19.62</v>
      </c>
    </row>
    <row r="9" spans="1:9" x14ac:dyDescent="0.35">
      <c r="A9" s="21" t="s">
        <v>39</v>
      </c>
      <c r="B9" s="15">
        <v>171</v>
      </c>
      <c r="C9" s="16">
        <v>43516</v>
      </c>
      <c r="D9" s="17">
        <v>1895.242</v>
      </c>
      <c r="E9" s="17">
        <v>0.81</v>
      </c>
      <c r="F9" s="17">
        <v>307.12</v>
      </c>
    </row>
    <row r="10" spans="1:9" x14ac:dyDescent="0.35">
      <c r="A10" s="21" t="s">
        <v>40</v>
      </c>
      <c r="B10" s="15">
        <v>201</v>
      </c>
      <c r="C10" s="16">
        <v>44477</v>
      </c>
      <c r="D10" s="17">
        <v>1904.162</v>
      </c>
      <c r="E10" s="17">
        <v>-37.15</v>
      </c>
      <c r="F10" s="17">
        <v>2130.38</v>
      </c>
    </row>
    <row r="11" spans="1:9" x14ac:dyDescent="0.35">
      <c r="A11" s="21"/>
    </row>
    <row r="12" spans="1:9" x14ac:dyDescent="0.35">
      <c r="A12" s="1" t="s">
        <v>29</v>
      </c>
    </row>
    <row r="13" spans="1:9" x14ac:dyDescent="0.35">
      <c r="B13">
        <v>199</v>
      </c>
      <c r="C13" s="2">
        <v>44476</v>
      </c>
      <c r="D13" s="20">
        <v>13.04</v>
      </c>
      <c r="E13" s="20">
        <v>-13.17</v>
      </c>
      <c r="F13" s="20">
        <v>7000.14</v>
      </c>
      <c r="H13" s="20">
        <f>E13-E15</f>
        <v>0</v>
      </c>
      <c r="I13" s="20">
        <f>F13-F15</f>
        <v>5263.76</v>
      </c>
    </row>
    <row r="14" spans="1:9" x14ac:dyDescent="0.35">
      <c r="A14" s="21"/>
      <c r="B14" s="21"/>
      <c r="C14" s="21"/>
      <c r="D14" s="21"/>
      <c r="E14" s="21"/>
      <c r="F14" s="21"/>
      <c r="I14" s="23">
        <f>SUM(I13)</f>
        <v>5263.76</v>
      </c>
    </row>
    <row r="15" spans="1:9" x14ac:dyDescent="0.35">
      <c r="A15" s="22"/>
      <c r="B15" s="15">
        <v>199</v>
      </c>
      <c r="C15" s="16">
        <v>44476</v>
      </c>
      <c r="D15" s="17">
        <v>13.04</v>
      </c>
      <c r="E15" s="17">
        <v>-13.17</v>
      </c>
      <c r="F15" s="17">
        <v>1736.38</v>
      </c>
    </row>
    <row r="17" spans="1:9" x14ac:dyDescent="0.35">
      <c r="A17" s="1" t="s">
        <v>22</v>
      </c>
    </row>
    <row r="18" spans="1:9" x14ac:dyDescent="0.35">
      <c r="B18">
        <v>26</v>
      </c>
      <c r="C18" s="2">
        <v>41439</v>
      </c>
      <c r="D18" s="20">
        <v>139.71</v>
      </c>
      <c r="E18" s="20">
        <v>0</v>
      </c>
      <c r="F18" s="20">
        <v>0</v>
      </c>
      <c r="H18" s="20">
        <f>E18-E21</f>
        <v>0</v>
      </c>
      <c r="I18" s="20">
        <f>F18-F21</f>
        <v>0</v>
      </c>
    </row>
    <row r="19" spans="1:9" x14ac:dyDescent="0.35">
      <c r="B19">
        <v>31</v>
      </c>
      <c r="C19" s="2">
        <v>41976</v>
      </c>
      <c r="D19" s="20">
        <v>168.57</v>
      </c>
      <c r="E19" s="20">
        <v>559.48</v>
      </c>
      <c r="F19" s="20">
        <v>624.57000000000005</v>
      </c>
      <c r="H19" s="20">
        <f>E19-E22</f>
        <v>0</v>
      </c>
      <c r="I19" s="20">
        <f>F19-F22</f>
        <v>0</v>
      </c>
    </row>
    <row r="20" spans="1:9" x14ac:dyDescent="0.35">
      <c r="A20" s="21"/>
      <c r="B20" s="21"/>
      <c r="C20" s="21"/>
      <c r="D20" s="21"/>
      <c r="E20" s="21"/>
      <c r="F20" s="21"/>
      <c r="I20" s="23">
        <f>SUM(I18:I19)</f>
        <v>0</v>
      </c>
    </row>
    <row r="21" spans="1:9" x14ac:dyDescent="0.35">
      <c r="A21" s="22"/>
      <c r="B21" s="15">
        <v>26</v>
      </c>
      <c r="C21" s="16">
        <v>41439</v>
      </c>
      <c r="D21" s="17">
        <v>139.71</v>
      </c>
      <c r="E21" s="17">
        <v>0</v>
      </c>
      <c r="F21" s="17">
        <v>0</v>
      </c>
    </row>
    <row r="22" spans="1:9" x14ac:dyDescent="0.35">
      <c r="A22" s="22"/>
      <c r="B22" s="15">
        <v>31</v>
      </c>
      <c r="C22" s="16">
        <v>41976</v>
      </c>
      <c r="D22" s="17">
        <v>168.57</v>
      </c>
      <c r="E22" s="17">
        <v>559.48</v>
      </c>
      <c r="F22" s="17">
        <v>624.57000000000005</v>
      </c>
    </row>
    <row r="24" spans="1:9" x14ac:dyDescent="0.35">
      <c r="A24" s="1" t="s">
        <v>30</v>
      </c>
    </row>
    <row r="25" spans="1:9" x14ac:dyDescent="0.35">
      <c r="B25">
        <v>197</v>
      </c>
      <c r="C25" s="2">
        <v>44473</v>
      </c>
      <c r="D25" s="20">
        <v>435.10199999999998</v>
      </c>
      <c r="E25" s="20">
        <v>-17.29</v>
      </c>
      <c r="F25" s="20">
        <v>6106.86</v>
      </c>
      <c r="H25" s="20">
        <f>E25-E29</f>
        <v>0</v>
      </c>
      <c r="I25" s="20">
        <f>F25-F29</f>
        <v>-71.119999999999891</v>
      </c>
    </row>
    <row r="26" spans="1:9" x14ac:dyDescent="0.35">
      <c r="B26">
        <v>203</v>
      </c>
      <c r="C26" s="2">
        <v>44496</v>
      </c>
      <c r="D26" s="20">
        <v>434.947</v>
      </c>
      <c r="E26" s="20">
        <v>-19.07</v>
      </c>
      <c r="F26" s="20">
        <v>8572.81</v>
      </c>
      <c r="H26" s="20">
        <f t="shared" ref="H26:I26" si="2">E26-E30</f>
        <v>0</v>
      </c>
      <c r="I26" s="20">
        <f t="shared" si="2"/>
        <v>0</v>
      </c>
    </row>
    <row r="27" spans="1:9" x14ac:dyDescent="0.35">
      <c r="B27">
        <v>205</v>
      </c>
      <c r="C27" s="2">
        <v>44524</v>
      </c>
      <c r="D27" s="20">
        <v>434.75799999999998</v>
      </c>
      <c r="E27" s="20">
        <v>-16.670000000000002</v>
      </c>
      <c r="F27" s="20">
        <v>12129.63</v>
      </c>
      <c r="H27" s="20">
        <f t="shared" ref="H27:I27" si="3">E27-E31</f>
        <v>0</v>
      </c>
      <c r="I27" s="20">
        <f t="shared" si="3"/>
        <v>-124.46000000000095</v>
      </c>
    </row>
    <row r="28" spans="1:9" x14ac:dyDescent="0.35">
      <c r="A28" s="21"/>
      <c r="B28" s="21"/>
      <c r="C28" s="21"/>
      <c r="D28" s="21"/>
      <c r="E28" s="21"/>
      <c r="F28" s="21"/>
      <c r="I28" s="23">
        <f>SUM(I25:I27)</f>
        <v>-195.58000000000084</v>
      </c>
    </row>
    <row r="29" spans="1:9" x14ac:dyDescent="0.35">
      <c r="A29" s="22"/>
      <c r="B29" s="15">
        <v>197</v>
      </c>
      <c r="C29" s="16">
        <v>44473</v>
      </c>
      <c r="D29" s="17">
        <v>435.10199999999998</v>
      </c>
      <c r="E29" s="17">
        <v>-17.29</v>
      </c>
      <c r="F29" s="17">
        <v>6177.98</v>
      </c>
    </row>
    <row r="30" spans="1:9" x14ac:dyDescent="0.35">
      <c r="A30" s="22"/>
      <c r="B30" s="15">
        <v>203</v>
      </c>
      <c r="C30" s="16">
        <v>44496</v>
      </c>
      <c r="D30" s="17">
        <v>434.947</v>
      </c>
      <c r="E30" s="17">
        <v>-19.07</v>
      </c>
      <c r="F30" s="17">
        <v>8572.81</v>
      </c>
    </row>
    <row r="31" spans="1:9" x14ac:dyDescent="0.35">
      <c r="A31" s="22"/>
      <c r="B31" s="15">
        <v>205</v>
      </c>
      <c r="C31" s="16">
        <v>44524</v>
      </c>
      <c r="D31" s="17">
        <v>434.75799999999998</v>
      </c>
      <c r="E31" s="17">
        <v>-16.670000000000002</v>
      </c>
      <c r="F31" s="17">
        <v>12254.09</v>
      </c>
    </row>
    <row r="33" spans="1:9" x14ac:dyDescent="0.35">
      <c r="A33" s="1" t="s">
        <v>31</v>
      </c>
    </row>
    <row r="34" spans="1:9" x14ac:dyDescent="0.35">
      <c r="B34">
        <v>173</v>
      </c>
      <c r="C34" s="2">
        <v>43525</v>
      </c>
      <c r="D34" s="20">
        <v>17.05</v>
      </c>
      <c r="E34" s="20">
        <v>22972.29</v>
      </c>
      <c r="F34" s="20">
        <v>31060.26</v>
      </c>
      <c r="H34" s="20">
        <f>E34-E36</f>
        <v>0</v>
      </c>
      <c r="I34" s="20">
        <f>F34-F36</f>
        <v>-1013.3300000000017</v>
      </c>
    </row>
    <row r="35" spans="1:9" x14ac:dyDescent="0.35">
      <c r="A35" s="21"/>
      <c r="B35" s="21"/>
      <c r="C35" s="21"/>
      <c r="D35" s="21"/>
      <c r="E35" s="21"/>
      <c r="F35" s="21"/>
      <c r="I35" s="23">
        <f>SUM(I34)</f>
        <v>-1013.3300000000017</v>
      </c>
    </row>
    <row r="36" spans="1:9" x14ac:dyDescent="0.35">
      <c r="A36" s="22"/>
      <c r="B36" s="15">
        <v>173</v>
      </c>
      <c r="C36" s="16">
        <v>43525</v>
      </c>
      <c r="D36" s="17">
        <v>17.05</v>
      </c>
      <c r="E36" s="17">
        <v>22972.29</v>
      </c>
      <c r="F36" s="17">
        <v>32073.59</v>
      </c>
    </row>
    <row r="38" spans="1:9" x14ac:dyDescent="0.35">
      <c r="A38" s="1" t="s">
        <v>24</v>
      </c>
    </row>
    <row r="39" spans="1:9" x14ac:dyDescent="0.35">
      <c r="B39">
        <v>101</v>
      </c>
      <c r="C39" s="2">
        <v>42279</v>
      </c>
      <c r="D39" s="20">
        <v>323.52999999999997</v>
      </c>
      <c r="E39" s="20">
        <v>5886</v>
      </c>
      <c r="F39" s="20">
        <v>8162.56</v>
      </c>
      <c r="H39" s="20">
        <f>E39-E41</f>
        <v>0</v>
      </c>
      <c r="I39" s="20">
        <f>F39-F41</f>
        <v>-209.01999999999953</v>
      </c>
    </row>
    <row r="40" spans="1:9" x14ac:dyDescent="0.35">
      <c r="A40" s="21"/>
      <c r="B40" s="21"/>
      <c r="C40" s="21"/>
      <c r="D40" s="21"/>
      <c r="E40" s="21"/>
      <c r="F40" s="21"/>
      <c r="I40" s="23">
        <f>SUM(I39)</f>
        <v>-209.01999999999953</v>
      </c>
    </row>
    <row r="41" spans="1:9" x14ac:dyDescent="0.35">
      <c r="A41" s="22"/>
      <c r="B41" s="15">
        <v>101</v>
      </c>
      <c r="C41" s="16">
        <v>42279</v>
      </c>
      <c r="D41" s="17">
        <v>323.52999999999997</v>
      </c>
      <c r="E41" s="17">
        <v>5886</v>
      </c>
      <c r="F41" s="17">
        <v>8371.58</v>
      </c>
    </row>
    <row r="42" spans="1:9" x14ac:dyDescent="0.35">
      <c r="I42" s="20"/>
    </row>
    <row r="43" spans="1:9" x14ac:dyDescent="0.35">
      <c r="H43" s="1" t="s">
        <v>37</v>
      </c>
      <c r="I43" s="23">
        <f>I7+I14+I20+I28+I35+I40</f>
        <v>8405.5499999999956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8976-EAE7-4A0A-A776-E4303DC2CBF0}">
  <dimension ref="A1:M19"/>
  <sheetViews>
    <sheetView tabSelected="1" topLeftCell="A7" zoomScale="115" zoomScaleNormal="115" workbookViewId="0">
      <selection activeCell="D16" sqref="D16"/>
    </sheetView>
  </sheetViews>
  <sheetFormatPr defaultRowHeight="14.5" x14ac:dyDescent="0.35"/>
  <cols>
    <col min="1" max="1" width="2.54296875" style="1" customWidth="1"/>
    <col min="2" max="2" width="3.90625" bestFit="1" customWidth="1"/>
    <col min="3" max="3" width="8.81640625" bestFit="1" customWidth="1"/>
    <col min="4" max="4" width="11.26953125" customWidth="1"/>
    <col min="5" max="5" width="8.6328125" customWidth="1"/>
    <col min="6" max="6" width="9.6328125" bestFit="1" customWidth="1"/>
    <col min="7" max="7" width="10.6328125" bestFit="1" customWidth="1"/>
    <col min="8" max="8" width="1.36328125" customWidth="1"/>
    <col min="10" max="10" width="9.26953125" bestFit="1" customWidth="1"/>
    <col min="11" max="11" width="9.81640625" bestFit="1" customWidth="1"/>
  </cols>
  <sheetData>
    <row r="1" spans="1:13" x14ac:dyDescent="0.35">
      <c r="B1" s="11" t="s">
        <v>4</v>
      </c>
      <c r="C1" s="11"/>
      <c r="D1" s="11" t="s">
        <v>11</v>
      </c>
      <c r="E1" s="11" t="s">
        <v>2</v>
      </c>
      <c r="F1" s="11" t="s">
        <v>12</v>
      </c>
      <c r="G1" s="11" t="s">
        <v>18</v>
      </c>
      <c r="H1" s="11"/>
      <c r="J1" s="11" t="s">
        <v>43</v>
      </c>
      <c r="K1" s="11" t="s">
        <v>44</v>
      </c>
      <c r="L1" s="11" t="s">
        <v>45</v>
      </c>
    </row>
    <row r="2" spans="1:13" x14ac:dyDescent="0.35">
      <c r="A2" s="1" t="s">
        <v>25</v>
      </c>
      <c r="B2" s="18"/>
      <c r="C2" s="11"/>
      <c r="D2" s="11"/>
      <c r="E2" s="11"/>
      <c r="F2" s="11"/>
      <c r="G2" s="11"/>
      <c r="H2" s="11"/>
    </row>
    <row r="3" spans="1:13" x14ac:dyDescent="0.35">
      <c r="B3">
        <v>108</v>
      </c>
      <c r="C3" t="s">
        <v>16</v>
      </c>
      <c r="D3" s="2">
        <v>42387</v>
      </c>
      <c r="E3" s="19">
        <v>0.53749999999999998</v>
      </c>
      <c r="F3" s="20">
        <v>1860.4650999999999</v>
      </c>
      <c r="G3" s="20">
        <v>1000</v>
      </c>
      <c r="I3" s="19">
        <f>E3</f>
        <v>0.53749999999999998</v>
      </c>
    </row>
    <row r="4" spans="1:13" x14ac:dyDescent="0.35">
      <c r="A4" s="1">
        <v>1</v>
      </c>
      <c r="B4" s="26">
        <v>171</v>
      </c>
      <c r="C4" t="s">
        <v>20</v>
      </c>
      <c r="D4" s="2">
        <v>43516</v>
      </c>
      <c r="E4" s="19">
        <v>0.46779999999999999</v>
      </c>
      <c r="F4" s="20">
        <v>1895.2417</v>
      </c>
      <c r="G4" s="20">
        <v>886.59</v>
      </c>
      <c r="I4" s="19">
        <f>IF(ISNUMBER(SEARCH("v",C4,1)),I3-E4,I3+E4)</f>
        <v>1.0053000000000001</v>
      </c>
    </row>
    <row r="5" spans="1:13" x14ac:dyDescent="0.35">
      <c r="B5">
        <v>201</v>
      </c>
      <c r="C5" t="s">
        <v>20</v>
      </c>
      <c r="D5" s="2">
        <v>44477</v>
      </c>
      <c r="E5" s="19">
        <v>5.1657999999999999</v>
      </c>
      <c r="F5" s="20">
        <v>1904.1615999999999</v>
      </c>
      <c r="G5" s="20">
        <v>9836.52</v>
      </c>
      <c r="I5" s="19">
        <f>IF(ISNUMBER(SEARCH("v",C5,1)),I4-E5,I4+E5)</f>
        <v>6.1711</v>
      </c>
    </row>
    <row r="6" spans="1:13" x14ac:dyDescent="0.35">
      <c r="I6" s="19"/>
    </row>
    <row r="7" spans="1:13" x14ac:dyDescent="0.35">
      <c r="A7" s="1" t="s">
        <v>23</v>
      </c>
      <c r="I7" s="19"/>
    </row>
    <row r="8" spans="1:13" x14ac:dyDescent="0.35">
      <c r="A8" s="1">
        <v>7</v>
      </c>
      <c r="B8" s="29">
        <v>27</v>
      </c>
      <c r="C8" t="s">
        <v>16</v>
      </c>
      <c r="D8" s="2">
        <v>41521</v>
      </c>
      <c r="E8" s="19">
        <v>58.502000000000002</v>
      </c>
      <c r="F8" s="20">
        <v>17.093299999999999</v>
      </c>
      <c r="G8" s="20">
        <v>999.99</v>
      </c>
      <c r="I8" s="19">
        <f>E8</f>
        <v>58.502000000000002</v>
      </c>
      <c r="J8" s="19">
        <f>E8-K8</f>
        <v>0</v>
      </c>
      <c r="K8" s="28">
        <f>E8</f>
        <v>58.502000000000002</v>
      </c>
    </row>
    <row r="9" spans="1:13" x14ac:dyDescent="0.35">
      <c r="A9" s="1">
        <v>7</v>
      </c>
      <c r="B9">
        <v>29</v>
      </c>
      <c r="C9" t="s">
        <v>20</v>
      </c>
      <c r="D9" s="2">
        <v>41794</v>
      </c>
      <c r="E9" s="19">
        <v>2347.326</v>
      </c>
      <c r="F9" s="20">
        <v>18.249700000000001</v>
      </c>
      <c r="G9" s="20">
        <v>42837.96</v>
      </c>
      <c r="I9" s="19">
        <f t="shared" ref="I9:I13" si="0">IF(ISNUMBER(SEARCH("v",C9,1)),I8-E9,I8+E9)</f>
        <v>2405.828</v>
      </c>
      <c r="K9" s="19">
        <f>E10-K8</f>
        <v>2345.498</v>
      </c>
      <c r="L9" s="19">
        <f>E9-K9</f>
        <v>1.8279999999999745</v>
      </c>
    </row>
    <row r="10" spans="1:13" x14ac:dyDescent="0.35">
      <c r="A10" s="1">
        <v>6</v>
      </c>
      <c r="B10" s="26">
        <v>30</v>
      </c>
      <c r="C10" t="s">
        <v>17</v>
      </c>
      <c r="D10" s="2">
        <v>41971</v>
      </c>
      <c r="E10" s="19">
        <v>2404</v>
      </c>
      <c r="F10" s="20">
        <v>18.5245</v>
      </c>
      <c r="G10" s="20">
        <v>44532.91</v>
      </c>
      <c r="I10" s="19">
        <f t="shared" si="0"/>
        <v>1.8279999999999745</v>
      </c>
      <c r="K10" s="19"/>
    </row>
    <row r="11" spans="1:13" x14ac:dyDescent="0.35">
      <c r="A11" s="1">
        <v>3</v>
      </c>
      <c r="B11" s="8">
        <v>92</v>
      </c>
      <c r="C11" t="s">
        <v>20</v>
      </c>
      <c r="D11" s="2">
        <v>42202</v>
      </c>
      <c r="E11" s="19">
        <v>2922.36</v>
      </c>
      <c r="F11" s="20">
        <v>18.3931</v>
      </c>
      <c r="G11" s="20">
        <v>53751.26</v>
      </c>
      <c r="I11" s="19">
        <f t="shared" si="0"/>
        <v>2924.1880000000001</v>
      </c>
      <c r="J11" s="19">
        <f>E11-K11</f>
        <v>2877.415</v>
      </c>
      <c r="K11" s="27">
        <f>E13</f>
        <v>44.945</v>
      </c>
      <c r="L11" t="s">
        <v>42</v>
      </c>
    </row>
    <row r="12" spans="1:13" x14ac:dyDescent="0.35">
      <c r="B12">
        <v>100</v>
      </c>
      <c r="C12" t="s">
        <v>17</v>
      </c>
      <c r="D12" s="2">
        <v>42279</v>
      </c>
      <c r="E12" s="19">
        <v>2879.2429999999999</v>
      </c>
      <c r="F12" s="20">
        <v>18.063199999999998</v>
      </c>
      <c r="G12" s="20">
        <v>52008.35</v>
      </c>
      <c r="I12" s="19">
        <f t="shared" si="0"/>
        <v>44.945000000000164</v>
      </c>
    </row>
    <row r="13" spans="1:13" x14ac:dyDescent="0.35">
      <c r="A13" s="1">
        <v>2</v>
      </c>
      <c r="B13" s="26">
        <v>170</v>
      </c>
      <c r="C13" t="s">
        <v>17</v>
      </c>
      <c r="D13" s="2">
        <v>43516</v>
      </c>
      <c r="E13" s="19">
        <v>44.945</v>
      </c>
      <c r="F13" s="20">
        <v>19.726199999999999</v>
      </c>
      <c r="G13" s="20">
        <v>886.59</v>
      </c>
      <c r="I13" s="19">
        <f t="shared" si="0"/>
        <v>1.6342482922482304E-13</v>
      </c>
    </row>
    <row r="15" spans="1:13" x14ac:dyDescent="0.35">
      <c r="A15" s="1" t="s">
        <v>22</v>
      </c>
      <c r="M15" s="1" t="s">
        <v>47</v>
      </c>
    </row>
    <row r="16" spans="1:13" x14ac:dyDescent="0.35">
      <c r="B16">
        <v>26</v>
      </c>
      <c r="C16" t="s">
        <v>20</v>
      </c>
      <c r="D16" s="2">
        <v>41439</v>
      </c>
      <c r="E16">
        <v>249.34710000000001</v>
      </c>
      <c r="F16" s="20">
        <v>139.71</v>
      </c>
      <c r="G16" s="20">
        <v>34836.28</v>
      </c>
      <c r="I16" s="19">
        <f>E16</f>
        <v>249.34710000000001</v>
      </c>
      <c r="M16" s="19">
        <f>I17</f>
        <v>0.34710000000001173</v>
      </c>
    </row>
    <row r="17" spans="1:13" x14ac:dyDescent="0.35">
      <c r="B17">
        <v>28</v>
      </c>
      <c r="C17" t="s">
        <v>17</v>
      </c>
      <c r="D17" s="2">
        <v>41794</v>
      </c>
      <c r="E17">
        <v>249</v>
      </c>
      <c r="F17" s="20">
        <v>172.04</v>
      </c>
      <c r="G17" s="20">
        <v>42837.96</v>
      </c>
      <c r="I17" s="19">
        <f t="shared" ref="I17:I19" si="1">IF(ISNUMBER(SEARCH("v",C17,1)),I16-E17,I16+E17)</f>
        <v>0.34710000000001173</v>
      </c>
    </row>
    <row r="18" spans="1:13" x14ac:dyDescent="0.35">
      <c r="A18" s="1">
        <v>5</v>
      </c>
      <c r="B18" s="8">
        <v>31</v>
      </c>
      <c r="C18" t="s">
        <v>20</v>
      </c>
      <c r="D18" s="2">
        <v>41976</v>
      </c>
      <c r="E18">
        <v>264.18049999999999</v>
      </c>
      <c r="F18" s="20">
        <v>168.57</v>
      </c>
      <c r="G18" s="20">
        <v>44532.91</v>
      </c>
      <c r="I18" s="19">
        <f t="shared" si="1"/>
        <v>264.52760000000001</v>
      </c>
      <c r="J18" s="12">
        <f>E18-K18</f>
        <v>260.18900824333758</v>
      </c>
      <c r="K18" s="13">
        <f>K11/E11*E19</f>
        <v>3.9914917566624228</v>
      </c>
      <c r="L18" t="s">
        <v>42</v>
      </c>
      <c r="M18" s="19">
        <f>E19-M16</f>
        <v>259.18289999999996</v>
      </c>
    </row>
    <row r="19" spans="1:13" x14ac:dyDescent="0.35">
      <c r="A19" s="1">
        <v>4</v>
      </c>
      <c r="B19" s="26">
        <v>91</v>
      </c>
      <c r="C19" t="s">
        <v>17</v>
      </c>
      <c r="D19" s="2">
        <v>42201</v>
      </c>
      <c r="E19">
        <v>259.52999999999997</v>
      </c>
      <c r="F19" s="20">
        <v>207.11</v>
      </c>
      <c r="G19" s="20">
        <v>53751.26</v>
      </c>
      <c r="I19" s="19">
        <f t="shared" si="1"/>
        <v>4.997600000000034</v>
      </c>
      <c r="M19" s="19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D33C-E4FE-42DC-98BD-EE611A662A9A}">
  <dimension ref="A1:Q19"/>
  <sheetViews>
    <sheetView topLeftCell="A4" workbookViewId="0">
      <selection activeCell="A21" sqref="A21"/>
    </sheetView>
  </sheetViews>
  <sheetFormatPr defaultRowHeight="14.5" x14ac:dyDescent="0.35"/>
  <cols>
    <col min="1" max="1" width="3.90625" bestFit="1" customWidth="1"/>
    <col min="2" max="2" width="4" hidden="1" customWidth="1"/>
    <col min="3" max="3" width="4.81640625" bestFit="1" customWidth="1"/>
    <col min="4" max="4" width="9.36328125" hidden="1" customWidth="1"/>
    <col min="5" max="5" width="5" bestFit="1" customWidth="1"/>
    <col min="6" max="6" width="10.7265625" bestFit="1" customWidth="1"/>
    <col min="7" max="7" width="7.81640625" bestFit="1" customWidth="1"/>
    <col min="8" max="8" width="12.36328125" bestFit="1" customWidth="1"/>
    <col min="9" max="9" width="11.81640625" customWidth="1"/>
    <col min="10" max="10" width="1.36328125" customWidth="1"/>
    <col min="11" max="11" width="3.90625" bestFit="1" customWidth="1"/>
    <col min="12" max="12" width="9.08984375" bestFit="1" customWidth="1"/>
    <col min="13" max="13" width="6" bestFit="1" customWidth="1"/>
    <col min="14" max="14" width="9.1796875" bestFit="1" customWidth="1"/>
    <col min="15" max="15" width="10.26953125" bestFit="1" customWidth="1"/>
    <col min="16" max="17" width="11.7265625" bestFit="1" customWidth="1"/>
  </cols>
  <sheetData>
    <row r="1" spans="1:17" x14ac:dyDescent="0.35">
      <c r="A1" s="11" t="s">
        <v>4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2</v>
      </c>
      <c r="H1" s="11" t="s">
        <v>12</v>
      </c>
      <c r="I1" s="11"/>
      <c r="K1" s="1" t="s">
        <v>4</v>
      </c>
      <c r="L1" s="1" t="s">
        <v>13</v>
      </c>
      <c r="M1" s="1" t="s">
        <v>14</v>
      </c>
      <c r="N1" s="1" t="s">
        <v>2</v>
      </c>
      <c r="O1" s="1" t="s">
        <v>15</v>
      </c>
      <c r="P1" s="11" t="s">
        <v>41</v>
      </c>
    </row>
    <row r="2" spans="1:17" x14ac:dyDescent="0.35">
      <c r="A2">
        <v>108</v>
      </c>
      <c r="B2">
        <v>1</v>
      </c>
      <c r="C2">
        <v>19</v>
      </c>
      <c r="D2">
        <v>0</v>
      </c>
      <c r="E2" t="s">
        <v>6</v>
      </c>
      <c r="F2" s="2">
        <v>42387.492534722223</v>
      </c>
      <c r="G2">
        <v>0.53749999999999998</v>
      </c>
      <c r="H2" s="24">
        <v>1860.4651162790699</v>
      </c>
      <c r="K2">
        <v>64</v>
      </c>
      <c r="L2">
        <v>108</v>
      </c>
      <c r="M2">
        <v>108</v>
      </c>
      <c r="N2" s="25">
        <v>0.53749999999999998</v>
      </c>
      <c r="O2" s="25">
        <v>0.53749999999999998</v>
      </c>
      <c r="P2" s="24">
        <v>1860.4651162790699</v>
      </c>
      <c r="Q2" s="24">
        <f>+O2*P2</f>
        <v>1000</v>
      </c>
    </row>
    <row r="3" spans="1:17" x14ac:dyDescent="0.35">
      <c r="A3">
        <v>171</v>
      </c>
      <c r="B3">
        <v>1</v>
      </c>
      <c r="C3">
        <v>19</v>
      </c>
      <c r="D3">
        <v>0</v>
      </c>
      <c r="E3">
        <v>170</v>
      </c>
      <c r="F3" s="2">
        <v>43516.387731481482</v>
      </c>
      <c r="G3">
        <v>0.46779999999999999</v>
      </c>
      <c r="H3" s="24">
        <v>1895.2417</v>
      </c>
      <c r="K3">
        <v>86</v>
      </c>
      <c r="L3">
        <v>171</v>
      </c>
      <c r="M3">
        <v>17</v>
      </c>
      <c r="N3" s="25">
        <v>0.3236</v>
      </c>
      <c r="O3" s="25">
        <v>19.652200000000001</v>
      </c>
      <c r="P3" s="24">
        <v>19.7899983277443</v>
      </c>
      <c r="Q3" s="24">
        <f t="shared" ref="Q3:Q6" si="0">+O3*P3</f>
        <v>388.91700513649653</v>
      </c>
    </row>
    <row r="4" spans="1:17" x14ac:dyDescent="0.35">
      <c r="K4">
        <v>87</v>
      </c>
      <c r="L4">
        <v>171</v>
      </c>
      <c r="M4">
        <v>27</v>
      </c>
      <c r="N4" s="25">
        <v>0.14419999999999999</v>
      </c>
      <c r="O4" s="25">
        <v>11.195600000000001</v>
      </c>
      <c r="P4" s="24">
        <v>17.093261768828398</v>
      </c>
      <c r="Q4" s="24">
        <f t="shared" si="0"/>
        <v>191.36932145909523</v>
      </c>
    </row>
    <row r="5" spans="1:17" x14ac:dyDescent="0.35">
      <c r="A5">
        <v>201</v>
      </c>
      <c r="B5">
        <v>1</v>
      </c>
      <c r="C5">
        <v>19</v>
      </c>
      <c r="D5">
        <v>0</v>
      </c>
      <c r="E5">
        <v>200</v>
      </c>
      <c r="F5" s="2">
        <v>44477.938761574071</v>
      </c>
      <c r="G5">
        <v>5.1657999999999999</v>
      </c>
      <c r="H5" s="24">
        <v>1904.1616206589399</v>
      </c>
      <c r="K5">
        <v>103</v>
      </c>
      <c r="L5">
        <v>201</v>
      </c>
      <c r="M5">
        <v>15</v>
      </c>
      <c r="N5" s="25">
        <v>4.6418999999999997</v>
      </c>
      <c r="O5" s="25">
        <v>321.66879999999998</v>
      </c>
      <c r="P5" s="24">
        <v>22.9920399034783</v>
      </c>
      <c r="Q5" s="24">
        <f t="shared" si="0"/>
        <v>7395.8218853039798</v>
      </c>
    </row>
    <row r="6" spans="1:17" x14ac:dyDescent="0.35">
      <c r="G6">
        <f>SUM(G2:G5)</f>
        <v>6.1711</v>
      </c>
      <c r="K6">
        <v>104</v>
      </c>
      <c r="L6">
        <v>201</v>
      </c>
      <c r="M6">
        <v>16</v>
      </c>
      <c r="N6" s="25">
        <v>0.52390000000000003</v>
      </c>
      <c r="O6" s="25">
        <v>14.9597</v>
      </c>
      <c r="P6" s="24">
        <v>18.259999998612201</v>
      </c>
      <c r="Q6" s="24">
        <f t="shared" si="0"/>
        <v>273.16412197923893</v>
      </c>
    </row>
    <row r="7" spans="1:17" x14ac:dyDescent="0.35">
      <c r="N7" s="25">
        <f>SUM(N2:N6)</f>
        <v>6.1711</v>
      </c>
      <c r="O7" s="25">
        <f>SUM(O2:O6)</f>
        <v>368.01379999999995</v>
      </c>
      <c r="P7" s="24"/>
      <c r="Q7" s="24">
        <f>SUM(Q2:Q6)</f>
        <v>9249.2723338788091</v>
      </c>
    </row>
    <row r="8" spans="1:17" x14ac:dyDescent="0.35">
      <c r="N8" s="25"/>
      <c r="O8" s="25"/>
      <c r="P8" s="24"/>
    </row>
    <row r="9" spans="1:17" x14ac:dyDescent="0.35">
      <c r="A9">
        <v>108</v>
      </c>
      <c r="B9">
        <v>1</v>
      </c>
      <c r="C9">
        <v>19</v>
      </c>
      <c r="D9">
        <v>0</v>
      </c>
      <c r="E9" t="s">
        <v>6</v>
      </c>
      <c r="F9" s="2">
        <v>42387.492534722223</v>
      </c>
      <c r="G9">
        <v>0.53749999999999998</v>
      </c>
      <c r="H9" s="24">
        <v>1860.4651162790699</v>
      </c>
      <c r="K9">
        <v>41</v>
      </c>
      <c r="L9">
        <v>108</v>
      </c>
      <c r="M9">
        <v>108</v>
      </c>
      <c r="N9" s="25">
        <v>0.53749999999999998</v>
      </c>
      <c r="O9" s="25">
        <v>0.53749999999999998</v>
      </c>
      <c r="P9" s="24">
        <f>P2</f>
        <v>1860.4651162790699</v>
      </c>
      <c r="Q9" s="24">
        <f t="shared" ref="Q9:Q11" si="1">+O9*P9</f>
        <v>1000</v>
      </c>
    </row>
    <row r="10" spans="1:17" x14ac:dyDescent="0.35">
      <c r="A10">
        <v>171</v>
      </c>
      <c r="B10">
        <v>1</v>
      </c>
      <c r="C10">
        <v>19</v>
      </c>
      <c r="D10">
        <v>0</v>
      </c>
      <c r="E10">
        <v>170</v>
      </c>
      <c r="F10" s="2">
        <v>43516.387731481482</v>
      </c>
      <c r="G10">
        <v>0.46779999999999999</v>
      </c>
      <c r="H10" s="24">
        <v>1895.2417</v>
      </c>
      <c r="K10">
        <v>78</v>
      </c>
      <c r="L10">
        <v>171</v>
      </c>
      <c r="M10">
        <v>27</v>
      </c>
      <c r="N10" s="25">
        <v>0.46779999999999999</v>
      </c>
      <c r="O10" s="25">
        <v>42.287100000000002</v>
      </c>
      <c r="P10" s="24">
        <f>P4</f>
        <v>17.093261768828398</v>
      </c>
      <c r="Q10" s="24">
        <f t="shared" si="1"/>
        <v>722.82446974462346</v>
      </c>
    </row>
    <row r="11" spans="1:17" x14ac:dyDescent="0.35">
      <c r="A11">
        <v>201</v>
      </c>
      <c r="B11">
        <v>1</v>
      </c>
      <c r="C11">
        <v>19</v>
      </c>
      <c r="D11">
        <v>0</v>
      </c>
      <c r="E11">
        <v>200</v>
      </c>
      <c r="F11" s="2">
        <v>44477.938761574071</v>
      </c>
      <c r="G11">
        <v>5.1657999999999999</v>
      </c>
      <c r="H11" s="24">
        <v>1904.1616206589399</v>
      </c>
      <c r="K11">
        <v>82</v>
      </c>
      <c r="L11">
        <v>201</v>
      </c>
      <c r="M11">
        <v>17</v>
      </c>
      <c r="N11" s="25">
        <v>5.1657999999999999</v>
      </c>
      <c r="O11" s="25">
        <v>149.9102</v>
      </c>
      <c r="P11" s="24">
        <f>P3</f>
        <v>19.7899983277443</v>
      </c>
      <c r="Q11" s="24">
        <f t="shared" si="1"/>
        <v>2966.7226073118136</v>
      </c>
    </row>
    <row r="12" spans="1:17" x14ac:dyDescent="0.35">
      <c r="G12">
        <f>SUM(G9:G11)</f>
        <v>6.1711</v>
      </c>
      <c r="N12" s="25">
        <f>SUM(N9:N11)</f>
        <v>6.1711</v>
      </c>
      <c r="O12" s="25">
        <f>SUM(O9:O11)</f>
        <v>192.73480000000001</v>
      </c>
      <c r="P12" s="24"/>
      <c r="Q12" s="24">
        <f>SUM(Q9:Q11)</f>
        <v>4689.547077056437</v>
      </c>
    </row>
    <row r="15" spans="1:17" x14ac:dyDescent="0.35">
      <c r="A15">
        <v>92</v>
      </c>
      <c r="B15">
        <v>1</v>
      </c>
      <c r="C15">
        <v>1</v>
      </c>
      <c r="D15">
        <v>0</v>
      </c>
      <c r="E15">
        <v>91</v>
      </c>
      <c r="F15" s="2">
        <v>42202.719108796293</v>
      </c>
      <c r="G15" s="19">
        <v>2922.36</v>
      </c>
      <c r="H15" s="24">
        <v>18.393100097181701</v>
      </c>
      <c r="L15">
        <v>92</v>
      </c>
      <c r="M15">
        <v>15</v>
      </c>
      <c r="N15">
        <v>443.13400000000001</v>
      </c>
      <c r="O15">
        <v>679.64</v>
      </c>
    </row>
    <row r="16" spans="1:17" x14ac:dyDescent="0.35">
      <c r="F16" s="2"/>
      <c r="H16" s="24"/>
      <c r="L16">
        <v>92</v>
      </c>
      <c r="M16">
        <v>16</v>
      </c>
      <c r="N16">
        <v>866.49839999999995</v>
      </c>
      <c r="O16">
        <v>547.64509999999996</v>
      </c>
    </row>
    <row r="17" spans="6:15" x14ac:dyDescent="0.35">
      <c r="F17" s="2"/>
      <c r="H17" s="24"/>
      <c r="L17">
        <v>92</v>
      </c>
      <c r="M17">
        <v>17</v>
      </c>
      <c r="N17">
        <v>1598.8742</v>
      </c>
      <c r="O17">
        <v>1010.611</v>
      </c>
    </row>
    <row r="18" spans="6:15" x14ac:dyDescent="0.35">
      <c r="L18">
        <v>92</v>
      </c>
      <c r="M18">
        <v>27</v>
      </c>
      <c r="N18">
        <v>13.853400000000001</v>
      </c>
      <c r="O18">
        <v>11.195600000000001</v>
      </c>
    </row>
    <row r="19" spans="6:15" x14ac:dyDescent="0.35">
      <c r="N19">
        <f>SUM(N15:N18)</f>
        <v>2922.3599999999997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0068-02BA-4318-81EB-89A66DB152B1}">
  <dimension ref="A1:G17"/>
  <sheetViews>
    <sheetView workbookViewId="0">
      <selection activeCell="J14" sqref="J14"/>
    </sheetView>
  </sheetViews>
  <sheetFormatPr defaultRowHeight="14.5" x14ac:dyDescent="0.35"/>
  <cols>
    <col min="1" max="1" width="2.90625" bestFit="1" customWidth="1"/>
    <col min="2" max="2" width="6.36328125" bestFit="1" customWidth="1"/>
    <col min="3" max="3" width="11.36328125" bestFit="1" customWidth="1"/>
    <col min="4" max="4" width="9.08984375" bestFit="1" customWidth="1"/>
    <col min="5" max="5" width="3.90625" bestFit="1" customWidth="1"/>
    <col min="6" max="6" width="11.90625" bestFit="1" customWidth="1"/>
    <col min="7" max="7" width="7.54296875" bestFit="1" customWidth="1"/>
  </cols>
  <sheetData>
    <row r="1" spans="1:7" ht="29" x14ac:dyDescent="0.35">
      <c r="A1" s="1" t="s">
        <v>4</v>
      </c>
      <c r="B1" s="1" t="s">
        <v>5</v>
      </c>
      <c r="C1" s="4" t="s">
        <v>0</v>
      </c>
      <c r="D1" s="1" t="s">
        <v>3</v>
      </c>
      <c r="E1" s="1" t="s">
        <v>4</v>
      </c>
      <c r="F1" s="1" t="s">
        <v>1</v>
      </c>
      <c r="G1" s="1" t="s">
        <v>2</v>
      </c>
    </row>
    <row r="2" spans="1:7" x14ac:dyDescent="0.35">
      <c r="A2">
        <v>22</v>
      </c>
      <c r="B2">
        <v>15</v>
      </c>
      <c r="C2" s="2">
        <v>36841</v>
      </c>
      <c r="D2" s="3">
        <v>679.64</v>
      </c>
      <c r="E2" s="5">
        <v>26</v>
      </c>
      <c r="F2" s="6">
        <v>41439</v>
      </c>
      <c r="G2" s="7">
        <v>249.34700000000001</v>
      </c>
    </row>
    <row r="3" spans="1:7" x14ac:dyDescent="0.35">
      <c r="A3">
        <v>40</v>
      </c>
      <c r="B3">
        <v>15</v>
      </c>
      <c r="C3" s="2">
        <v>36841</v>
      </c>
      <c r="D3" s="3">
        <v>679.64</v>
      </c>
      <c r="E3" s="8">
        <v>31</v>
      </c>
      <c r="F3" s="9">
        <v>41976</v>
      </c>
      <c r="G3" s="10">
        <v>264.18099999999998</v>
      </c>
    </row>
    <row r="4" spans="1:7" x14ac:dyDescent="0.35">
      <c r="A4">
        <v>23</v>
      </c>
      <c r="B4">
        <v>16</v>
      </c>
      <c r="C4" s="2">
        <v>41166</v>
      </c>
      <c r="D4" s="3">
        <v>547.64499999999998</v>
      </c>
      <c r="E4" s="5">
        <v>26</v>
      </c>
      <c r="F4" s="6">
        <v>41439</v>
      </c>
      <c r="G4" s="7">
        <v>249.34700000000001</v>
      </c>
    </row>
    <row r="5" spans="1:7" x14ac:dyDescent="0.35">
      <c r="A5">
        <v>41</v>
      </c>
      <c r="B5">
        <v>16</v>
      </c>
      <c r="C5" s="2">
        <v>41166</v>
      </c>
      <c r="D5" s="3">
        <v>547.64499999999998</v>
      </c>
      <c r="E5" s="8">
        <v>31</v>
      </c>
      <c r="F5" s="9">
        <v>41976</v>
      </c>
      <c r="G5" s="10">
        <v>264.18099999999998</v>
      </c>
    </row>
    <row r="6" spans="1:7" x14ac:dyDescent="0.35">
      <c r="A6">
        <v>24</v>
      </c>
      <c r="B6">
        <v>17</v>
      </c>
      <c r="C6" s="2">
        <v>41377</v>
      </c>
      <c r="D6" s="3">
        <v>1010.611</v>
      </c>
      <c r="E6" s="5">
        <v>26</v>
      </c>
      <c r="F6" s="6">
        <v>41439</v>
      </c>
      <c r="G6" s="7">
        <v>249.34700000000001</v>
      </c>
    </row>
    <row r="7" spans="1:7" x14ac:dyDescent="0.35">
      <c r="A7">
        <v>42</v>
      </c>
      <c r="B7">
        <v>17</v>
      </c>
      <c r="C7" s="2">
        <v>41377</v>
      </c>
      <c r="D7" s="3">
        <v>1008.051</v>
      </c>
      <c r="E7" s="8">
        <v>31</v>
      </c>
      <c r="F7" s="9">
        <v>41976</v>
      </c>
      <c r="G7" s="10">
        <v>264.18099999999998</v>
      </c>
    </row>
    <row r="8" spans="1:7" x14ac:dyDescent="0.35">
      <c r="A8">
        <v>43</v>
      </c>
      <c r="B8">
        <v>27</v>
      </c>
      <c r="C8" s="2">
        <v>41521</v>
      </c>
      <c r="D8" s="3">
        <v>56.673999999999999</v>
      </c>
      <c r="E8" s="8">
        <v>31</v>
      </c>
      <c r="F8" s="9">
        <v>41976</v>
      </c>
      <c r="G8" s="10">
        <v>264.18099999999998</v>
      </c>
    </row>
    <row r="10" spans="1:7" x14ac:dyDescent="0.35">
      <c r="B10">
        <f>B2</f>
        <v>15</v>
      </c>
      <c r="C10" s="2">
        <f>C2</f>
        <v>36841</v>
      </c>
      <c r="D10" s="3">
        <f>SUM(D2:D3)</f>
        <v>1359.28</v>
      </c>
      <c r="G10" s="3">
        <f>SUM(G2:G3)</f>
        <v>513.52800000000002</v>
      </c>
    </row>
    <row r="11" spans="1:7" x14ac:dyDescent="0.35">
      <c r="B11">
        <f>B4</f>
        <v>16</v>
      </c>
      <c r="C11" s="2">
        <f>C4</f>
        <v>41166</v>
      </c>
      <c r="D11" s="3">
        <f>SUM(D4:D5)</f>
        <v>1095.29</v>
      </c>
      <c r="G11" s="3">
        <f>SUM(G4:G5)</f>
        <v>513.52800000000002</v>
      </c>
    </row>
    <row r="12" spans="1:7" x14ac:dyDescent="0.35">
      <c r="B12">
        <f>B6</f>
        <v>17</v>
      </c>
      <c r="C12" s="2">
        <f>C6</f>
        <v>41377</v>
      </c>
      <c r="D12" s="3">
        <f>SUM(D6:D7)</f>
        <v>2018.662</v>
      </c>
      <c r="G12" s="3">
        <f>SUM(G6:G7)</f>
        <v>513.52800000000002</v>
      </c>
    </row>
    <row r="13" spans="1:7" x14ac:dyDescent="0.35">
      <c r="B13">
        <f>B8</f>
        <v>27</v>
      </c>
      <c r="C13" s="2">
        <f>C8</f>
        <v>41521</v>
      </c>
      <c r="D13" s="3">
        <f>D8</f>
        <v>56.673999999999999</v>
      </c>
      <c r="G13" s="3">
        <f>G8</f>
        <v>264.18099999999998</v>
      </c>
    </row>
    <row r="14" spans="1:7" x14ac:dyDescent="0.35">
      <c r="C14" s="2"/>
    </row>
    <row r="15" spans="1:7" x14ac:dyDescent="0.35">
      <c r="A15">
        <v>88</v>
      </c>
      <c r="B15">
        <v>15</v>
      </c>
      <c r="C15" s="2">
        <v>36841</v>
      </c>
      <c r="D15">
        <v>679.64</v>
      </c>
      <c r="E15">
        <v>173</v>
      </c>
      <c r="F15" s="2">
        <v>43525</v>
      </c>
      <c r="G15">
        <v>1778.69</v>
      </c>
    </row>
    <row r="16" spans="1:7" x14ac:dyDescent="0.35">
      <c r="A16">
        <v>89</v>
      </c>
      <c r="B16">
        <v>16</v>
      </c>
      <c r="C16" s="2">
        <v>41166</v>
      </c>
      <c r="D16">
        <v>547.64499999999998</v>
      </c>
      <c r="E16">
        <v>173</v>
      </c>
      <c r="F16" s="2">
        <v>43525</v>
      </c>
      <c r="G16">
        <v>1778.69</v>
      </c>
    </row>
    <row r="17" spans="1:7" x14ac:dyDescent="0.35">
      <c r="A17">
        <v>90</v>
      </c>
      <c r="B17">
        <v>17</v>
      </c>
      <c r="C17" s="2">
        <v>41377</v>
      </c>
      <c r="D17">
        <v>86.447999999999993</v>
      </c>
      <c r="E17">
        <v>173</v>
      </c>
      <c r="F17" s="2">
        <v>43525</v>
      </c>
      <c r="G17">
        <v>1778.69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Movs 27</vt:lpstr>
      <vt:lpstr>Dif PiG</vt:lpstr>
      <vt:lpstr>Movs</vt:lpstr>
      <vt:lpstr>Taules</vt:lpstr>
      <vt:lpstr>Deusche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2022-01-06T18:08:42Z</dcterms:created>
  <dcterms:modified xsi:type="dcterms:W3CDTF">2022-01-13T10:02:25Z</dcterms:modified>
</cp:coreProperties>
</file>