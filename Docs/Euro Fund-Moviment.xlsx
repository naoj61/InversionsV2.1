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positoris\C#\_Actiu\InversionsV2\Docs\"/>
    </mc:Choice>
  </mc:AlternateContent>
  <xr:revisionPtr revIDLastSave="0" documentId="13_ncr:1_{003F440A-5AEF-483D-88B8-94219CE8B533}" xr6:coauthVersionLast="47" xr6:coauthVersionMax="47" xr10:uidLastSave="{00000000-0000-0000-0000-000000000000}"/>
  <bookViews>
    <workbookView xWindow="19090" yWindow="-20" windowWidth="19420" windowHeight="10420" activeTab="1" xr2:uid="{67C9267C-8DE9-4BF2-8230-BF48900302D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1" l="1"/>
  <c r="J11" i="1"/>
  <c r="K4" i="1"/>
  <c r="K5" i="1"/>
  <c r="K6" i="1"/>
  <c r="K7" i="1"/>
  <c r="K8" i="1"/>
  <c r="K3" i="1"/>
  <c r="K2" i="1"/>
  <c r="K11" i="1" s="1"/>
  <c r="K12" i="1" s="1"/>
  <c r="I4" i="1"/>
  <c r="I5" i="1"/>
  <c r="I6" i="1"/>
  <c r="I7" i="1"/>
  <c r="I8" i="1"/>
  <c r="I3" i="1"/>
  <c r="I2" i="1"/>
  <c r="J2" i="1"/>
  <c r="H9" i="1"/>
  <c r="H3" i="1"/>
  <c r="H4" i="1"/>
  <c r="H5" i="1"/>
  <c r="H6" i="1"/>
  <c r="H7" i="1"/>
  <c r="H8" i="1"/>
  <c r="G2" i="1"/>
  <c r="G3" i="1" s="1"/>
  <c r="G4" i="1" s="1"/>
  <c r="G5" i="1" s="1"/>
  <c r="G6" i="1" s="1"/>
  <c r="G7" i="1" s="1"/>
  <c r="G8" i="1" s="1"/>
  <c r="G9" i="1" s="1"/>
  <c r="D10" i="1" s="1"/>
  <c r="H10" i="1" l="1"/>
</calcChain>
</file>

<file path=xl/sharedStrings.xml><?xml version="1.0" encoding="utf-8"?>
<sst xmlns="http://schemas.openxmlformats.org/spreadsheetml/2006/main" count="38" uniqueCount="25">
  <si>
    <t>Traspàs C</t>
  </si>
  <si>
    <t>Venda</t>
  </si>
  <si>
    <t>Parts</t>
  </si>
  <si>
    <t>PU</t>
  </si>
  <si>
    <t>Bolsa Tecnología y Telecom</t>
  </si>
  <si>
    <t>Total Return N Acc €-H1</t>
  </si>
  <si>
    <t xml:space="preserve">    14/9/2012</t>
  </si>
  <si>
    <t xml:space="preserve">    Total Return N Acc €-H1</t>
  </si>
  <si>
    <t xml:space="preserve">    13/4/2013</t>
  </si>
  <si>
    <t xml:space="preserve">    Total Return N Acc €-H1     </t>
  </si>
  <si>
    <t xml:space="preserve">Total Return N Acc €-H1     </t>
  </si>
  <si>
    <t>Amb venda</t>
  </si>
  <si>
    <t>Id Orig</t>
  </si>
  <si>
    <t>Id</t>
  </si>
  <si>
    <t>Fons Orig</t>
  </si>
  <si>
    <t>Data Orig Compra</t>
  </si>
  <si>
    <t>Data Compra</t>
  </si>
  <si>
    <t>Parts Util</t>
  </si>
  <si>
    <t>Pig Origen</t>
  </si>
  <si>
    <t>PiG</t>
  </si>
  <si>
    <t>Valor Act.</t>
  </si>
  <si>
    <t>Cartera</t>
  </si>
  <si>
    <t>PiG Cartera</t>
  </si>
  <si>
    <t>Part cartera</t>
  </si>
  <si>
    <t>PiG en cartera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</si>
</sst>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€&quot;;[Red]\-#,##0.00\ &quot;€&quot;"/>
    <numFmt numFmtId="164" formatCode="#,##0.000\ &quot;€&quot;;[Red]\-#,##0.000\ &quot;€&quot;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/>
    <xf numFmtId="14" fontId="0" fillId="0" borderId="0" xfId="0" applyNumberFormat="1" applyAlignment="1">
      <alignment vertical="center" wrapText="1"/>
    </xf>
    <xf numFmtId="8" fontId="0" fillId="0" borderId="0" xfId="0" applyNumberFormat="1"/>
    <xf numFmtId="8" fontId="0" fillId="0" borderId="0" xfId="0" applyNumberFormat="1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/>
    </xf>
    <xf numFmtId="8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32929-4B06-4139-B4E9-4C5E94C8598C}">
  <dimension ref="A1:K12"/>
  <sheetViews>
    <sheetView zoomScale="175" zoomScaleNormal="175" workbookViewId="0">
      <pane ySplit="1" topLeftCell="A2" activePane="bottomLeft" state="frozen"/>
      <selection pane="bottomLeft" activeCell="E3" sqref="E3"/>
    </sheetView>
  </sheetViews>
  <sheetFormatPr defaultRowHeight="14.5" x14ac:dyDescent="0.35"/>
  <cols>
    <col min="1" max="1" width="4.90625" bestFit="1" customWidth="1"/>
    <col min="3" max="3" width="10.453125" bestFit="1" customWidth="1"/>
    <col min="4" max="4" width="8" customWidth="1"/>
    <col min="6" max="6" width="1.7265625" customWidth="1"/>
    <col min="8" max="8" width="11.1796875" bestFit="1" customWidth="1"/>
    <col min="9" max="9" width="10.1796875" customWidth="1"/>
    <col min="10" max="10" width="10.08984375" bestFit="1" customWidth="1"/>
    <col min="11" max="11" width="9.453125" bestFit="1" customWidth="1"/>
  </cols>
  <sheetData>
    <row r="1" spans="1:11" x14ac:dyDescent="0.35">
      <c r="D1" t="s">
        <v>2</v>
      </c>
      <c r="E1" t="s">
        <v>3</v>
      </c>
      <c r="I1" t="s">
        <v>23</v>
      </c>
      <c r="J1" t="s">
        <v>19</v>
      </c>
      <c r="K1" t="s">
        <v>22</v>
      </c>
    </row>
    <row r="2" spans="1:11" x14ac:dyDescent="0.35">
      <c r="A2" s="1">
        <v>197</v>
      </c>
      <c r="B2" s="6" t="s">
        <v>0</v>
      </c>
      <c r="C2" s="3">
        <v>44473</v>
      </c>
      <c r="D2" s="1">
        <v>24.54</v>
      </c>
      <c r="E2" s="5">
        <v>435.1019</v>
      </c>
      <c r="G2">
        <f>D2</f>
        <v>24.54</v>
      </c>
      <c r="H2" s="4">
        <f>-D2*E2</f>
        <v>-10677.400625999999</v>
      </c>
      <c r="I2" s="10">
        <f>D2-D9</f>
        <v>5.9039999999999999</v>
      </c>
      <c r="J2" s="4">
        <f>(E9-E2)*D9</f>
        <v>421.92276719999984</v>
      </c>
      <c r="K2" s="4">
        <f>(E$10-E2)*I2</f>
        <v>145.37891520000011</v>
      </c>
    </row>
    <row r="3" spans="1:11" x14ac:dyDescent="0.35">
      <c r="A3" s="1">
        <v>203</v>
      </c>
      <c r="B3" s="6" t="s">
        <v>0</v>
      </c>
      <c r="C3" s="3">
        <v>44496</v>
      </c>
      <c r="D3" s="1">
        <v>34.723999999999997</v>
      </c>
      <c r="E3" s="5">
        <v>434.9468</v>
      </c>
      <c r="G3">
        <f>G2+D3</f>
        <v>59.263999999999996</v>
      </c>
      <c r="H3" s="4">
        <f t="shared" ref="H3:H8" si="0">-D3*E3</f>
        <v>-15103.092683199999</v>
      </c>
      <c r="I3" s="10">
        <f>D3</f>
        <v>34.723999999999997</v>
      </c>
      <c r="K3" s="4">
        <f>(E$10-E3)*I3</f>
        <v>860.42252360000066</v>
      </c>
    </row>
    <row r="4" spans="1:11" x14ac:dyDescent="0.35">
      <c r="A4" s="1">
        <v>205</v>
      </c>
      <c r="B4" s="6" t="s">
        <v>0</v>
      </c>
      <c r="C4" s="3">
        <v>44524</v>
      </c>
      <c r="D4" s="1">
        <v>46.265999999999998</v>
      </c>
      <c r="E4" s="5">
        <v>434.7577</v>
      </c>
      <c r="G4">
        <f t="shared" ref="G4:G8" si="1">G3+D4</f>
        <v>105.53</v>
      </c>
      <c r="H4" s="4">
        <f t="shared" si="0"/>
        <v>-20114.4997482</v>
      </c>
      <c r="I4" s="10">
        <f t="shared" ref="I4:I8" si="2">D4</f>
        <v>46.265999999999998</v>
      </c>
      <c r="K4" s="4">
        <f t="shared" ref="K4:K8" si="3">(E$10-E4)*I4</f>
        <v>1155.1694880000007</v>
      </c>
    </row>
    <row r="5" spans="1:11" x14ac:dyDescent="0.35">
      <c r="A5" s="1">
        <v>217</v>
      </c>
      <c r="B5" s="6" t="s">
        <v>0</v>
      </c>
      <c r="C5" s="3">
        <v>44725</v>
      </c>
      <c r="D5" s="1">
        <v>23.23</v>
      </c>
      <c r="E5" s="5">
        <v>433.28309999999999</v>
      </c>
      <c r="G5">
        <f t="shared" si="1"/>
        <v>128.76</v>
      </c>
      <c r="H5" s="4">
        <f t="shared" si="0"/>
        <v>-10065.166413000001</v>
      </c>
      <c r="I5" s="10">
        <f t="shared" si="2"/>
        <v>23.23</v>
      </c>
      <c r="K5" s="4">
        <f t="shared" si="3"/>
        <v>614.26159800000062</v>
      </c>
    </row>
    <row r="6" spans="1:11" x14ac:dyDescent="0.35">
      <c r="A6" s="1">
        <v>1235</v>
      </c>
      <c r="B6" s="6" t="s">
        <v>0</v>
      </c>
      <c r="C6" s="3">
        <v>44893</v>
      </c>
      <c r="D6" s="1">
        <v>21.81</v>
      </c>
      <c r="E6" s="5">
        <v>433.51990000000001</v>
      </c>
      <c r="G6">
        <f t="shared" si="1"/>
        <v>150.57</v>
      </c>
      <c r="H6" s="4">
        <f t="shared" si="0"/>
        <v>-9455.0690190000005</v>
      </c>
      <c r="I6" s="10">
        <f t="shared" si="2"/>
        <v>21.81</v>
      </c>
      <c r="K6" s="4">
        <f t="shared" si="3"/>
        <v>571.54849800000022</v>
      </c>
    </row>
    <row r="7" spans="1:11" x14ac:dyDescent="0.35">
      <c r="A7" s="1">
        <v>1239</v>
      </c>
      <c r="B7" s="6" t="s">
        <v>0</v>
      </c>
      <c r="C7" s="3">
        <v>44893</v>
      </c>
      <c r="D7" s="1">
        <v>18.635999999999999</v>
      </c>
      <c r="E7" s="5">
        <v>433.5419</v>
      </c>
      <c r="G7">
        <f t="shared" si="1"/>
        <v>169.20599999999999</v>
      </c>
      <c r="H7" s="4">
        <f t="shared" si="0"/>
        <v>-8079.4868483999999</v>
      </c>
      <c r="I7" s="10">
        <f t="shared" si="2"/>
        <v>18.635999999999999</v>
      </c>
      <c r="K7" s="4">
        <f t="shared" si="3"/>
        <v>487.96129680000035</v>
      </c>
    </row>
    <row r="8" spans="1:11" x14ac:dyDescent="0.35">
      <c r="A8" s="1">
        <v>1241</v>
      </c>
      <c r="B8" s="6" t="s">
        <v>0</v>
      </c>
      <c r="C8" s="3">
        <v>44939</v>
      </c>
      <c r="D8" s="1">
        <v>5.8719999999999999</v>
      </c>
      <c r="E8" s="5">
        <v>434.45089999999999</v>
      </c>
      <c r="G8">
        <f t="shared" si="1"/>
        <v>175.07799999999997</v>
      </c>
      <c r="H8" s="4">
        <f t="shared" si="0"/>
        <v>-2551.0956848000001</v>
      </c>
      <c r="I8" s="10">
        <f t="shared" si="2"/>
        <v>5.8719999999999999</v>
      </c>
      <c r="K8" s="4">
        <f t="shared" si="3"/>
        <v>148.41362560000016</v>
      </c>
    </row>
    <row r="9" spans="1:11" x14ac:dyDescent="0.35">
      <c r="A9" s="1">
        <v>1278</v>
      </c>
      <c r="B9" s="6" t="s">
        <v>1</v>
      </c>
      <c r="C9" s="3">
        <v>45495</v>
      </c>
      <c r="D9" s="1">
        <v>18.635999999999999</v>
      </c>
      <c r="E9" s="5">
        <v>457.74209999999999</v>
      </c>
      <c r="G9">
        <f>G8-D9</f>
        <v>156.44199999999998</v>
      </c>
      <c r="H9" s="4">
        <f>D9*E9</f>
        <v>8530.4817755999993</v>
      </c>
      <c r="I9" s="4"/>
    </row>
    <row r="10" spans="1:11" x14ac:dyDescent="0.35">
      <c r="B10" s="6" t="s">
        <v>21</v>
      </c>
      <c r="D10">
        <f>G9</f>
        <v>156.44199999999998</v>
      </c>
      <c r="E10" s="4">
        <v>459.72570000000002</v>
      </c>
      <c r="H10" s="4">
        <f>D10*E10</f>
        <v>71920.407959399992</v>
      </c>
      <c r="I10" s="4"/>
    </row>
    <row r="11" spans="1:11" x14ac:dyDescent="0.35">
      <c r="J11" s="4">
        <f>SUM(J2:J9)</f>
        <v>421.92276719999984</v>
      </c>
      <c r="K11" s="4">
        <f>SUM(K2:K9)</f>
        <v>3983.1559452000029</v>
      </c>
    </row>
    <row r="12" spans="1:11" x14ac:dyDescent="0.35">
      <c r="J12" s="8" t="s">
        <v>24</v>
      </c>
      <c r="K12" s="9">
        <f>+J11+K11</f>
        <v>4405.0787124000026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F80BC-6F4B-4913-8EC0-1F92D2F558C6}">
  <dimension ref="A1:J24"/>
  <sheetViews>
    <sheetView tabSelected="1" zoomScale="130" zoomScaleNormal="130" workbookViewId="0">
      <pane ySplit="1" topLeftCell="A2" activePane="bottomLeft" state="frozen"/>
      <selection pane="bottomLeft" activeCell="F2" sqref="F2"/>
    </sheetView>
  </sheetViews>
  <sheetFormatPr defaultRowHeight="14.5" x14ac:dyDescent="0.35"/>
  <cols>
    <col min="1" max="1" width="4.26953125" customWidth="1"/>
    <col min="2" max="2" width="4.81640625" bestFit="1" customWidth="1"/>
    <col min="3" max="3" width="24.81640625" bestFit="1" customWidth="1"/>
    <col min="4" max="4" width="11.26953125" bestFit="1" customWidth="1"/>
    <col min="5" max="5" width="11.90625" bestFit="1" customWidth="1"/>
    <col min="6" max="6" width="10" customWidth="1"/>
    <col min="7" max="7" width="9.26953125" bestFit="1" customWidth="1"/>
    <col min="8" max="8" width="9.6328125" bestFit="1" customWidth="1"/>
    <col min="9" max="9" width="10.26953125" bestFit="1" customWidth="1"/>
    <col min="10" max="10" width="10.6328125" bestFit="1" customWidth="1"/>
  </cols>
  <sheetData>
    <row r="1" spans="1:10" ht="27.5" customHeight="1" x14ac:dyDescent="0.35">
      <c r="A1" s="7" t="s">
        <v>12</v>
      </c>
      <c r="B1" s="7" t="s">
        <v>13</v>
      </c>
      <c r="C1" s="7" t="s">
        <v>14</v>
      </c>
      <c r="D1" s="7" t="s">
        <v>15</v>
      </c>
      <c r="E1" s="7" t="s">
        <v>16</v>
      </c>
      <c r="F1" s="7" t="s">
        <v>2</v>
      </c>
      <c r="G1" s="7" t="s">
        <v>17</v>
      </c>
      <c r="H1" s="7" t="s">
        <v>18</v>
      </c>
      <c r="I1" s="7" t="s">
        <v>19</v>
      </c>
      <c r="J1" s="7" t="s">
        <v>20</v>
      </c>
    </row>
    <row r="2" spans="1:10" x14ac:dyDescent="0.35">
      <c r="A2">
        <v>15</v>
      </c>
      <c r="B2">
        <v>1239</v>
      </c>
      <c r="C2" t="s">
        <v>4</v>
      </c>
      <c r="D2" s="2">
        <v>36841</v>
      </c>
      <c r="E2" s="2">
        <v>44893</v>
      </c>
      <c r="F2">
        <v>18.635999999999999</v>
      </c>
      <c r="G2">
        <v>18.6356</v>
      </c>
      <c r="H2" s="4">
        <v>1171.45</v>
      </c>
      <c r="I2" s="4">
        <v>487.96</v>
      </c>
      <c r="J2" s="4">
        <v>8567.27</v>
      </c>
    </row>
    <row r="3" spans="1:10" x14ac:dyDescent="0.35">
      <c r="A3">
        <v>16</v>
      </c>
      <c r="B3">
        <v>217</v>
      </c>
      <c r="C3" t="s">
        <v>9</v>
      </c>
      <c r="D3" s="2">
        <v>41166</v>
      </c>
      <c r="E3" s="2">
        <v>44725</v>
      </c>
      <c r="F3">
        <v>23.23</v>
      </c>
      <c r="G3">
        <v>23.23</v>
      </c>
      <c r="H3" s="4">
        <v>7893.94</v>
      </c>
      <c r="I3" s="4">
        <v>614.27</v>
      </c>
      <c r="J3" s="4">
        <v>10679.43</v>
      </c>
    </row>
    <row r="4" spans="1:10" x14ac:dyDescent="0.35">
      <c r="A4">
        <v>16</v>
      </c>
      <c r="B4">
        <v>1235</v>
      </c>
      <c r="C4" t="s">
        <v>10</v>
      </c>
      <c r="D4" s="2">
        <v>41166</v>
      </c>
      <c r="E4" s="2">
        <v>44893</v>
      </c>
      <c r="F4">
        <v>21.81</v>
      </c>
      <c r="G4">
        <v>21.81</v>
      </c>
      <c r="H4" s="4">
        <v>7129.27</v>
      </c>
      <c r="I4" s="4">
        <v>571.54999999999995</v>
      </c>
      <c r="J4" s="4">
        <v>10026.620000000001</v>
      </c>
    </row>
    <row r="5" spans="1:10" x14ac:dyDescent="0.35">
      <c r="A5">
        <v>16</v>
      </c>
      <c r="B5">
        <v>1239</v>
      </c>
      <c r="C5" t="s">
        <v>5</v>
      </c>
      <c r="D5" t="s">
        <v>6</v>
      </c>
      <c r="E5" s="2">
        <v>44893</v>
      </c>
      <c r="F5">
        <v>0</v>
      </c>
      <c r="G5">
        <v>4.0000000000000002E-4</v>
      </c>
      <c r="H5" s="4">
        <v>0.13</v>
      </c>
      <c r="I5" s="4">
        <v>0.01</v>
      </c>
      <c r="J5" s="4">
        <v>0.18</v>
      </c>
    </row>
    <row r="6" spans="1:10" x14ac:dyDescent="0.35">
      <c r="A6">
        <v>16</v>
      </c>
      <c r="B6">
        <v>1241</v>
      </c>
      <c r="C6" t="s">
        <v>5</v>
      </c>
      <c r="D6" t="s">
        <v>6</v>
      </c>
      <c r="E6" s="2">
        <v>44939</v>
      </c>
      <c r="F6">
        <v>2.0110000000000001</v>
      </c>
      <c r="G6">
        <v>2.0112999999999999</v>
      </c>
      <c r="H6" s="4">
        <v>651.62</v>
      </c>
      <c r="I6" s="4">
        <v>50.92</v>
      </c>
      <c r="J6" s="4">
        <v>924.73</v>
      </c>
    </row>
    <row r="7" spans="1:10" x14ac:dyDescent="0.35">
      <c r="A7">
        <v>17</v>
      </c>
      <c r="B7">
        <v>197</v>
      </c>
      <c r="C7" t="s">
        <v>7</v>
      </c>
      <c r="D7" t="s">
        <v>8</v>
      </c>
      <c r="E7" s="2">
        <v>44473</v>
      </c>
      <c r="F7">
        <v>24.54</v>
      </c>
      <c r="G7">
        <v>24.54</v>
      </c>
      <c r="H7" s="4">
        <v>6800.54</v>
      </c>
      <c r="I7" s="4">
        <v>605.28</v>
      </c>
      <c r="J7" s="4">
        <v>11282.68</v>
      </c>
    </row>
    <row r="8" spans="1:10" x14ac:dyDescent="0.35">
      <c r="E8" s="2"/>
      <c r="H8" s="4"/>
      <c r="I8" s="4"/>
      <c r="J8" s="4"/>
    </row>
    <row r="9" spans="1:10" x14ac:dyDescent="0.35">
      <c r="A9" t="s">
        <v>11</v>
      </c>
      <c r="E9" s="3">
        <v>45495</v>
      </c>
      <c r="F9" s="1">
        <v>18.635999999999999</v>
      </c>
    </row>
    <row r="10" spans="1:10" x14ac:dyDescent="0.35">
      <c r="A10" s="1">
        <v>16</v>
      </c>
      <c r="B10" s="1">
        <v>217</v>
      </c>
      <c r="C10" s="1" t="s">
        <v>5</v>
      </c>
      <c r="D10" s="3">
        <v>41166</v>
      </c>
      <c r="E10" s="3">
        <v>44725</v>
      </c>
      <c r="F10" s="1">
        <v>23.23</v>
      </c>
      <c r="G10" s="1">
        <v>23.229600000000001</v>
      </c>
      <c r="H10" s="5">
        <v>7896.06</v>
      </c>
      <c r="I10" s="5">
        <v>616.51</v>
      </c>
      <c r="J10" s="5">
        <v>10681.5</v>
      </c>
    </row>
    <row r="11" spans="1:10" x14ac:dyDescent="0.35">
      <c r="A11" s="1">
        <v>16</v>
      </c>
      <c r="B11" s="1">
        <v>1235</v>
      </c>
      <c r="C11" s="1" t="s">
        <v>5</v>
      </c>
      <c r="D11" s="3">
        <v>41166</v>
      </c>
      <c r="E11" s="3">
        <v>44893</v>
      </c>
      <c r="F11" s="1">
        <v>21.81</v>
      </c>
      <c r="G11" s="1">
        <v>21.81</v>
      </c>
      <c r="H11" s="5">
        <v>7131.38</v>
      </c>
      <c r="I11" s="5">
        <v>573.66999999999996</v>
      </c>
      <c r="J11" s="5">
        <v>10028.74</v>
      </c>
    </row>
    <row r="12" spans="1:10" x14ac:dyDescent="0.35">
      <c r="A12" s="1">
        <v>16</v>
      </c>
      <c r="B12" s="1">
        <v>1239</v>
      </c>
      <c r="C12" s="1" t="s">
        <v>5</v>
      </c>
      <c r="D12" s="3">
        <v>41166</v>
      </c>
      <c r="E12" s="3">
        <v>44893</v>
      </c>
      <c r="F12" s="1">
        <v>0</v>
      </c>
      <c r="G12" s="1">
        <v>4.0000000000000002E-4</v>
      </c>
      <c r="H12" s="5">
        <v>0.13</v>
      </c>
      <c r="I12" s="5">
        <v>0.01</v>
      </c>
      <c r="J12" s="5">
        <v>0.18</v>
      </c>
    </row>
    <row r="14" spans="1:10" x14ac:dyDescent="0.35">
      <c r="A14" s="1"/>
      <c r="B14" s="1"/>
      <c r="C14" s="1"/>
      <c r="D14" s="3"/>
      <c r="E14" s="3"/>
      <c r="F14" s="1"/>
      <c r="G14" s="1"/>
      <c r="H14" s="5"/>
      <c r="I14" s="5"/>
      <c r="J14" s="5"/>
    </row>
    <row r="15" spans="1:10" x14ac:dyDescent="0.35">
      <c r="A15" s="1"/>
      <c r="B15" s="1"/>
      <c r="C15" s="1"/>
      <c r="D15" s="3"/>
      <c r="E15" s="3"/>
      <c r="F15" s="1"/>
      <c r="G15" s="1"/>
      <c r="H15" s="5"/>
      <c r="I15" s="5"/>
      <c r="J15" s="5"/>
    </row>
    <row r="16" spans="1:10" x14ac:dyDescent="0.35">
      <c r="A16" s="1"/>
      <c r="B16" s="1"/>
      <c r="C16" s="1"/>
      <c r="D16" s="3"/>
      <c r="E16" s="3"/>
      <c r="F16" s="1"/>
      <c r="G16" s="1"/>
      <c r="H16" s="5"/>
      <c r="I16" s="5"/>
      <c r="J16" s="5"/>
    </row>
    <row r="17" spans="1:10" x14ac:dyDescent="0.35">
      <c r="A17" s="1"/>
      <c r="B17" s="1"/>
      <c r="C17" s="1"/>
      <c r="D17" s="3"/>
      <c r="E17" s="3"/>
      <c r="F17" s="1"/>
      <c r="G17" s="1"/>
      <c r="H17" s="5"/>
      <c r="I17" s="5"/>
      <c r="J17" s="5"/>
    </row>
    <row r="18" spans="1:10" x14ac:dyDescent="0.35">
      <c r="A18" s="1"/>
      <c r="B18" s="1"/>
      <c r="C18" s="1"/>
      <c r="D18" s="3"/>
      <c r="E18" s="3"/>
      <c r="F18" s="1"/>
      <c r="G18" s="1"/>
      <c r="H18" s="5"/>
      <c r="I18" s="5"/>
      <c r="J18" s="5"/>
    </row>
    <row r="19" spans="1:10" x14ac:dyDescent="0.35">
      <c r="A19" s="1"/>
      <c r="B19" s="1"/>
      <c r="C19" s="1"/>
      <c r="D19" s="3"/>
      <c r="E19" s="3"/>
      <c r="F19" s="1"/>
      <c r="G19" s="1"/>
      <c r="H19" s="5"/>
      <c r="I19" s="5"/>
      <c r="J19" s="5"/>
    </row>
    <row r="20" spans="1:10" x14ac:dyDescent="0.35">
      <c r="A20" s="1"/>
      <c r="B20" s="1"/>
      <c r="C20" s="1"/>
      <c r="D20" s="3"/>
      <c r="E20" s="3"/>
      <c r="F20" s="1"/>
      <c r="G20" s="1"/>
      <c r="H20" s="5"/>
      <c r="I20" s="5"/>
      <c r="J20" s="5"/>
    </row>
    <row r="21" spans="1:10" x14ac:dyDescent="0.35">
      <c r="A21" s="1"/>
      <c r="B21" s="1"/>
      <c r="C21" s="1"/>
      <c r="D21" s="3"/>
      <c r="E21" s="3"/>
      <c r="F21" s="1"/>
      <c r="G21" s="1"/>
      <c r="H21" s="5"/>
      <c r="I21" s="5"/>
      <c r="J21" s="5"/>
    </row>
    <row r="22" spans="1:10" x14ac:dyDescent="0.35">
      <c r="A22" s="1"/>
      <c r="B22" s="1"/>
      <c r="C22" s="1"/>
      <c r="D22" s="3"/>
      <c r="E22" s="3"/>
      <c r="F22" s="1"/>
      <c r="G22" s="1"/>
      <c r="H22" s="5"/>
      <c r="I22" s="5"/>
      <c r="J22" s="5"/>
    </row>
    <row r="23" spans="1:10" x14ac:dyDescent="0.35">
      <c r="A23" s="1"/>
      <c r="B23" s="1"/>
      <c r="C23" s="1"/>
      <c r="D23" s="3"/>
      <c r="E23" s="3"/>
      <c r="F23" s="1"/>
      <c r="G23" s="1"/>
      <c r="H23" s="5"/>
      <c r="I23" s="5"/>
      <c r="J23" s="5"/>
    </row>
    <row r="24" spans="1:10" x14ac:dyDescent="0.35">
      <c r="A24" s="1"/>
      <c r="B24" s="1"/>
      <c r="C24" s="1"/>
      <c r="D24" s="3"/>
      <c r="E24" s="3"/>
      <c r="F24" s="1"/>
      <c r="G24" s="1"/>
      <c r="H24" s="5"/>
      <c r="I24" s="5"/>
      <c r="J24" s="5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joanp</dc:creator>
  <cp:lastModifiedBy>joanp</cp:lastModifiedBy>
  <dcterms:created xsi:type="dcterms:W3CDTF">2024-09-07T17:22:57Z</dcterms:created>
  <dcterms:modified xsi:type="dcterms:W3CDTF">2024-09-08T03:58:31Z</dcterms:modified>
</cp:coreProperties>
</file>