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3648F696-C37F-4681-BE0A-9F2BC4171AE3}" xr6:coauthVersionLast="47" xr6:coauthVersionMax="47" xr10:uidLastSave="{00000000-0000-0000-0000-000000000000}"/>
  <bookViews>
    <workbookView xWindow="-110" yWindow="-110" windowWidth="19420" windowHeight="10420" activeTab="1" xr2:uid="{5BDD4264-2590-4C27-9B26-F22F9B95BA70}"/>
  </bookViews>
  <sheets>
    <sheet name="Mov" sheetId="1" r:id="rId1"/>
    <sheet name="Orig Vendes Rea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L3" i="2"/>
  <c r="N2" i="2"/>
  <c r="L2" i="2"/>
  <c r="M2" i="2" s="1"/>
  <c r="F4" i="1"/>
  <c r="P2" i="2" l="1"/>
  <c r="R2" i="2" s="1"/>
  <c r="T2" i="2" s="1"/>
  <c r="O2" i="2"/>
  <c r="Q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R2" authorId="0" shapeId="0" xr:uid="{07B9EA3F-1AA4-4F9B-A72B-BCF4ABFF259B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sharedStrings.xml><?xml version="1.0" encoding="utf-8"?>
<sst xmlns="http://schemas.openxmlformats.org/spreadsheetml/2006/main" count="29" uniqueCount="27">
  <si>
    <t>Traspàs C</t>
  </si>
  <si>
    <t>Venda</t>
  </si>
  <si>
    <t>Parts</t>
  </si>
  <si>
    <t>PU</t>
  </si>
  <si>
    <t>Brut</t>
  </si>
  <si>
    <t>Id</t>
  </si>
  <si>
    <t>Id Orig</t>
  </si>
  <si>
    <t>Nom Fons Orig</t>
  </si>
  <si>
    <t>Data Compra Venda</t>
  </si>
  <si>
    <t>Data Orig Compra</t>
  </si>
  <si>
    <t>Parts Orig</t>
  </si>
  <si>
    <t>PU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</si>
  <si>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</si>
  <si>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</si>
  <si>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</si>
  <si>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</si>
  <si>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</si>
  <si>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</si>
  <si>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</si>
  <si>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Bolsa Tecnología y Telecomunicaciones FI</t>
  </si>
  <si>
    <t>Mov</t>
  </si>
  <si>
    <t>CT</t>
  </si>
  <si>
    <t>V</t>
  </si>
  <si>
    <t>PiG</t>
  </si>
  <si>
    <t>Parts VT o Ocup.</t>
  </si>
  <si>
    <t>PiG Origen en cartera</t>
  </si>
  <si>
    <t>PiG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</si>
</sst>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0"/>
    <numFmt numFmtId="165" formatCode="#,##0.000\ &quot;€&quot;"/>
    <numFmt numFmtId="166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1" fillId="0" borderId="0" xfId="0" applyFont="1" applyAlignment="1">
      <alignment horizontal="right"/>
    </xf>
    <xf numFmtId="8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165" fontId="0" fillId="2" borderId="0" xfId="0" applyNumberFormat="1" applyFill="1"/>
    <xf numFmtId="0" fontId="0" fillId="2" borderId="1" xfId="0" applyFill="1" applyBorder="1"/>
    <xf numFmtId="166" fontId="0" fillId="2" borderId="0" xfId="0" applyNumberFormat="1" applyFill="1"/>
    <xf numFmtId="164" fontId="0" fillId="2" borderId="0" xfId="0" applyNumberFormat="1" applyFill="1"/>
    <xf numFmtId="165" fontId="0" fillId="3" borderId="0" xfId="0" applyNumberForma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3FCA-50A5-4269-89F6-EFB31E176E2C}">
  <dimension ref="A1:F4"/>
  <sheetViews>
    <sheetView zoomScale="130" zoomScaleNormal="130" workbookViewId="0">
      <selection activeCell="F4" sqref="F4"/>
    </sheetView>
  </sheetViews>
  <sheetFormatPr defaultRowHeight="14.5" x14ac:dyDescent="0.35"/>
  <cols>
    <col min="2" max="2" width="13.08984375" customWidth="1"/>
    <col min="3" max="3" width="10.453125" bestFit="1" customWidth="1"/>
    <col min="6" max="6" width="9.26953125" bestFit="1" customWidth="1"/>
    <col min="7" max="7" width="2.6328125" customWidth="1"/>
  </cols>
  <sheetData>
    <row r="1" spans="1:6" x14ac:dyDescent="0.35">
      <c r="A1" s="5"/>
      <c r="B1" s="5"/>
      <c r="C1" s="5"/>
      <c r="D1" s="5" t="s">
        <v>2</v>
      </c>
      <c r="E1" s="5" t="s">
        <v>3</v>
      </c>
      <c r="F1" s="5" t="s">
        <v>4</v>
      </c>
    </row>
    <row r="2" spans="1:6" x14ac:dyDescent="0.35">
      <c r="A2" s="1">
        <v>199</v>
      </c>
      <c r="B2" s="1" t="s">
        <v>0</v>
      </c>
      <c r="C2" s="3">
        <v>44476</v>
      </c>
      <c r="D2" s="1">
        <v>765.3691</v>
      </c>
      <c r="E2" s="4">
        <v>13.0395</v>
      </c>
      <c r="F2" s="4">
        <v>9980.0300000000007</v>
      </c>
    </row>
    <row r="3" spans="1:6" x14ac:dyDescent="0.35">
      <c r="A3" s="1">
        <v>1229</v>
      </c>
      <c r="B3" s="1" t="s">
        <v>1</v>
      </c>
      <c r="C3" s="3">
        <v>44844</v>
      </c>
      <c r="D3" s="1">
        <v>765.3691</v>
      </c>
      <c r="E3" s="4">
        <v>12.534000000000001</v>
      </c>
      <c r="F3" s="4">
        <v>9593.14</v>
      </c>
    </row>
    <row r="4" spans="1:6" x14ac:dyDescent="0.35">
      <c r="E4" s="16" t="s">
        <v>23</v>
      </c>
      <c r="F4" s="17">
        <f>+F3-F2</f>
        <v>-386.89000000000124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2B97-1861-4ECF-BDAC-65E8A10D3233}">
  <dimension ref="A1:T3"/>
  <sheetViews>
    <sheetView tabSelected="1" topLeftCell="K1" zoomScale="130" zoomScaleNormal="130"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1" max="1" width="4.81640625" bestFit="1" customWidth="1"/>
    <col min="2" max="2" width="5.08984375" bestFit="1" customWidth="1"/>
    <col min="3" max="3" width="6.453125" bestFit="1" customWidth="1"/>
    <col min="4" max="4" width="13.1796875" bestFit="1" customWidth="1"/>
    <col min="5" max="6" width="10.81640625" style="2" customWidth="1"/>
    <col min="7" max="8" width="9.08984375" bestFit="1" customWidth="1"/>
    <col min="9" max="9" width="9.1796875" bestFit="1" customWidth="1"/>
    <col min="10" max="10" width="7.1796875" bestFit="1" customWidth="1"/>
    <col min="11" max="11" width="8.54296875" bestFit="1" customWidth="1"/>
    <col min="12" max="12" width="11.54296875" bestFit="1" customWidth="1"/>
    <col min="13" max="13" width="14.26953125" bestFit="1" customWidth="1"/>
    <col min="14" max="14" width="18" bestFit="1" customWidth="1"/>
    <col min="15" max="15" width="19.90625" bestFit="1" customWidth="1"/>
    <col min="16" max="16" width="19.7265625" bestFit="1" customWidth="1"/>
    <col min="17" max="17" width="18.6328125" bestFit="1" customWidth="1"/>
    <col min="18" max="18" width="16.6328125" bestFit="1" customWidth="1"/>
  </cols>
  <sheetData>
    <row r="1" spans="1:20" ht="25.5" customHeight="1" x14ac:dyDescent="0.35">
      <c r="A1" s="6" t="s">
        <v>20</v>
      </c>
      <c r="B1" s="6" t="s">
        <v>5</v>
      </c>
      <c r="C1" s="7" t="s">
        <v>6</v>
      </c>
      <c r="D1" s="7" t="s">
        <v>7</v>
      </c>
      <c r="E1" s="8" t="s">
        <v>8</v>
      </c>
      <c r="F1" s="8" t="s">
        <v>9</v>
      </c>
      <c r="G1" s="10" t="s">
        <v>3</v>
      </c>
      <c r="H1" s="10" t="s">
        <v>11</v>
      </c>
      <c r="I1" s="9" t="s">
        <v>2</v>
      </c>
      <c r="J1" s="18" t="s">
        <v>10</v>
      </c>
      <c r="K1" s="7" t="s">
        <v>24</v>
      </c>
      <c r="L1" s="7" t="s">
        <v>12</v>
      </c>
      <c r="M1" s="7" t="s">
        <v>13</v>
      </c>
      <c r="N1" s="7" t="s">
        <v>14</v>
      </c>
      <c r="O1" s="7" t="s">
        <v>15</v>
      </c>
      <c r="P1" s="11" t="s">
        <v>16</v>
      </c>
      <c r="Q1" s="7" t="s">
        <v>17</v>
      </c>
      <c r="R1" s="7" t="s">
        <v>18</v>
      </c>
      <c r="S1" s="7" t="s">
        <v>25</v>
      </c>
      <c r="T1" s="7" t="s">
        <v>26</v>
      </c>
    </row>
    <row r="2" spans="1:20" x14ac:dyDescent="0.35">
      <c r="A2" t="s">
        <v>21</v>
      </c>
      <c r="B2" s="12">
        <v>199</v>
      </c>
      <c r="C2" s="12">
        <v>15</v>
      </c>
      <c r="D2" s="12" t="s">
        <v>19</v>
      </c>
      <c r="E2" s="13">
        <v>44476.938761574071</v>
      </c>
      <c r="F2" s="13">
        <v>36841</v>
      </c>
      <c r="G2" s="19">
        <v>433.54192724694099</v>
      </c>
      <c r="H2" s="19">
        <v>22.9920399034783</v>
      </c>
      <c r="I2" s="12">
        <v>765.3691</v>
      </c>
      <c r="J2" s="20">
        <v>357.97120000000001</v>
      </c>
      <c r="K2" s="12"/>
      <c r="L2" s="21">
        <f>L3</f>
        <v>765.3691</v>
      </c>
      <c r="M2" s="22">
        <f>J2/I2*L2</f>
        <v>357.97120000000001</v>
      </c>
      <c r="N2" s="22">
        <f>I2-L2</f>
        <v>0</v>
      </c>
      <c r="O2" s="22">
        <f>J2-M2</f>
        <v>0</v>
      </c>
      <c r="P2" s="19">
        <f>$H2*M2</f>
        <v>8230.4881146960124</v>
      </c>
      <c r="Q2" s="19">
        <f>$H2*O2</f>
        <v>0</v>
      </c>
      <c r="R2" s="19">
        <f>L3*G3-P2</f>
        <v>1362.6481847039886</v>
      </c>
      <c r="S2" s="19"/>
      <c r="T2" s="19">
        <f>R2+S2</f>
        <v>1362.6481847039886</v>
      </c>
    </row>
    <row r="3" spans="1:20" x14ac:dyDescent="0.35">
      <c r="A3" t="s">
        <v>22</v>
      </c>
      <c r="B3" s="14">
        <v>1229</v>
      </c>
      <c r="C3" s="14"/>
      <c r="D3" s="14"/>
      <c r="E3" s="15">
        <v>44844.783541666664</v>
      </c>
      <c r="F3" s="15"/>
      <c r="G3" s="23">
        <v>12.534000000000001</v>
      </c>
      <c r="H3" s="14"/>
      <c r="I3" s="14">
        <v>765.3691</v>
      </c>
      <c r="J3" s="24"/>
      <c r="K3" s="14"/>
      <c r="L3" s="14">
        <f>I3</f>
        <v>765.3691</v>
      </c>
      <c r="M3" s="14"/>
      <c r="N3" s="14"/>
      <c r="O3" s="14"/>
      <c r="P3" s="23">
        <f>I3*G3</f>
        <v>9593.136299400001</v>
      </c>
      <c r="Q3" s="23"/>
      <c r="R3" s="23"/>
      <c r="S3" s="23"/>
      <c r="T3" s="23"/>
    </row>
  </sheetData>
  <phoneticPr fontId="2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</vt:lpstr>
      <vt:lpstr>Orig Vendes Reals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2024-09-12T11:15:00Z</dcterms:created>
  <dcterms:modified xsi:type="dcterms:W3CDTF">2024-09-21T08:12:33Z</dcterms:modified>
</cp:coreProperties>
</file>