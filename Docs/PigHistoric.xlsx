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20" yWindow="100" windowWidth="10500" windowHeight="408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16" i="1"/>
  <c r="E15"/>
  <c r="H15" s="1"/>
  <c r="F18"/>
  <c r="F17"/>
  <c r="E17"/>
  <c r="E18" s="1"/>
  <c r="F16"/>
  <c r="F15"/>
  <c r="E16"/>
  <c r="E10"/>
  <c r="F10"/>
  <c r="I10" s="1"/>
  <c r="I5"/>
  <c r="I3"/>
  <c r="I6" s="1"/>
  <c r="J7" s="1"/>
  <c r="D11"/>
  <c r="F11" s="1"/>
  <c r="I11" s="1"/>
  <c r="D7"/>
  <c r="F7" s="1"/>
  <c r="I7" s="1"/>
  <c r="H19" l="1"/>
  <c r="H18"/>
  <c r="H17"/>
  <c r="J11"/>
</calcChain>
</file>

<file path=xl/sharedStrings.xml><?xml version="1.0" encoding="utf-8"?>
<sst xmlns="http://schemas.openxmlformats.org/spreadsheetml/2006/main" count="31" uniqueCount="24">
  <si>
    <t>Compra</t>
  </si>
  <si>
    <t>Traspàs V</t>
  </si>
  <si>
    <t>Id</t>
  </si>
  <si>
    <t>Mov</t>
  </si>
  <si>
    <t>Data</t>
  </si>
  <si>
    <t>Part.</t>
  </si>
  <si>
    <t>PU</t>
  </si>
  <si>
    <t>Brut</t>
  </si>
  <si>
    <t>Templeton</t>
  </si>
  <si>
    <t>DWS</t>
  </si>
  <si>
    <t>Traspàs C</t>
  </si>
  <si>
    <t>A DWS</t>
  </si>
  <si>
    <t>De Templeton</t>
  </si>
  <si>
    <t>Actual</t>
  </si>
  <si>
    <t>Total C</t>
  </si>
  <si>
    <t>Any: 2016. Pig:</t>
  </si>
  <si>
    <t>Any: 2017. Pig:</t>
  </si>
  <si>
    <t>Any: 2018. Pig:</t>
  </si>
  <si>
    <t>Any: 2019. Pig:</t>
  </si>
  <si>
    <t>Total :</t>
  </si>
  <si>
    <t>DWS Aktien Strategie Deutschland</t>
  </si>
  <si>
    <t>Preu C</t>
  </si>
  <si>
    <t>Val 31/12</t>
  </si>
  <si>
    <t>PU 31/12</t>
  </si>
</sst>
</file>

<file path=xl/styles.xml><?xml version="1.0" encoding="utf-8"?>
<styleSheet xmlns="http://schemas.openxmlformats.org/spreadsheetml/2006/main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00"/>
  </numFmts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4" fontId="3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8" fontId="0" fillId="0" borderId="0" xfId="0" applyNumberFormat="1"/>
    <xf numFmtId="8" fontId="0" fillId="0" borderId="0" xfId="0" applyNumberFormat="1" applyAlignment="1">
      <alignment wrapText="1"/>
    </xf>
    <xf numFmtId="0" fontId="0" fillId="0" borderId="0" xfId="0" applyAlignment="1"/>
    <xf numFmtId="14" fontId="0" fillId="0" borderId="0" xfId="0" applyNumberFormat="1" applyAlignment="1"/>
    <xf numFmtId="4" fontId="0" fillId="0" borderId="0" xfId="0" applyNumberFormat="1" applyAlignment="1"/>
    <xf numFmtId="8" fontId="0" fillId="0" borderId="0" xfId="0" applyNumberForma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0" xfId="1" applyAlignment="1">
      <alignment wrapText="1"/>
    </xf>
    <xf numFmtId="14" fontId="1" fillId="2" borderId="0" xfId="1" applyNumberFormat="1" applyAlignment="1">
      <alignment wrapText="1"/>
    </xf>
    <xf numFmtId="4" fontId="1" fillId="2" borderId="0" xfId="1" applyNumberFormat="1" applyAlignment="1">
      <alignment wrapText="1"/>
    </xf>
    <xf numFmtId="8" fontId="1" fillId="2" borderId="0" xfId="1" applyNumberFormat="1" applyAlignment="1">
      <alignment wrapText="1"/>
    </xf>
    <xf numFmtId="164" fontId="1" fillId="2" borderId="0" xfId="1" applyNumberFormat="1" applyAlignment="1">
      <alignment wrapText="1"/>
    </xf>
    <xf numFmtId="44" fontId="0" fillId="0" borderId="0" xfId="2" applyFont="1"/>
    <xf numFmtId="44" fontId="0" fillId="0" borderId="0" xfId="0" applyNumberFormat="1"/>
  </cellXfs>
  <cellStyles count="3">
    <cellStyle name="Currency" xfId="2" builtinId="4"/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>
      <selection activeCell="H16" sqref="H16"/>
    </sheetView>
  </sheetViews>
  <sheetFormatPr defaultRowHeight="14.5"/>
  <cols>
    <col min="2" max="2" width="9.54296875" customWidth="1"/>
    <col min="3" max="3" width="11" customWidth="1"/>
    <col min="4" max="4" width="8.81640625" bestFit="1" customWidth="1"/>
    <col min="5" max="5" width="10.26953125" bestFit="1" customWidth="1"/>
    <col min="6" max="6" width="10.7265625" customWidth="1"/>
    <col min="7" max="7" width="2.6328125" customWidth="1"/>
    <col min="8" max="8" width="15.36328125" customWidth="1"/>
    <col min="9" max="9" width="10.7265625" customWidth="1"/>
    <col min="10" max="10" width="13.08984375" customWidth="1"/>
  </cols>
  <sheetData>
    <row r="1" spans="1:10">
      <c r="A1" s="11" t="s">
        <v>2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</row>
    <row r="2" spans="1:10">
      <c r="A2" s="10" t="s">
        <v>8</v>
      </c>
    </row>
    <row r="3" spans="1:10">
      <c r="A3" s="1">
        <v>124</v>
      </c>
      <c r="B3" s="1" t="s">
        <v>0</v>
      </c>
      <c r="C3" s="2">
        <v>42696</v>
      </c>
      <c r="D3" s="3">
        <v>2607.6527000000001</v>
      </c>
      <c r="E3" s="5">
        <v>8.82</v>
      </c>
      <c r="F3" s="5">
        <v>22999.5</v>
      </c>
      <c r="I3" s="4">
        <f>(D3-D4)*E3</f>
        <v>949.49681400000088</v>
      </c>
    </row>
    <row r="4" spans="1:10">
      <c r="A4" s="6">
        <v>160</v>
      </c>
      <c r="B4" s="6" t="s">
        <v>1</v>
      </c>
      <c r="C4" s="7">
        <v>43045</v>
      </c>
      <c r="D4" s="8">
        <v>2500</v>
      </c>
      <c r="E4" s="9">
        <v>10.0801</v>
      </c>
      <c r="F4" s="9">
        <v>25200.14</v>
      </c>
      <c r="H4" t="s">
        <v>11</v>
      </c>
    </row>
    <row r="5" spans="1:10">
      <c r="A5" s="1">
        <v>164</v>
      </c>
      <c r="B5" s="1" t="s">
        <v>0</v>
      </c>
      <c r="C5" s="2">
        <v>43109</v>
      </c>
      <c r="D5" s="3">
        <v>2918.857</v>
      </c>
      <c r="E5" s="5">
        <v>10.2369</v>
      </c>
      <c r="F5" s="5">
        <v>29880.12</v>
      </c>
      <c r="I5" s="4">
        <f>D5*E5</f>
        <v>29880.0472233</v>
      </c>
    </row>
    <row r="6" spans="1:10">
      <c r="A6" s="1"/>
      <c r="B6" s="1" t="s">
        <v>14</v>
      </c>
      <c r="C6" s="2"/>
      <c r="E6" s="5"/>
      <c r="F6" s="3"/>
      <c r="I6" s="4">
        <f>SUM(I3:I5)</f>
        <v>30829.544037300002</v>
      </c>
    </row>
    <row r="7" spans="1:10">
      <c r="A7" s="1"/>
      <c r="B7" s="12" t="s">
        <v>13</v>
      </c>
      <c r="C7" s="13">
        <v>43567</v>
      </c>
      <c r="D7" s="14">
        <f>D3-D4+D5</f>
        <v>3026.5097000000001</v>
      </c>
      <c r="E7" s="15">
        <v>10.1846</v>
      </c>
      <c r="F7" s="15">
        <f>D7*E7</f>
        <v>30823.790690620001</v>
      </c>
      <c r="I7" s="4">
        <f>F7</f>
        <v>30823.790690620001</v>
      </c>
      <c r="J7" s="4">
        <f>I7-I6</f>
        <v>-5.7533466800014139</v>
      </c>
    </row>
    <row r="9" spans="1:10">
      <c r="A9" s="10" t="s">
        <v>9</v>
      </c>
    </row>
    <row r="10" spans="1:10">
      <c r="A10" s="6">
        <v>161</v>
      </c>
      <c r="B10" s="6" t="s">
        <v>10</v>
      </c>
      <c r="C10" s="7">
        <v>43046</v>
      </c>
      <c r="D10" s="6">
        <v>57.306899999999999</v>
      </c>
      <c r="E10" s="9">
        <f>F10/D10</f>
        <v>439.74006620494214</v>
      </c>
      <c r="F10" s="9">
        <f>F4</f>
        <v>25200.14</v>
      </c>
      <c r="H10" t="s">
        <v>12</v>
      </c>
      <c r="I10" s="4">
        <f>F10</f>
        <v>25200.14</v>
      </c>
    </row>
    <row r="11" spans="1:10">
      <c r="A11" s="1"/>
      <c r="B11" s="12" t="s">
        <v>13</v>
      </c>
      <c r="C11" s="13">
        <v>43567</v>
      </c>
      <c r="D11" s="16">
        <f>D8-D9+D10</f>
        <v>57.306899999999999</v>
      </c>
      <c r="E11" s="15">
        <v>394.03</v>
      </c>
      <c r="F11" s="15">
        <f>D11*E11</f>
        <v>22580.637806999999</v>
      </c>
      <c r="I11" s="4">
        <f>F11</f>
        <v>22580.637806999999</v>
      </c>
      <c r="J11" s="4">
        <f>I11-I10</f>
        <v>-2619.5021930000003</v>
      </c>
    </row>
    <row r="14" spans="1:10">
      <c r="A14" s="10" t="s">
        <v>8</v>
      </c>
      <c r="D14" s="11" t="s">
        <v>23</v>
      </c>
      <c r="E14" s="11" t="s">
        <v>21</v>
      </c>
      <c r="F14" s="11" t="s">
        <v>22</v>
      </c>
    </row>
    <row r="15" spans="1:10">
      <c r="B15" t="s">
        <v>15</v>
      </c>
      <c r="C15" s="17">
        <v>300.40159103999798</v>
      </c>
      <c r="D15">
        <v>8.9352</v>
      </c>
      <c r="E15" s="4">
        <f>F3</f>
        <v>22999.5</v>
      </c>
      <c r="F15" s="4">
        <f>D3*D15</f>
        <v>23299.898405039999</v>
      </c>
      <c r="H15" s="4">
        <f>+F15-E15</f>
        <v>300.39840503999949</v>
      </c>
    </row>
    <row r="16" spans="1:10">
      <c r="B16" t="s">
        <v>16</v>
      </c>
      <c r="C16" s="17">
        <v>2990.1150297600002</v>
      </c>
      <c r="D16">
        <v>10.124000000000001</v>
      </c>
      <c r="E16" s="4">
        <f>I3</f>
        <v>949.49681400000088</v>
      </c>
      <c r="F16" s="4">
        <f>(D3-D4)*D16</f>
        <v>1089.875934800001</v>
      </c>
      <c r="H16" s="4">
        <f>F16-E16+(E4-E3)*D4</f>
        <v>3290.6291207999993</v>
      </c>
    </row>
    <row r="17" spans="1:8">
      <c r="B17" t="s">
        <v>17</v>
      </c>
      <c r="C17" s="17">
        <v>-4193.8595116849901</v>
      </c>
      <c r="D17">
        <v>8.8472000000000008</v>
      </c>
      <c r="E17" s="4">
        <f>I3+F5</f>
        <v>30829.616814000001</v>
      </c>
      <c r="F17" s="4">
        <f>(D3-D4+D5)*D17</f>
        <v>26776.136617840002</v>
      </c>
      <c r="H17" s="4">
        <f t="shared" ref="H16:H18" si="0">+F17-E17</f>
        <v>-4053.4801961599987</v>
      </c>
    </row>
    <row r="18" spans="1:8">
      <c r="B18" t="s">
        <v>18</v>
      </c>
      <c r="C18" s="17">
        <v>4047.6540727800002</v>
      </c>
      <c r="D18">
        <v>10.1846</v>
      </c>
      <c r="E18" s="4">
        <f>E17</f>
        <v>30829.616814000001</v>
      </c>
      <c r="F18" s="4">
        <f>(D3-D4+D5)*D18</f>
        <v>30823.790690620001</v>
      </c>
      <c r="H18" s="4">
        <f t="shared" si="0"/>
        <v>-5.8261233800003538</v>
      </c>
    </row>
    <row r="19" spans="1:8">
      <c r="B19" t="s">
        <v>19</v>
      </c>
      <c r="C19" s="17">
        <v>3144.3111818950001</v>
      </c>
      <c r="E19" s="4"/>
      <c r="F19" s="4"/>
      <c r="H19" s="4">
        <f>SUM(H15:H18)</f>
        <v>-468.27879370000028</v>
      </c>
    </row>
    <row r="20" spans="1:8">
      <c r="C20" s="18"/>
      <c r="E20" s="4"/>
      <c r="F20" s="4"/>
    </row>
    <row r="21" spans="1:8">
      <c r="A21" s="10" t="s">
        <v>20</v>
      </c>
      <c r="E21" s="4"/>
      <c r="F21" s="4"/>
    </row>
    <row r="22" spans="1:8">
      <c r="B22" t="s">
        <v>16</v>
      </c>
      <c r="C22" s="17">
        <v>-640.118073000001</v>
      </c>
      <c r="D22">
        <v>428.57</v>
      </c>
      <c r="E22" s="4"/>
      <c r="F22" s="4"/>
    </row>
    <row r="23" spans="1:8">
      <c r="B23" t="s">
        <v>17</v>
      </c>
      <c r="C23" s="17">
        <v>-5538.1388159999997</v>
      </c>
      <c r="D23">
        <v>331.93</v>
      </c>
      <c r="E23" s="4"/>
      <c r="F23" s="4"/>
    </row>
    <row r="24" spans="1:8">
      <c r="B24" t="s">
        <v>18</v>
      </c>
      <c r="C24" s="17">
        <v>3558.7584900000002</v>
      </c>
      <c r="D24">
        <v>394.03</v>
      </c>
      <c r="E24" s="4"/>
      <c r="F24" s="4"/>
    </row>
    <row r="25" spans="1:8">
      <c r="B25" t="s">
        <v>19</v>
      </c>
      <c r="C25" s="17">
        <v>-2619.4983990000001</v>
      </c>
      <c r="E25" s="4"/>
      <c r="F25" s="4"/>
    </row>
    <row r="26" spans="1:8">
      <c r="C26" s="18"/>
      <c r="E26" s="4"/>
      <c r="F26" s="4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2019-04-19T11:12:48Z</dcterms:created>
  <dcterms:modified xsi:type="dcterms:W3CDTF">2019-05-07T19:04:51Z</dcterms:modified>
</cp:coreProperties>
</file>