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positoris\C#\_Actiu\InversionsV2\Docs\"/>
    </mc:Choice>
  </mc:AlternateContent>
  <xr:revisionPtr revIDLastSave="0" documentId="13_ncr:1_{C569F439-9D3A-46CE-A922-44972F3282C7}" xr6:coauthVersionLast="47" xr6:coauthVersionMax="47" xr10:uidLastSave="{00000000-0000-0000-0000-000000000000}"/>
  <bookViews>
    <workbookView xWindow="19090" yWindow="-20" windowWidth="19420" windowHeight="10420" xr2:uid="{BBEA0039-8FB1-4B67-9ED2-8CEE43EB059B}"/>
  </bookViews>
  <sheets>
    <sheet name="Moviments" sheetId="1" r:id="rId1"/>
    <sheet name="Simulació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5" i="2" l="1"/>
  <c r="H34" i="2" s="1"/>
  <c r="G34" i="2"/>
  <c r="G33" i="2"/>
  <c r="H33" i="2"/>
  <c r="F34" i="2"/>
  <c r="F33" i="2"/>
  <c r="J2" i="1"/>
  <c r="H35" i="2" l="1"/>
  <c r="G35" i="2"/>
  <c r="H36" i="2" s="1"/>
  <c r="F21" i="2"/>
  <c r="F20" i="2"/>
  <c r="B21" i="2"/>
  <c r="B22" i="2"/>
  <c r="A22" i="2"/>
  <c r="A21" i="2"/>
  <c r="B20" i="2"/>
  <c r="A20" i="2"/>
  <c r="L2" i="2"/>
  <c r="J14" i="2"/>
  <c r="J12" i="2"/>
  <c r="J9" i="2"/>
  <c r="J10" i="2"/>
  <c r="J8" i="2"/>
  <c r="J7" i="2"/>
  <c r="J6" i="2"/>
  <c r="J4" i="2"/>
  <c r="J3" i="2"/>
  <c r="I5" i="2"/>
  <c r="L5" i="2" s="1"/>
  <c r="B28" i="2"/>
  <c r="B34" i="2" s="1"/>
  <c r="A28" i="2"/>
  <c r="A34" i="2" s="1"/>
  <c r="B27" i="2"/>
  <c r="B33" i="2" s="1"/>
  <c r="A27" i="2"/>
  <c r="A33" i="2" s="1"/>
  <c r="B26" i="2"/>
  <c r="B32" i="2" s="1"/>
  <c r="A26" i="2"/>
  <c r="A32" i="2" s="1"/>
  <c r="B25" i="2"/>
  <c r="B31" i="2" s="1"/>
  <c r="A25" i="2"/>
  <c r="A31" i="2" s="1"/>
  <c r="K2" i="1"/>
  <c r="G14" i="2"/>
  <c r="G9" i="2"/>
  <c r="G7" i="2"/>
  <c r="G8" i="2"/>
  <c r="G3" i="2"/>
  <c r="G4" i="2" s="1"/>
  <c r="G6" i="2" s="1"/>
  <c r="K10" i="1"/>
  <c r="K9" i="1"/>
  <c r="F12" i="1"/>
  <c r="F3" i="1"/>
  <c r="F4" i="1"/>
  <c r="F5" i="1"/>
  <c r="F6" i="1"/>
  <c r="F7" i="1"/>
  <c r="F8" i="1"/>
  <c r="F9" i="1"/>
  <c r="F10" i="1"/>
  <c r="F11" i="1"/>
  <c r="F2" i="1"/>
  <c r="I2" i="1"/>
  <c r="J12" i="1" s="1"/>
  <c r="J10" i="1"/>
  <c r="J9" i="1"/>
  <c r="H2" i="1"/>
  <c r="H3" i="1" s="1"/>
  <c r="H4" i="1" s="1"/>
  <c r="H5" i="1" s="1"/>
  <c r="H6" i="1" s="1"/>
  <c r="H7" i="1" s="1"/>
  <c r="H8" i="1" s="1"/>
  <c r="H9" i="1" s="1"/>
  <c r="H10" i="1" s="1"/>
  <c r="G28" i="2" l="1"/>
  <c r="H28" i="2" s="1"/>
  <c r="E34" i="2"/>
  <c r="K13" i="1"/>
  <c r="L6" i="2"/>
  <c r="L9" i="2"/>
  <c r="L8" i="2"/>
  <c r="L7" i="2"/>
  <c r="L3" i="2"/>
  <c r="L14" i="2"/>
  <c r="L4" i="2"/>
  <c r="I13" i="2"/>
  <c r="L13" i="2" s="1"/>
  <c r="G25" i="2"/>
  <c r="H25" i="2" s="1"/>
  <c r="G10" i="2"/>
  <c r="T4" i="2"/>
  <c r="H11" i="1"/>
  <c r="D12" i="1" s="1"/>
  <c r="M13" i="2" l="1"/>
  <c r="N13" i="2" s="1"/>
  <c r="M2" i="2"/>
  <c r="G12" i="2"/>
  <c r="L10" i="2"/>
  <c r="M5" i="2" s="1"/>
  <c r="T5" i="2"/>
  <c r="G26" i="2"/>
  <c r="H26" i="2" s="1"/>
  <c r="F22" i="2" l="1"/>
  <c r="M22" i="2" s="1"/>
  <c r="N22" i="2" s="1"/>
  <c r="E33" i="2"/>
  <c r="L12" i="2"/>
  <c r="T6" i="2"/>
  <c r="T7" i="2" s="1"/>
  <c r="I11" i="2"/>
  <c r="I22" i="2" s="1"/>
  <c r="L22" i="2" s="1"/>
  <c r="G27" i="2"/>
  <c r="H27" i="2" s="1"/>
  <c r="L11" i="2" l="1"/>
  <c r="N5" i="2" l="1"/>
  <c r="M16" i="2"/>
  <c r="M17" i="2" s="1"/>
  <c r="M11" i="2"/>
  <c r="N23" i="2" s="1"/>
  <c r="N24" i="2" s="1"/>
  <c r="N2" i="2" l="1"/>
</calcChain>
</file>

<file path=xl/sharedStrings.xml><?xml version="1.0" encoding="utf-8"?>
<sst xmlns="http://schemas.openxmlformats.org/spreadsheetml/2006/main" count="64" uniqueCount="33">
  <si>
    <t>Traspàs C</t>
  </si>
  <si>
    <t>Traspàs V</t>
  </si>
  <si>
    <t>Venda</t>
  </si>
  <si>
    <t>Parts</t>
  </si>
  <si>
    <t>PU</t>
  </si>
  <si>
    <t>En cartera</t>
  </si>
  <si>
    <t>Saldo Parts</t>
  </si>
  <si>
    <t>Venudes</t>
  </si>
  <si>
    <t>PiG</t>
  </si>
  <si>
    <t>Brut</t>
  </si>
  <si>
    <t>Id Orig</t>
  </si>
  <si>
    <t>Id</t>
  </si>
  <si>
    <t>Fons Orig</t>
  </si>
  <si>
    <t>Data Orig Compra</t>
  </si>
  <si>
    <t>Data Compra</t>
  </si>
  <si>
    <t>Parts Util</t>
  </si>
  <si>
    <t>Pig Origen</t>
  </si>
  <si>
    <t>Total Return N Acc €-H1</t>
  </si>
  <si>
    <t>Optimal Income A-H Grs Acc Hdg EUR</t>
  </si>
  <si>
    <t>Pictet-short-term Money Market Chf R</t>
  </si>
  <si>
    <t>Bolsa Tecnología y Telecomunicaciones FI</t>
  </si>
  <si>
    <t>VT</t>
  </si>
  <si>
    <t>V</t>
  </si>
  <si>
    <t>Parts Orig</t>
  </si>
  <si>
    <t>Parts Orig Ut</t>
  </si>
  <si>
    <t>PU Orig</t>
  </si>
  <si>
    <t>Import Orig</t>
  </si>
  <si>
    <t>Total</t>
  </si>
  <si>
    <t>17-173--&gt;</t>
  </si>
  <si>
    <t>Compra cartera Orig</t>
  </si>
  <si>
    <t>Valor actual cartera</t>
  </si>
  <si>
    <t>Import en cartera</t>
  </si>
  <si>
    <t>PartsOrig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</si>
</sst>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#,##0.00\ &quot;€&quot;;[Red]\-#,##0.00\ &quot;€&quot;"/>
    <numFmt numFmtId="164" formatCode="#,##0.000"/>
    <numFmt numFmtId="165" formatCode="#,##0.000\ &quot;€&quot;;[Red]\-#,##0.000\ &quot;€&quot;"/>
    <numFmt numFmtId="166" formatCode="#,##0.00\ &quot;€&quot;"/>
    <numFmt numFmtId="167" formatCode="0.000"/>
    <numFmt numFmtId="168" formatCode="#,##0.000\ &quot;€&quot;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8" fontId="0" fillId="0" borderId="0" xfId="0" applyNumberFormat="1"/>
    <xf numFmtId="164" fontId="0" fillId="0" borderId="0" xfId="0" applyNumberFormat="1" applyAlignment="1">
      <alignment vertical="center" wrapText="1"/>
    </xf>
    <xf numFmtId="165" fontId="0" fillId="0" borderId="0" xfId="0" applyNumberFormat="1" applyAlignment="1">
      <alignment vertical="center" wrapText="1"/>
    </xf>
    <xf numFmtId="164" fontId="0" fillId="0" borderId="0" xfId="0" applyNumberFormat="1"/>
    <xf numFmtId="0" fontId="1" fillId="0" borderId="0" xfId="0" applyFont="1" applyAlignment="1">
      <alignment horizontal="center"/>
    </xf>
    <xf numFmtId="164" fontId="1" fillId="0" borderId="0" xfId="0" applyNumberFormat="1" applyFont="1"/>
    <xf numFmtId="166" fontId="0" fillId="0" borderId="0" xfId="0" applyNumberFormat="1"/>
    <xf numFmtId="166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vertical="center" wrapText="1"/>
    </xf>
    <xf numFmtId="14" fontId="0" fillId="0" borderId="0" xfId="0" applyNumberFormat="1"/>
    <xf numFmtId="167" fontId="0" fillId="0" borderId="0" xfId="0" applyNumberFormat="1"/>
    <xf numFmtId="164" fontId="0" fillId="2" borderId="0" xfId="0" applyNumberFormat="1" applyFill="1" applyAlignment="1">
      <alignment vertical="center" wrapText="1"/>
    </xf>
    <xf numFmtId="168" fontId="0" fillId="0" borderId="0" xfId="0" applyNumberFormat="1"/>
    <xf numFmtId="164" fontId="1" fillId="0" borderId="0" xfId="0" applyNumberFormat="1" applyFont="1" applyAlignment="1">
      <alignment horizontal="center"/>
    </xf>
    <xf numFmtId="167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3" borderId="0" xfId="0" applyFill="1"/>
    <xf numFmtId="0" fontId="1" fillId="0" borderId="0" xfId="0" applyFont="1"/>
    <xf numFmtId="165" fontId="0" fillId="0" borderId="0" xfId="0" applyNumberFormat="1"/>
    <xf numFmtId="164" fontId="0" fillId="2" borderId="0" xfId="0" applyNumberFormat="1" applyFill="1"/>
    <xf numFmtId="167" fontId="0" fillId="0" borderId="0" xfId="0" quotePrefix="1" applyNumberFormat="1"/>
    <xf numFmtId="167" fontId="0" fillId="0" borderId="0" xfId="0" applyNumberFormat="1" applyAlignment="1">
      <alignment horizontal="center" wrapText="1"/>
    </xf>
    <xf numFmtId="166" fontId="1" fillId="0" borderId="0" xfId="0" applyNumberFormat="1" applyFont="1" applyAlignment="1">
      <alignment horizontal="center"/>
    </xf>
    <xf numFmtId="8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E87D9-BA56-4DF1-93A3-863A6BECF042}">
  <dimension ref="A1:O16"/>
  <sheetViews>
    <sheetView tabSelected="1" zoomScale="145" zoomScaleNormal="145" workbookViewId="0">
      <selection activeCell="K2" sqref="K2"/>
    </sheetView>
  </sheetViews>
  <sheetFormatPr defaultRowHeight="14.5" x14ac:dyDescent="0.35"/>
  <cols>
    <col min="1" max="1" width="5.54296875" customWidth="1"/>
    <col min="2" max="2" width="9.453125" customWidth="1"/>
    <col min="3" max="3" width="9.453125" bestFit="1" customWidth="1"/>
    <col min="6" max="6" width="11.26953125" bestFit="1" customWidth="1"/>
    <col min="7" max="7" width="2.54296875" customWidth="1"/>
    <col min="8" max="8" width="10.08984375" bestFit="1" customWidth="1"/>
    <col min="9" max="9" width="10.08984375" customWidth="1"/>
    <col min="10" max="10" width="9.36328125" bestFit="1" customWidth="1"/>
    <col min="11" max="11" width="10.453125" bestFit="1" customWidth="1"/>
  </cols>
  <sheetData>
    <row r="1" spans="1:15" x14ac:dyDescent="0.35">
      <c r="A1" s="7"/>
      <c r="B1" s="7"/>
      <c r="C1" s="7"/>
      <c r="D1" s="7" t="s">
        <v>3</v>
      </c>
      <c r="E1" s="7" t="s">
        <v>4</v>
      </c>
      <c r="F1" s="7" t="s">
        <v>9</v>
      </c>
      <c r="G1" s="7"/>
      <c r="H1" s="7" t="s">
        <v>6</v>
      </c>
      <c r="I1" s="7" t="s">
        <v>7</v>
      </c>
      <c r="J1" s="7" t="s">
        <v>5</v>
      </c>
      <c r="K1" s="7" t="s">
        <v>8</v>
      </c>
      <c r="L1" s="7"/>
      <c r="M1" s="7"/>
      <c r="N1" s="7"/>
      <c r="O1" s="7"/>
    </row>
    <row r="2" spans="1:15" x14ac:dyDescent="0.35">
      <c r="A2" s="1">
        <v>173</v>
      </c>
      <c r="B2" s="1" t="s">
        <v>0</v>
      </c>
      <c r="C2" s="2">
        <v>43525</v>
      </c>
      <c r="D2" s="4">
        <v>1778.69</v>
      </c>
      <c r="E2" s="5">
        <v>17.05</v>
      </c>
      <c r="F2" s="5">
        <f>D2*E2</f>
        <v>30326.664500000003</v>
      </c>
      <c r="H2" s="6">
        <f>D2</f>
        <v>1778.69</v>
      </c>
      <c r="I2" s="6">
        <f>SUM(D3:D8)+D11</f>
        <v>1642.08</v>
      </c>
      <c r="J2" s="6">
        <f>D2-I2</f>
        <v>136.61000000000013</v>
      </c>
      <c r="K2" s="9">
        <f>(SUM(F3:F8)+F11+(J2*E12))-F2</f>
        <v>32050.464799999998</v>
      </c>
    </row>
    <row r="3" spans="1:15" x14ac:dyDescent="0.35">
      <c r="A3" s="1">
        <v>198</v>
      </c>
      <c r="B3" s="1" t="s">
        <v>1</v>
      </c>
      <c r="C3" s="2">
        <v>44470</v>
      </c>
      <c r="D3" s="4">
        <v>287.02999999999997</v>
      </c>
      <c r="E3" s="5">
        <v>34.770000000000003</v>
      </c>
      <c r="F3" s="5">
        <f t="shared" ref="F3:F11" si="0">D3*E3</f>
        <v>9980.0331000000006</v>
      </c>
      <c r="H3" s="6">
        <f t="shared" ref="H3:H8" si="1">H2-D3</f>
        <v>1491.66</v>
      </c>
      <c r="I3" s="6"/>
      <c r="J3" s="6"/>
      <c r="K3" s="9"/>
    </row>
    <row r="4" spans="1:15" x14ac:dyDescent="0.35">
      <c r="A4" s="13">
        <v>200</v>
      </c>
      <c r="B4" s="1" t="s">
        <v>1</v>
      </c>
      <c r="C4" s="2">
        <v>44473</v>
      </c>
      <c r="D4" s="4">
        <v>287.02999999999997</v>
      </c>
      <c r="E4" s="5">
        <v>34.270000000000003</v>
      </c>
      <c r="F4" s="5">
        <f t="shared" si="0"/>
        <v>9836.5180999999993</v>
      </c>
      <c r="H4" s="6">
        <f t="shared" si="1"/>
        <v>1204.6300000000001</v>
      </c>
      <c r="I4" s="6"/>
      <c r="J4" s="6"/>
      <c r="K4" s="9"/>
    </row>
    <row r="5" spans="1:15" x14ac:dyDescent="0.35">
      <c r="A5" s="1">
        <v>216</v>
      </c>
      <c r="B5" s="1" t="s">
        <v>1</v>
      </c>
      <c r="C5" s="2">
        <v>44720</v>
      </c>
      <c r="D5" s="4">
        <v>296.82</v>
      </c>
      <c r="E5" s="5">
        <v>33.909999999999997</v>
      </c>
      <c r="F5" s="5">
        <f t="shared" si="0"/>
        <v>10065.1662</v>
      </c>
      <c r="H5" s="6">
        <f t="shared" si="1"/>
        <v>907.81000000000017</v>
      </c>
      <c r="I5" s="6"/>
      <c r="K5" s="9"/>
    </row>
    <row r="6" spans="1:15" x14ac:dyDescent="0.35">
      <c r="A6" s="1">
        <v>1227</v>
      </c>
      <c r="B6" s="1" t="s">
        <v>1</v>
      </c>
      <c r="C6" s="2">
        <v>44831</v>
      </c>
      <c r="D6" s="4">
        <v>308.74</v>
      </c>
      <c r="E6" s="5">
        <v>32.26</v>
      </c>
      <c r="F6" s="5">
        <f t="shared" si="0"/>
        <v>9959.9524000000001</v>
      </c>
      <c r="H6" s="6">
        <f t="shared" si="1"/>
        <v>599.07000000000016</v>
      </c>
      <c r="I6" s="6"/>
      <c r="K6" s="9"/>
    </row>
    <row r="7" spans="1:15" x14ac:dyDescent="0.35">
      <c r="A7" s="1">
        <v>1247</v>
      </c>
      <c r="B7" s="1" t="s">
        <v>1</v>
      </c>
      <c r="C7" s="2">
        <v>45028</v>
      </c>
      <c r="D7" s="4">
        <v>172.46</v>
      </c>
      <c r="E7" s="5">
        <v>34.47</v>
      </c>
      <c r="F7" s="5">
        <f t="shared" si="0"/>
        <v>5944.6962000000003</v>
      </c>
      <c r="H7" s="6">
        <f t="shared" si="1"/>
        <v>426.61000000000013</v>
      </c>
      <c r="I7" s="6"/>
      <c r="K7" s="9"/>
    </row>
    <row r="8" spans="1:15" x14ac:dyDescent="0.35">
      <c r="A8" s="1">
        <v>1251</v>
      </c>
      <c r="B8" s="1" t="s">
        <v>2</v>
      </c>
      <c r="C8" s="2">
        <v>45054</v>
      </c>
      <c r="D8" s="4">
        <v>270</v>
      </c>
      <c r="E8" s="5">
        <v>34.29</v>
      </c>
      <c r="F8" s="5">
        <f t="shared" si="0"/>
        <v>9258.2999999999993</v>
      </c>
      <c r="H8" s="6">
        <f t="shared" si="1"/>
        <v>156.61000000000013</v>
      </c>
      <c r="I8" s="6"/>
      <c r="K8" s="9"/>
    </row>
    <row r="9" spans="1:15" x14ac:dyDescent="0.35">
      <c r="A9" s="1">
        <v>1273</v>
      </c>
      <c r="B9" s="1" t="s">
        <v>0</v>
      </c>
      <c r="C9" s="2">
        <v>45356</v>
      </c>
      <c r="D9" s="4">
        <v>266.58999999999997</v>
      </c>
      <c r="E9" s="5">
        <v>44.9208</v>
      </c>
      <c r="F9" s="5">
        <f t="shared" si="0"/>
        <v>11975.436071999999</v>
      </c>
      <c r="H9" s="6">
        <f>H8+D9</f>
        <v>423.2000000000001</v>
      </c>
      <c r="I9" s="6"/>
      <c r="J9" s="6">
        <f>D9</f>
        <v>266.58999999999997</v>
      </c>
      <c r="K9" s="9">
        <f>J9*E$12-F9</f>
        <v>428.99662800000078</v>
      </c>
    </row>
    <row r="10" spans="1:15" x14ac:dyDescent="0.35">
      <c r="A10" s="1">
        <v>1275</v>
      </c>
      <c r="B10" s="1" t="s">
        <v>0</v>
      </c>
      <c r="C10" s="2">
        <v>45478</v>
      </c>
      <c r="D10" s="4">
        <v>301.27</v>
      </c>
      <c r="E10" s="5">
        <v>49.440100000000001</v>
      </c>
      <c r="F10" s="5">
        <f t="shared" si="0"/>
        <v>14894.818927</v>
      </c>
      <c r="H10" s="6">
        <f>H9+D10</f>
        <v>724.47</v>
      </c>
      <c r="I10" s="6"/>
      <c r="J10" s="6">
        <f>D10</f>
        <v>301.27</v>
      </c>
      <c r="K10" s="9">
        <f>J10*E$12-F10</f>
        <v>-876.72582700000021</v>
      </c>
    </row>
    <row r="11" spans="1:15" x14ac:dyDescent="0.35">
      <c r="A11" s="1">
        <v>1279</v>
      </c>
      <c r="B11" s="1" t="s">
        <v>1</v>
      </c>
      <c r="C11" s="2">
        <v>45495</v>
      </c>
      <c r="D11" s="4">
        <v>20</v>
      </c>
      <c r="E11" s="5">
        <v>48.8</v>
      </c>
      <c r="F11" s="5">
        <f t="shared" si="0"/>
        <v>976</v>
      </c>
      <c r="H11" s="6">
        <f>H10-D11</f>
        <v>704.47</v>
      </c>
      <c r="I11" s="6"/>
      <c r="K11" s="9"/>
    </row>
    <row r="12" spans="1:15" x14ac:dyDescent="0.35">
      <c r="B12" s="1" t="s">
        <v>5</v>
      </c>
      <c r="D12" s="6">
        <f>H11</f>
        <v>704.47</v>
      </c>
      <c r="E12" s="3">
        <v>46.53</v>
      </c>
      <c r="F12" s="3">
        <f>D12*E12</f>
        <v>32778.989099999999</v>
      </c>
      <c r="J12" s="8">
        <f>SUM(J2:J11)</f>
        <v>704.47</v>
      </c>
      <c r="K12" s="10"/>
    </row>
    <row r="13" spans="1:15" x14ac:dyDescent="0.35">
      <c r="K13" s="10">
        <f>SUM(K2:K12)</f>
        <v>31602.735601</v>
      </c>
    </row>
    <row r="14" spans="1:15" x14ac:dyDescent="0.35">
      <c r="F14" s="23"/>
      <c r="H14" s="6"/>
    </row>
    <row r="15" spans="1:15" x14ac:dyDescent="0.35">
      <c r="F15" s="23"/>
      <c r="H15" s="6"/>
    </row>
    <row r="16" spans="1:15" x14ac:dyDescent="0.35">
      <c r="F16" s="23"/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4A09A-6995-4A51-B06E-3C696F0ABD52}">
  <dimension ref="A1:T36"/>
  <sheetViews>
    <sheetView zoomScale="115" zoomScaleNormal="115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I16" sqref="I16"/>
    </sheetView>
  </sheetViews>
  <sheetFormatPr defaultRowHeight="14.5" x14ac:dyDescent="0.35"/>
  <cols>
    <col min="1" max="1" width="6.36328125" customWidth="1"/>
    <col min="2" max="2" width="4.81640625" bestFit="1" customWidth="1"/>
    <col min="3" max="3" width="11.90625" customWidth="1"/>
    <col min="4" max="4" width="10.81640625" customWidth="1"/>
    <col min="5" max="5" width="9.6328125" bestFit="1" customWidth="1"/>
    <col min="6" max="6" width="8.54296875" bestFit="1" customWidth="1"/>
    <col min="7" max="7" width="10.6328125" bestFit="1" customWidth="1"/>
    <col min="8" max="8" width="11.1796875" customWidth="1"/>
    <col min="9" max="11" width="8.81640625" customWidth="1"/>
    <col min="12" max="12" width="11.26953125" bestFit="1" customWidth="1"/>
    <col min="13" max="14" width="11.7265625" bestFit="1" customWidth="1"/>
    <col min="15" max="15" width="2.26953125" customWidth="1"/>
    <col min="16" max="16" width="11.26953125" bestFit="1" customWidth="1"/>
    <col min="17" max="18" width="10.36328125" customWidth="1"/>
    <col min="19" max="19" width="10.26953125" bestFit="1" customWidth="1"/>
    <col min="20" max="20" width="9" bestFit="1" customWidth="1"/>
  </cols>
  <sheetData>
    <row r="1" spans="1:20" ht="29" x14ac:dyDescent="0.35">
      <c r="A1" s="12" t="s">
        <v>10</v>
      </c>
      <c r="B1" s="12" t="s">
        <v>11</v>
      </c>
      <c r="C1" s="12" t="s">
        <v>12</v>
      </c>
      <c r="D1" s="11" t="s">
        <v>13</v>
      </c>
      <c r="E1" s="11" t="s">
        <v>14</v>
      </c>
      <c r="F1" s="12" t="s">
        <v>3</v>
      </c>
      <c r="G1" s="12" t="s">
        <v>15</v>
      </c>
      <c r="H1" s="11" t="s">
        <v>23</v>
      </c>
      <c r="I1" s="11" t="s">
        <v>24</v>
      </c>
      <c r="J1" s="7" t="s">
        <v>4</v>
      </c>
      <c r="K1" s="7" t="s">
        <v>25</v>
      </c>
      <c r="L1" s="20" t="s">
        <v>26</v>
      </c>
      <c r="M1" s="12" t="s">
        <v>16</v>
      </c>
      <c r="N1" s="12"/>
      <c r="O1" s="12"/>
      <c r="P1" s="12"/>
      <c r="Q1" s="12"/>
      <c r="R1" s="12"/>
    </row>
    <row r="2" spans="1:20" x14ac:dyDescent="0.35">
      <c r="A2" s="21">
        <v>15</v>
      </c>
      <c r="B2" s="21">
        <v>173</v>
      </c>
      <c r="C2" t="s">
        <v>20</v>
      </c>
      <c r="D2" s="14">
        <v>36841</v>
      </c>
      <c r="E2" s="14">
        <v>43525</v>
      </c>
      <c r="F2" s="15">
        <v>544.952</v>
      </c>
      <c r="G2" s="15">
        <v>544.95190000000002</v>
      </c>
      <c r="H2">
        <v>679.64009999999996</v>
      </c>
      <c r="I2">
        <v>679.64009999999996</v>
      </c>
      <c r="J2" s="5">
        <v>17.05</v>
      </c>
      <c r="K2" s="17">
        <v>22.9920399034783</v>
      </c>
      <c r="L2" s="9">
        <f>K2*I2</f>
        <v>15626.312299203981</v>
      </c>
      <c r="M2" s="17">
        <f>SUM(L3:L4)-L2</f>
        <v>3192.7077407960223</v>
      </c>
      <c r="N2" s="17">
        <f>M2+M5+M11</f>
        <v>29300.972118108191</v>
      </c>
      <c r="O2" s="15"/>
      <c r="P2" s="3"/>
      <c r="Q2" s="3"/>
      <c r="R2" s="3"/>
      <c r="S2" s="3"/>
      <c r="T2" s="6"/>
    </row>
    <row r="3" spans="1:20" x14ac:dyDescent="0.35">
      <c r="A3" t="s">
        <v>21</v>
      </c>
      <c r="B3" s="1">
        <v>198</v>
      </c>
      <c r="D3" s="2">
        <v>44470</v>
      </c>
      <c r="F3" s="4">
        <v>287.02999999999997</v>
      </c>
      <c r="G3" s="16">
        <f>F3</f>
        <v>287.02999999999997</v>
      </c>
      <c r="H3" s="16"/>
      <c r="I3" s="16"/>
      <c r="J3" s="16">
        <f>Moviments!E3</f>
        <v>34.770000000000003</v>
      </c>
      <c r="K3" s="16"/>
      <c r="L3" s="16">
        <f>G3*J3</f>
        <v>9980.0331000000006</v>
      </c>
      <c r="M3" s="16"/>
      <c r="O3" s="15"/>
      <c r="R3" s="6"/>
      <c r="T3" s="6"/>
    </row>
    <row r="4" spans="1:20" x14ac:dyDescent="0.35">
      <c r="A4" t="s">
        <v>21</v>
      </c>
      <c r="B4" s="1">
        <v>200</v>
      </c>
      <c r="D4" s="2">
        <v>44473</v>
      </c>
      <c r="F4" s="4">
        <v>287.02999999999997</v>
      </c>
      <c r="G4" s="16">
        <f>F2-G3</f>
        <v>257.92200000000003</v>
      </c>
      <c r="H4" s="16"/>
      <c r="I4" s="16"/>
      <c r="J4" s="16">
        <f>Moviments!E4</f>
        <v>34.270000000000003</v>
      </c>
      <c r="K4" s="16"/>
      <c r="L4" s="16">
        <f>G4*J4</f>
        <v>8838.9869400000025</v>
      </c>
      <c r="M4" s="16"/>
      <c r="O4" s="15"/>
      <c r="R4" s="6"/>
      <c r="T4" s="6">
        <f>SUM(G3:G4)</f>
        <v>544.952</v>
      </c>
    </row>
    <row r="5" spans="1:20" x14ac:dyDescent="0.35">
      <c r="A5" s="21">
        <v>16</v>
      </c>
      <c r="B5" s="21">
        <v>173</v>
      </c>
      <c r="C5" t="s">
        <v>17</v>
      </c>
      <c r="D5" s="14">
        <v>41166</v>
      </c>
      <c r="E5" s="14">
        <v>43525</v>
      </c>
      <c r="F5">
        <v>1065.5911000000001</v>
      </c>
      <c r="G5">
        <v>1065.5911000000001</v>
      </c>
      <c r="H5">
        <v>547.64509999999996</v>
      </c>
      <c r="I5" s="6">
        <f>H5</f>
        <v>547.64509999999996</v>
      </c>
      <c r="J5" s="5">
        <v>17.05</v>
      </c>
      <c r="K5" s="17">
        <v>18.259999998612201</v>
      </c>
      <c r="L5" s="9">
        <f>K5*I5</f>
        <v>9999.9995252399785</v>
      </c>
      <c r="M5" s="17">
        <f>SUM(L6:L10)-L5</f>
        <v>25830.046133760025</v>
      </c>
      <c r="N5" s="6">
        <f>+L2+L5+L11</f>
        <v>25743.69388189181</v>
      </c>
      <c r="O5" s="15"/>
      <c r="P5" s="3"/>
      <c r="Q5" s="3"/>
      <c r="R5" s="3"/>
      <c r="T5" s="6">
        <f>SUM(G6:G10)</f>
        <v>1065.5911000000001</v>
      </c>
    </row>
    <row r="6" spans="1:20" x14ac:dyDescent="0.35">
      <c r="A6" t="s">
        <v>21</v>
      </c>
      <c r="B6" s="1">
        <v>200</v>
      </c>
      <c r="E6" s="2">
        <v>44473</v>
      </c>
      <c r="F6" s="4">
        <v>287.02999999999997</v>
      </c>
      <c r="G6" s="16">
        <f>F6-G4</f>
        <v>29.107999999999947</v>
      </c>
      <c r="H6" s="16"/>
      <c r="I6" s="16"/>
      <c r="J6" s="16">
        <f>Moviments!E4</f>
        <v>34.270000000000003</v>
      </c>
      <c r="K6" s="16"/>
      <c r="L6" s="16">
        <f t="shared" ref="L6:L10" si="0">G6*J6</f>
        <v>997.53115999999829</v>
      </c>
      <c r="M6" s="16"/>
      <c r="N6" s="17"/>
      <c r="O6" s="15"/>
      <c r="R6" s="6"/>
      <c r="T6" s="6">
        <f>SUM(G12:G14)</f>
        <v>129.38609999999983</v>
      </c>
    </row>
    <row r="7" spans="1:20" x14ac:dyDescent="0.35">
      <c r="A7" t="s">
        <v>21</v>
      </c>
      <c r="B7" s="1">
        <v>216</v>
      </c>
      <c r="E7" s="2">
        <v>44720</v>
      </c>
      <c r="F7" s="4">
        <v>296.82</v>
      </c>
      <c r="G7" s="16">
        <f t="shared" ref="G7:G8" si="1">F7</f>
        <v>296.82</v>
      </c>
      <c r="H7" s="16"/>
      <c r="I7" s="16"/>
      <c r="J7" s="16">
        <f>Moviments!E5</f>
        <v>33.909999999999997</v>
      </c>
      <c r="K7" s="16"/>
      <c r="L7" s="16">
        <f t="shared" si="0"/>
        <v>10065.1662</v>
      </c>
      <c r="M7" s="16"/>
      <c r="N7" s="17"/>
      <c r="O7" s="15"/>
      <c r="R7" s="6"/>
      <c r="T7" s="6">
        <f>SUM(T5:T6)</f>
        <v>1194.9771999999998</v>
      </c>
    </row>
    <row r="8" spans="1:20" x14ac:dyDescent="0.35">
      <c r="A8" t="s">
        <v>21</v>
      </c>
      <c r="B8" s="1">
        <v>1227</v>
      </c>
      <c r="E8" s="2">
        <v>44831</v>
      </c>
      <c r="F8" s="4">
        <v>308.74</v>
      </c>
      <c r="G8" s="16">
        <f t="shared" si="1"/>
        <v>308.74</v>
      </c>
      <c r="H8" s="16"/>
      <c r="I8" s="16"/>
      <c r="J8" s="16">
        <f>Moviments!E6</f>
        <v>32.26</v>
      </c>
      <c r="K8" s="16"/>
      <c r="L8" s="16">
        <f t="shared" si="0"/>
        <v>9959.9524000000001</v>
      </c>
      <c r="M8" s="16"/>
      <c r="N8" s="17"/>
      <c r="O8" s="15"/>
      <c r="R8" s="6"/>
    </row>
    <row r="9" spans="1:20" x14ac:dyDescent="0.35">
      <c r="A9" t="s">
        <v>21</v>
      </c>
      <c r="B9" s="1">
        <v>1247</v>
      </c>
      <c r="E9" s="2">
        <v>45028</v>
      </c>
      <c r="F9" s="4">
        <v>172.46</v>
      </c>
      <c r="G9" s="16">
        <f>F9</f>
        <v>172.46</v>
      </c>
      <c r="H9" s="16"/>
      <c r="I9" s="16"/>
      <c r="J9" s="16">
        <f>Moviments!E7</f>
        <v>34.47</v>
      </c>
      <c r="K9" s="16"/>
      <c r="L9" s="16">
        <f t="shared" si="0"/>
        <v>5944.6962000000003</v>
      </c>
      <c r="M9" s="16"/>
      <c r="N9" s="17"/>
      <c r="O9" s="15"/>
      <c r="P9" s="6"/>
      <c r="R9" s="6"/>
    </row>
    <row r="10" spans="1:20" x14ac:dyDescent="0.35">
      <c r="A10" t="s">
        <v>22</v>
      </c>
      <c r="B10" s="1">
        <v>1251</v>
      </c>
      <c r="E10" s="2">
        <v>45054</v>
      </c>
      <c r="F10" s="4">
        <v>270</v>
      </c>
      <c r="G10" s="16">
        <f>F5-SUM(G6:G9)</f>
        <v>258.46310000000017</v>
      </c>
      <c r="H10" s="16"/>
      <c r="I10" s="16"/>
      <c r="J10" s="16">
        <f>Moviments!E8</f>
        <v>34.29</v>
      </c>
      <c r="K10" s="16"/>
      <c r="L10" s="16">
        <f t="shared" si="0"/>
        <v>8862.6996990000061</v>
      </c>
      <c r="M10" s="16"/>
      <c r="N10" s="17"/>
      <c r="O10" s="15"/>
      <c r="P10" s="6"/>
      <c r="R10" s="6"/>
    </row>
    <row r="11" spans="1:20" x14ac:dyDescent="0.35">
      <c r="A11" s="21">
        <v>17</v>
      </c>
      <c r="B11" s="21">
        <v>173</v>
      </c>
      <c r="C11" t="s">
        <v>17</v>
      </c>
      <c r="D11" s="14">
        <v>41377</v>
      </c>
      <c r="E11" s="14">
        <v>43525</v>
      </c>
      <c r="F11" s="15">
        <v>168.14699999999999</v>
      </c>
      <c r="G11" s="15">
        <v>168.14699999999999</v>
      </c>
      <c r="H11">
        <v>86.4482</v>
      </c>
      <c r="I11" s="15">
        <f>H11/G11*G12</f>
        <v>5.9313828886628102</v>
      </c>
      <c r="J11" s="5">
        <v>17.05</v>
      </c>
      <c r="K11" s="17">
        <v>19.7899983277443</v>
      </c>
      <c r="L11" s="9">
        <f>K11*I11</f>
        <v>117.38205744784817</v>
      </c>
      <c r="M11" s="15">
        <f>L12-L11</f>
        <v>278.21824355214608</v>
      </c>
      <c r="N11" s="17"/>
      <c r="O11" s="15"/>
      <c r="P11" s="3"/>
      <c r="Q11" s="3"/>
      <c r="R11" s="3"/>
      <c r="T11" s="6"/>
    </row>
    <row r="12" spans="1:20" x14ac:dyDescent="0.35">
      <c r="A12" t="s">
        <v>22</v>
      </c>
      <c r="B12" s="1">
        <v>1251</v>
      </c>
      <c r="E12" s="2">
        <v>45054</v>
      </c>
      <c r="F12" s="4">
        <v>270</v>
      </c>
      <c r="G12" s="16">
        <f>F12-G10</f>
        <v>11.536899999999832</v>
      </c>
      <c r="H12" s="24"/>
      <c r="I12" s="16"/>
      <c r="J12" s="16">
        <f>Moviments!E8</f>
        <v>34.29</v>
      </c>
      <c r="K12" s="16"/>
      <c r="L12" s="16">
        <f>G12*J12</f>
        <v>395.60030099999426</v>
      </c>
      <c r="M12" s="16"/>
      <c r="N12" s="17"/>
      <c r="O12" s="15"/>
      <c r="P12" s="6"/>
      <c r="R12" s="6"/>
    </row>
    <row r="13" spans="1:20" x14ac:dyDescent="0.35">
      <c r="A13">
        <v>16</v>
      </c>
      <c r="B13">
        <v>1275</v>
      </c>
      <c r="C13" t="s">
        <v>17</v>
      </c>
      <c r="D13" s="14">
        <v>41166</v>
      </c>
      <c r="E13" s="14">
        <v>45478</v>
      </c>
      <c r="F13" s="15">
        <v>97.849000000000004</v>
      </c>
      <c r="G13" s="15">
        <v>97.849199999999996</v>
      </c>
      <c r="H13">
        <v>88.633300000000006</v>
      </c>
      <c r="I13" s="15">
        <f>H13/G13*G14</f>
        <v>18.116305498665294</v>
      </c>
      <c r="J13" s="5">
        <v>49.440100000000001</v>
      </c>
      <c r="K13" s="17">
        <v>18.259999998612201</v>
      </c>
      <c r="L13" s="9">
        <f>K13*I13</f>
        <v>330.80373838048649</v>
      </c>
      <c r="M13" s="15">
        <f>L14-L13</f>
        <v>645.19626161951351</v>
      </c>
      <c r="N13" s="17">
        <f>M13</f>
        <v>645.19626161951351</v>
      </c>
      <c r="O13" s="15"/>
      <c r="P13" s="3"/>
      <c r="Q13" s="3"/>
      <c r="R13" s="3"/>
    </row>
    <row r="14" spans="1:20" x14ac:dyDescent="0.35">
      <c r="A14" t="s">
        <v>21</v>
      </c>
      <c r="B14" s="1">
        <v>1279</v>
      </c>
      <c r="E14" s="2">
        <v>45495</v>
      </c>
      <c r="F14" s="4">
        <v>20</v>
      </c>
      <c r="G14" s="16">
        <f>F14</f>
        <v>20</v>
      </c>
      <c r="H14" s="16"/>
      <c r="I14" s="16"/>
      <c r="J14" s="16">
        <f>Moviments!E11</f>
        <v>48.8</v>
      </c>
      <c r="K14" s="16"/>
      <c r="L14" s="16">
        <f>G14*J14</f>
        <v>976</v>
      </c>
      <c r="M14" s="16"/>
      <c r="N14" s="17"/>
      <c r="O14" s="15"/>
      <c r="P14" s="6"/>
      <c r="R14" s="6"/>
      <c r="S14" s="6"/>
    </row>
    <row r="15" spans="1:20" x14ac:dyDescent="0.35">
      <c r="A15">
        <v>17</v>
      </c>
      <c r="B15">
        <v>1273</v>
      </c>
      <c r="C15" t="s">
        <v>17</v>
      </c>
      <c r="D15" s="14">
        <v>41377</v>
      </c>
      <c r="E15" s="14">
        <v>45356</v>
      </c>
      <c r="F15" s="15">
        <v>238.36699999999999</v>
      </c>
      <c r="G15" s="15">
        <v>238.36680000000001</v>
      </c>
      <c r="H15" s="15"/>
      <c r="I15" s="15"/>
      <c r="J15" s="15"/>
      <c r="K15" s="15"/>
      <c r="L15" s="15"/>
      <c r="M15" s="15"/>
      <c r="N15" s="17"/>
      <c r="O15" s="15"/>
      <c r="P15" s="3"/>
      <c r="Q15" s="3"/>
      <c r="R15" s="3"/>
    </row>
    <row r="16" spans="1:20" x14ac:dyDescent="0.35">
      <c r="A16">
        <v>27</v>
      </c>
      <c r="B16">
        <v>1273</v>
      </c>
      <c r="C16" t="s">
        <v>18</v>
      </c>
      <c r="D16" s="14">
        <v>41521</v>
      </c>
      <c r="E16" s="14">
        <v>45356</v>
      </c>
      <c r="F16" s="15">
        <v>28.222999999999999</v>
      </c>
      <c r="G16" s="15">
        <v>28.223199999999999</v>
      </c>
      <c r="H16" s="15"/>
      <c r="I16" s="15"/>
      <c r="J16" s="15"/>
      <c r="K16" s="15"/>
      <c r="L16" s="15"/>
      <c r="M16" s="15">
        <f>L5/G5*G10+L11/G11*G12</f>
        <v>2433.5910391148232</v>
      </c>
      <c r="N16" s="17"/>
      <c r="O16" s="15"/>
      <c r="P16" s="3">
        <v>584.41</v>
      </c>
      <c r="Q16" s="3">
        <v>93.96</v>
      </c>
      <c r="R16" s="3">
        <v>1361.77</v>
      </c>
    </row>
    <row r="17" spans="1:18" x14ac:dyDescent="0.35">
      <c r="A17">
        <v>1253</v>
      </c>
      <c r="B17">
        <v>1275</v>
      </c>
      <c r="C17" t="s">
        <v>19</v>
      </c>
      <c r="D17" s="14">
        <v>45061</v>
      </c>
      <c r="E17" s="14">
        <v>45478</v>
      </c>
      <c r="F17" s="15">
        <v>20.558</v>
      </c>
      <c r="G17" s="15">
        <v>20.558299999999999</v>
      </c>
      <c r="H17" s="15"/>
      <c r="I17" s="15"/>
      <c r="J17" s="15"/>
      <c r="K17" s="15"/>
      <c r="L17" s="15"/>
      <c r="M17" s="15">
        <f>Moviments!F8-Simulació!M16</f>
        <v>6824.7089608851766</v>
      </c>
      <c r="N17" s="17"/>
      <c r="O17" s="15"/>
      <c r="P17" s="3">
        <v>-8.09</v>
      </c>
      <c r="Q17" s="3">
        <v>-24.47</v>
      </c>
      <c r="R17" s="3">
        <v>991.94</v>
      </c>
    </row>
    <row r="18" spans="1:18" x14ac:dyDescent="0.35">
      <c r="A18">
        <v>1254</v>
      </c>
      <c r="B18">
        <v>1275</v>
      </c>
      <c r="C18" t="s">
        <v>19</v>
      </c>
      <c r="D18" s="14">
        <v>45069</v>
      </c>
      <c r="E18" s="14">
        <v>45478</v>
      </c>
      <c r="F18" s="15">
        <v>182.863</v>
      </c>
      <c r="G18" s="15">
        <v>182.86250000000001</v>
      </c>
      <c r="H18" s="15"/>
      <c r="I18" s="15"/>
      <c r="J18" s="15"/>
      <c r="K18" s="15"/>
      <c r="L18" s="15"/>
      <c r="M18" s="15"/>
      <c r="N18" s="15"/>
      <c r="O18" s="15"/>
      <c r="P18" s="3">
        <v>-176.88</v>
      </c>
      <c r="Q18" s="3">
        <v>-217.62</v>
      </c>
      <c r="R18" s="3">
        <v>8823.1200000000008</v>
      </c>
    </row>
    <row r="19" spans="1:18" s="6" customFormat="1" x14ac:dyDescent="0.35">
      <c r="A19" s="8" t="s">
        <v>5</v>
      </c>
    </row>
    <row r="20" spans="1:18" x14ac:dyDescent="0.35">
      <c r="A20">
        <f>A2</f>
        <v>15</v>
      </c>
      <c r="B20">
        <f>B2</f>
        <v>173</v>
      </c>
      <c r="D20" s="14"/>
      <c r="E20" s="14"/>
      <c r="F20" s="15">
        <f>F2-G2</f>
        <v>9.9999999974897946E-5</v>
      </c>
      <c r="G20" s="15"/>
      <c r="H20" s="15"/>
      <c r="I20" s="15"/>
      <c r="J20" s="15"/>
      <c r="K20" s="15"/>
      <c r="L20" s="15"/>
      <c r="M20" s="15"/>
      <c r="N20" s="15"/>
      <c r="O20" s="15"/>
      <c r="P20" s="3"/>
      <c r="Q20" s="3"/>
      <c r="R20" s="3"/>
    </row>
    <row r="21" spans="1:18" ht="29" x14ac:dyDescent="0.35">
      <c r="A21">
        <f>A5</f>
        <v>16</v>
      </c>
      <c r="B21">
        <f>B5</f>
        <v>173</v>
      </c>
      <c r="D21" s="14"/>
      <c r="E21" s="14"/>
      <c r="F21" s="15">
        <f>F5-G5</f>
        <v>0</v>
      </c>
      <c r="G21" s="15"/>
      <c r="H21" s="15"/>
      <c r="I21" s="15"/>
      <c r="J21" s="15"/>
      <c r="K21" s="25" t="s">
        <v>28</v>
      </c>
      <c r="L21" s="26" t="s">
        <v>29</v>
      </c>
      <c r="M21" s="15" t="s">
        <v>30</v>
      </c>
      <c r="N21" s="15"/>
      <c r="O21" s="15"/>
      <c r="P21" s="3"/>
      <c r="Q21" s="3"/>
      <c r="R21" s="3"/>
    </row>
    <row r="22" spans="1:18" x14ac:dyDescent="0.35">
      <c r="A22">
        <f>A11</f>
        <v>17</v>
      </c>
      <c r="B22">
        <f>B11</f>
        <v>173</v>
      </c>
      <c r="F22" s="15">
        <f>G11-G12</f>
        <v>156.61010000000016</v>
      </c>
      <c r="G22" s="15"/>
      <c r="I22" s="15">
        <f>H11-I11</f>
        <v>80.51681711133719</v>
      </c>
      <c r="L22" s="17">
        <f>I22*K11</f>
        <v>1593.4276759886566</v>
      </c>
      <c r="M22" s="23">
        <f>F22*Moviments!E12</f>
        <v>7287.0679530000079</v>
      </c>
      <c r="N22" s="23">
        <f>M22-L22</f>
        <v>5693.6402770113509</v>
      </c>
    </row>
    <row r="23" spans="1:18" x14ac:dyDescent="0.35">
      <c r="A23" s="22" t="s">
        <v>27</v>
      </c>
      <c r="N23" s="23">
        <f>M11+M5+M2</f>
        <v>29300.972118108191</v>
      </c>
    </row>
    <row r="24" spans="1:18" x14ac:dyDescent="0.35">
      <c r="E24" s="7" t="s">
        <v>3</v>
      </c>
      <c r="F24" s="18" t="s">
        <v>23</v>
      </c>
      <c r="G24" s="19" t="s">
        <v>15</v>
      </c>
      <c r="H24" s="18" t="s">
        <v>24</v>
      </c>
      <c r="I24" s="7" t="s">
        <v>4</v>
      </c>
      <c r="J24" s="7" t="s">
        <v>25</v>
      </c>
      <c r="K24" s="19"/>
      <c r="L24" s="19"/>
      <c r="M24" s="19"/>
      <c r="N24" s="27">
        <f>+N22+N23</f>
        <v>34994.61239511954</v>
      </c>
      <c r="O24" s="19"/>
    </row>
    <row r="25" spans="1:18" x14ac:dyDescent="0.35">
      <c r="A25">
        <f>A2</f>
        <v>15</v>
      </c>
      <c r="B25">
        <f>B2</f>
        <v>173</v>
      </c>
      <c r="E25">
        <v>544.95190000000002</v>
      </c>
      <c r="F25">
        <v>679.64009999999996</v>
      </c>
      <c r="G25" s="6">
        <f>SUM(G3:G4)</f>
        <v>544.952</v>
      </c>
      <c r="H25" s="15">
        <f>F25/E25*G25</f>
        <v>679.64022471561248</v>
      </c>
      <c r="I25" s="5">
        <v>17.05</v>
      </c>
      <c r="J25" s="17">
        <v>22.9920399034783</v>
      </c>
      <c r="K25" s="6"/>
      <c r="L25" s="6"/>
      <c r="M25" s="6"/>
      <c r="N25" s="6"/>
      <c r="O25" s="6"/>
    </row>
    <row r="26" spans="1:18" x14ac:dyDescent="0.35">
      <c r="A26">
        <f>A5</f>
        <v>16</v>
      </c>
      <c r="B26">
        <f>B5</f>
        <v>173</v>
      </c>
      <c r="E26">
        <v>1065.5911000000001</v>
      </c>
      <c r="F26">
        <v>547.64509999999996</v>
      </c>
      <c r="G26" s="6">
        <f>SUM(G6:G10)</f>
        <v>1065.5911000000001</v>
      </c>
      <c r="H26" s="15">
        <f>F26/E26*G26</f>
        <v>547.64509999999996</v>
      </c>
      <c r="I26" s="5">
        <v>17.05</v>
      </c>
      <c r="J26" s="17">
        <v>18.259999998612201</v>
      </c>
      <c r="K26" s="6"/>
      <c r="L26" s="6"/>
      <c r="M26" s="6"/>
      <c r="N26" s="6"/>
      <c r="O26" s="6"/>
    </row>
    <row r="27" spans="1:18" x14ac:dyDescent="0.35">
      <c r="A27">
        <f>A11</f>
        <v>17</v>
      </c>
      <c r="B27">
        <f>B11</f>
        <v>173</v>
      </c>
      <c r="E27">
        <v>168.14699999999999</v>
      </c>
      <c r="F27">
        <v>86.4482</v>
      </c>
      <c r="G27" s="6">
        <f>+G12</f>
        <v>11.536899999999832</v>
      </c>
      <c r="H27" s="15">
        <f>F27/E27*G27</f>
        <v>5.9313828886628102</v>
      </c>
      <c r="I27" s="5">
        <v>17.05</v>
      </c>
      <c r="J27" s="17">
        <v>19.7899983277443</v>
      </c>
      <c r="K27" s="6"/>
      <c r="L27" s="6"/>
      <c r="M27" s="6"/>
      <c r="N27" s="6"/>
      <c r="O27" s="6"/>
    </row>
    <row r="28" spans="1:18" x14ac:dyDescent="0.35">
      <c r="A28">
        <f>A13</f>
        <v>16</v>
      </c>
      <c r="B28">
        <f>B13</f>
        <v>1275</v>
      </c>
      <c r="E28">
        <v>97.849199999999996</v>
      </c>
      <c r="F28">
        <v>88.633300000000006</v>
      </c>
      <c r="G28" s="6">
        <f>+G14</f>
        <v>20</v>
      </c>
      <c r="H28" s="15">
        <f>F28/E28*G28</f>
        <v>18.116305498665294</v>
      </c>
      <c r="I28" s="5">
        <v>49.440100000000001</v>
      </c>
      <c r="J28" s="17">
        <v>18.259999998612201</v>
      </c>
      <c r="K28" s="6"/>
      <c r="L28" s="6"/>
      <c r="M28" s="6"/>
      <c r="N28" s="6"/>
      <c r="O28" s="6"/>
    </row>
    <row r="29" spans="1:18" x14ac:dyDescent="0.35">
      <c r="G29" s="6"/>
      <c r="H29" s="6"/>
      <c r="I29" s="6"/>
      <c r="J29" s="6"/>
      <c r="K29" s="6"/>
      <c r="L29" s="6"/>
      <c r="M29" s="6"/>
      <c r="N29" s="6"/>
      <c r="O29" s="6"/>
    </row>
    <row r="30" spans="1:18" x14ac:dyDescent="0.35">
      <c r="A30" t="s">
        <v>5</v>
      </c>
      <c r="E30" s="22" t="s">
        <v>3</v>
      </c>
      <c r="F30" s="22" t="s">
        <v>32</v>
      </c>
      <c r="G30" s="22" t="s">
        <v>26</v>
      </c>
      <c r="H30" s="22" t="s">
        <v>31</v>
      </c>
    </row>
    <row r="31" spans="1:18" x14ac:dyDescent="0.35">
      <c r="A31">
        <f>A25</f>
        <v>15</v>
      </c>
      <c r="B31">
        <f>B25</f>
        <v>173</v>
      </c>
      <c r="E31">
        <v>0</v>
      </c>
      <c r="G31" s="9">
        <v>0</v>
      </c>
    </row>
    <row r="32" spans="1:18" x14ac:dyDescent="0.35">
      <c r="A32">
        <f t="shared" ref="A32:B32" si="2">A26</f>
        <v>16</v>
      </c>
      <c r="B32">
        <f t="shared" si="2"/>
        <v>173</v>
      </c>
      <c r="E32">
        <v>0</v>
      </c>
      <c r="G32" s="9">
        <v>0</v>
      </c>
    </row>
    <row r="33" spans="1:9" x14ac:dyDescent="0.35">
      <c r="A33">
        <f t="shared" ref="A33:B33" si="3">A27</f>
        <v>17</v>
      </c>
      <c r="B33">
        <f t="shared" si="3"/>
        <v>173</v>
      </c>
      <c r="E33" s="15">
        <f>F11-G12</f>
        <v>156.61010000000016</v>
      </c>
      <c r="F33">
        <f>F27/E27*E33</f>
        <v>80.51681711133719</v>
      </c>
      <c r="G33" s="9">
        <f>H27*J27</f>
        <v>117.38205744784817</v>
      </c>
      <c r="H33" s="3">
        <f>E33*I35</f>
        <v>7287.0679530000079</v>
      </c>
    </row>
    <row r="34" spans="1:9" x14ac:dyDescent="0.35">
      <c r="A34">
        <f t="shared" ref="A34:B34" si="4">A28</f>
        <v>16</v>
      </c>
      <c r="B34">
        <f t="shared" si="4"/>
        <v>1275</v>
      </c>
      <c r="E34" s="15">
        <f>F13-G14</f>
        <v>77.849000000000004</v>
      </c>
      <c r="F34">
        <f>F28/E28*E34</f>
        <v>70.516813338279732</v>
      </c>
      <c r="G34" s="9">
        <f>H28*J28</f>
        <v>330.80373838048649</v>
      </c>
      <c r="H34" s="3">
        <f>E34*I35</f>
        <v>3622.3139700000002</v>
      </c>
    </row>
    <row r="35" spans="1:9" x14ac:dyDescent="0.35">
      <c r="G35" s="10">
        <f>SUM(G31:G34)</f>
        <v>448.18579582833468</v>
      </c>
      <c r="H35" s="28">
        <f>SUM(H33:H34)</f>
        <v>10909.381923000008</v>
      </c>
      <c r="I35" s="28">
        <f>Moviments!E12</f>
        <v>46.53</v>
      </c>
    </row>
    <row r="36" spans="1:9" x14ac:dyDescent="0.35">
      <c r="H36" s="10">
        <f>+H35-G35</f>
        <v>10461.196127171674</v>
      </c>
    </row>
  </sheetData>
  <sortState xmlns:xlrd2="http://schemas.microsoft.com/office/spreadsheetml/2017/richdata2" ref="A2:R18">
    <sortCondition ref="D2:D18"/>
  </sortState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Moviments</vt:lpstr>
      <vt:lpstr>Simulació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2024-09-08T00:52:54Z</dcterms:created>
  <dcterms:modified xsi:type="dcterms:W3CDTF">2024-09-10T06:05:19Z</dcterms:modified>
</cp:coreProperties>
</file>