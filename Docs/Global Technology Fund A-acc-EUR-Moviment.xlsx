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positoris\C#\_Actiu\InversionsV2\Docs\"/>
    </mc:Choice>
  </mc:AlternateContent>
  <xr:revisionPtr revIDLastSave="0" documentId="13_ncr:1_{6CAD4C5B-9449-4C9B-8027-33B664BDA7D9}" xr6:coauthVersionLast="47" xr6:coauthVersionMax="47" xr10:uidLastSave="{00000000-0000-0000-0000-000000000000}"/>
  <bookViews>
    <workbookView xWindow="-110" yWindow="-110" windowWidth="19420" windowHeight="10420" activeTab="2" xr2:uid="{BBEA0039-8FB1-4B67-9ED2-8CEE43EB059B}"/>
  </bookViews>
  <sheets>
    <sheet name="Moviments" sheetId="1" r:id="rId1"/>
    <sheet name="Orig" sheetId="2" r:id="rId2"/>
    <sheet name="Orig Vendes Real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3" i="3" l="1"/>
  <c r="Q2" i="3"/>
  <c r="R2" i="3"/>
  <c r="O19" i="3"/>
  <c r="O18" i="3"/>
  <c r="K18" i="3"/>
  <c r="J18" i="3"/>
  <c r="Q18" i="3" s="1"/>
  <c r="O17" i="3"/>
  <c r="K17" i="3"/>
  <c r="L17" i="3" s="1"/>
  <c r="M17" i="3" s="1"/>
  <c r="J17" i="3"/>
  <c r="Q17" i="3" s="1"/>
  <c r="O16" i="3"/>
  <c r="K16" i="3"/>
  <c r="J16" i="3"/>
  <c r="Q16" i="3" s="1"/>
  <c r="Q15" i="3"/>
  <c r="O15" i="3"/>
  <c r="K15" i="3"/>
  <c r="L15" i="3" s="1"/>
  <c r="M15" i="3" s="1"/>
  <c r="N15" i="3" s="1"/>
  <c r="J15" i="3"/>
  <c r="O14" i="3"/>
  <c r="H14" i="3"/>
  <c r="H13" i="3"/>
  <c r="K13" i="3" s="1"/>
  <c r="O12" i="3"/>
  <c r="O10" i="3"/>
  <c r="O9" i="3"/>
  <c r="H9" i="3"/>
  <c r="O8" i="3"/>
  <c r="H8" i="3"/>
  <c r="O7" i="3"/>
  <c r="H7" i="3"/>
  <c r="O6" i="3"/>
  <c r="O4" i="3"/>
  <c r="O3" i="3"/>
  <c r="H3" i="3"/>
  <c r="D28" i="2"/>
  <c r="E28" i="2" s="1"/>
  <c r="E24" i="2"/>
  <c r="E23" i="2"/>
  <c r="E25" i="2" s="1"/>
  <c r="E30" i="2" s="1"/>
  <c r="D24" i="2"/>
  <c r="D23" i="2"/>
  <c r="R19" i="2"/>
  <c r="K13" i="1"/>
  <c r="L13" i="1"/>
  <c r="M13" i="1"/>
  <c r="M10" i="1"/>
  <c r="M9" i="1"/>
  <c r="L10" i="1"/>
  <c r="L9" i="1"/>
  <c r="M2" i="1"/>
  <c r="L2" i="1"/>
  <c r="K2" i="1"/>
  <c r="J16" i="2"/>
  <c r="Q16" i="2" s="1"/>
  <c r="J17" i="2"/>
  <c r="Q17" i="2" s="1"/>
  <c r="J18" i="2"/>
  <c r="Q18" i="2" s="1"/>
  <c r="J15" i="2"/>
  <c r="Q15" i="2" s="1"/>
  <c r="O18" i="2"/>
  <c r="O17" i="2"/>
  <c r="O16" i="2"/>
  <c r="O15" i="2"/>
  <c r="O19" i="2"/>
  <c r="K15" i="2"/>
  <c r="L15" i="2" s="1"/>
  <c r="M15" i="2" s="1"/>
  <c r="K16" i="2"/>
  <c r="L16" i="2" s="1"/>
  <c r="M16" i="2" s="1"/>
  <c r="K17" i="2"/>
  <c r="L17" i="2" s="1"/>
  <c r="M17" i="2" s="1"/>
  <c r="K18" i="2"/>
  <c r="L18" i="2" s="1"/>
  <c r="M18" i="2" s="1"/>
  <c r="N17" i="3" l="1"/>
  <c r="L13" i="3"/>
  <c r="M13" i="3" s="1"/>
  <c r="N13" i="3" s="1"/>
  <c r="Q13" i="3"/>
  <c r="R13" i="3" s="1"/>
  <c r="L18" i="3"/>
  <c r="M18" i="3" s="1"/>
  <c r="N18" i="3" s="1"/>
  <c r="H4" i="3"/>
  <c r="H2" i="3" s="1"/>
  <c r="K2" i="3" s="1"/>
  <c r="L16" i="3"/>
  <c r="M16" i="3" s="1"/>
  <c r="N16" i="3" s="1"/>
  <c r="N18" i="2"/>
  <c r="N15" i="2"/>
  <c r="N16" i="2"/>
  <c r="N17" i="2"/>
  <c r="Q2" i="2"/>
  <c r="O14" i="2"/>
  <c r="O12" i="2"/>
  <c r="O9" i="2"/>
  <c r="O10" i="2"/>
  <c r="O8" i="2"/>
  <c r="O7" i="2"/>
  <c r="O6" i="2"/>
  <c r="O4" i="2"/>
  <c r="O3" i="2"/>
  <c r="J5" i="2"/>
  <c r="Q5" i="2" s="1"/>
  <c r="H14" i="2"/>
  <c r="H13" i="2" s="1"/>
  <c r="H9" i="2"/>
  <c r="H7" i="2"/>
  <c r="H8" i="2"/>
  <c r="H3" i="2"/>
  <c r="F3" i="1"/>
  <c r="F4" i="1"/>
  <c r="F5" i="1"/>
  <c r="F6" i="1"/>
  <c r="F7" i="1"/>
  <c r="F8" i="1"/>
  <c r="F9" i="1"/>
  <c r="F10" i="1"/>
  <c r="F11" i="1"/>
  <c r="F2" i="1"/>
  <c r="I2" i="1"/>
  <c r="J10" i="1"/>
  <c r="J9" i="1"/>
  <c r="H2" i="1"/>
  <c r="H3" i="1" s="1"/>
  <c r="H4" i="1" s="1"/>
  <c r="H5" i="1" s="1"/>
  <c r="H6" i="1" s="1"/>
  <c r="H7" i="1" s="1"/>
  <c r="H8" i="1" s="1"/>
  <c r="H9" i="1" s="1"/>
  <c r="H10" i="1" s="1"/>
  <c r="L2" i="3" l="1"/>
  <c r="M2" i="3" s="1"/>
  <c r="H6" i="3"/>
  <c r="J2" i="1"/>
  <c r="J12" i="1" s="1"/>
  <c r="H4" i="2"/>
  <c r="H6" i="2" s="1"/>
  <c r="Q6" i="2" s="1"/>
  <c r="J13" i="2"/>
  <c r="K13" i="2"/>
  <c r="Q9" i="2"/>
  <c r="Q8" i="2"/>
  <c r="Q7" i="2"/>
  <c r="Q3" i="2"/>
  <c r="Q14" i="2"/>
  <c r="H11" i="1"/>
  <c r="D12" i="1" s="1"/>
  <c r="H10" i="3" l="1"/>
  <c r="J10" i="3" s="1"/>
  <c r="J5" i="3" s="1"/>
  <c r="Q5" i="3" s="1"/>
  <c r="N2" i="3"/>
  <c r="F12" i="1"/>
  <c r="L13" i="2"/>
  <c r="M13" i="2" s="1"/>
  <c r="N13" i="2" s="1"/>
  <c r="H10" i="2"/>
  <c r="H12" i="2" s="1"/>
  <c r="H11" i="2" s="1"/>
  <c r="Q4" i="2"/>
  <c r="R2" i="2" s="1"/>
  <c r="H2" i="2"/>
  <c r="K2" i="2" s="1"/>
  <c r="Q13" i="2"/>
  <c r="H5" i="3" l="1"/>
  <c r="K5" i="3" s="1"/>
  <c r="D23" i="3"/>
  <c r="E23" i="3" s="1"/>
  <c r="H12" i="3"/>
  <c r="J12" i="3" s="1"/>
  <c r="J11" i="3" s="1"/>
  <c r="Q11" i="3" s="1"/>
  <c r="Q10" i="3"/>
  <c r="R5" i="3"/>
  <c r="L2" i="2"/>
  <c r="M2" i="2" s="1"/>
  <c r="N2" i="2" s="1"/>
  <c r="R13" i="2"/>
  <c r="H5" i="2"/>
  <c r="Q10" i="2"/>
  <c r="R5" i="2" s="1"/>
  <c r="K11" i="2"/>
  <c r="J11" i="2"/>
  <c r="Q12" i="2"/>
  <c r="L5" i="3" l="1"/>
  <c r="M5" i="3" s="1"/>
  <c r="H11" i="3"/>
  <c r="D24" i="3"/>
  <c r="E24" i="3" s="1"/>
  <c r="E25" i="3" s="1"/>
  <c r="Q12" i="3"/>
  <c r="R11" i="3" s="1"/>
  <c r="K5" i="2"/>
  <c r="K19" i="2" s="1"/>
  <c r="L11" i="2"/>
  <c r="M11" i="2" s="1"/>
  <c r="N11" i="2" s="1"/>
  <c r="Q11" i="2"/>
  <c r="K11" i="3" l="1"/>
  <c r="N5" i="3"/>
  <c r="L5" i="2"/>
  <c r="M5" i="2" s="1"/>
  <c r="M19" i="2" s="1"/>
  <c r="R11" i="2"/>
  <c r="M22" i="2" s="1"/>
  <c r="M22" i="3" l="1"/>
  <c r="R19" i="3"/>
  <c r="L11" i="3"/>
  <c r="M11" i="3" s="1"/>
  <c r="M19" i="3" s="1"/>
  <c r="K19" i="3"/>
  <c r="N5" i="2"/>
  <c r="N11" i="3" l="1"/>
  <c r="M23" i="2"/>
  <c r="M24" i="2" s="1"/>
  <c r="N19" i="2"/>
  <c r="N19" i="3" l="1"/>
  <c r="M23" i="3"/>
  <c r="M24" i="3" s="1"/>
</calcChain>
</file>

<file path=xl/sharedStrings.xml><?xml version="1.0" encoding="utf-8"?>
<sst xmlns="http://schemas.openxmlformats.org/spreadsheetml/2006/main" count="124" uniqueCount="49">
  <si>
    <t>Traspàs C</t>
  </si>
  <si>
    <t>Traspàs V</t>
  </si>
  <si>
    <t>Venda</t>
  </si>
  <si>
    <t>Parts</t>
  </si>
  <si>
    <t>PU</t>
  </si>
  <si>
    <t>En cartera</t>
  </si>
  <si>
    <t>Saldo Parts</t>
  </si>
  <si>
    <t>Venudes</t>
  </si>
  <si>
    <t>PiG</t>
  </si>
  <si>
    <t>Brut</t>
  </si>
  <si>
    <t>Id Orig</t>
  </si>
  <si>
    <t>Id</t>
  </si>
  <si>
    <t>Fons Orig</t>
  </si>
  <si>
    <t>Data Orig Compra</t>
  </si>
  <si>
    <t>Data Compra</t>
  </si>
  <si>
    <t>Parts Util</t>
  </si>
  <si>
    <t>Total Return N Acc €-H1</t>
  </si>
  <si>
    <t>Optimal Income A-H Grs Acc Hdg EUR</t>
  </si>
  <si>
    <t>Pictet-short-term Money Market Chf R</t>
  </si>
  <si>
    <t>Bolsa Tecnología y Telecomunicaciones FI</t>
  </si>
  <si>
    <t>VT</t>
  </si>
  <si>
    <t>V</t>
  </si>
  <si>
    <t>Parts Orig</t>
  </si>
  <si>
    <t>Parts Orig Ut</t>
  </si>
  <si>
    <t>PU Orig</t>
  </si>
  <si>
    <t>Import Orig</t>
  </si>
  <si>
    <t>Total</t>
  </si>
  <si>
    <t>Parts en cartera</t>
  </si>
  <si>
    <t>Parts orig en cartera</t>
  </si>
  <si>
    <t>Import orig en cartera</t>
  </si>
  <si>
    <t>PiG Orig en cartera</t>
  </si>
  <si>
    <t>Compra 173</t>
  </si>
  <si>
    <t>PiG vendes</t>
  </si>
  <si>
    <t>PiG Cartera</t>
  </si>
  <si>
    <t>Pig Origen venudes</t>
  </si>
  <si>
    <t>CT</t>
  </si>
  <si>
    <t>PiG venudes</t>
  </si>
  <si>
    <t>PiG cartera</t>
  </si>
  <si>
    <t>Pîg Total</t>
  </si>
  <si>
    <t>Totals ---&gt;</t>
  </si>
  <si>
    <t>Parts venudes</t>
  </si>
  <si>
    <t>Parts comp orig</t>
  </si>
  <si>
    <t>Imp venda</t>
  </si>
  <si>
    <t>Id Or</t>
  </si>
  <si>
    <t>Imp comp Orig</t>
  </si>
  <si>
    <t>Import Orig venda real</t>
  </si>
  <si>
    <t>Pig Origen venda real</t>
  </si>
  <si>
    <t>Venda 1251</t>
  </si>
  <si>
    <t>PiG vend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</si>
</sst>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#,##0.00\ &quot;€&quot;;[Red]\-#,##0.00\ &quot;€&quot;"/>
    <numFmt numFmtId="164" formatCode="#,##0.000"/>
    <numFmt numFmtId="165" formatCode="#,##0.000\ &quot;€&quot;;[Red]\-#,##0.000\ &quot;€&quot;"/>
    <numFmt numFmtId="166" formatCode="#,##0.00\ &quot;€&quot;"/>
    <numFmt numFmtId="167" formatCode="0.000"/>
    <numFmt numFmtId="168" formatCode="#,##0.00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165" fontId="0" fillId="0" borderId="0" xfId="0" applyNumberFormat="1" applyAlignment="1">
      <alignment vertical="center" wrapText="1"/>
    </xf>
    <xf numFmtId="164" fontId="0" fillId="0" borderId="0" xfId="0" applyNumberFormat="1"/>
    <xf numFmtId="0" fontId="1" fillId="0" borderId="0" xfId="0" applyFont="1" applyAlignment="1">
      <alignment horizontal="center"/>
    </xf>
    <xf numFmtId="164" fontId="1" fillId="0" borderId="0" xfId="0" applyNumberFormat="1" applyFont="1"/>
    <xf numFmtId="166" fontId="0" fillId="0" borderId="0" xfId="0" applyNumberFormat="1"/>
    <xf numFmtId="166" fontId="1" fillId="0" borderId="0" xfId="0" applyNumberFormat="1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vertical="center" wrapText="1"/>
    </xf>
    <xf numFmtId="164" fontId="0" fillId="2" borderId="0" xfId="0" applyNumberFormat="1" applyFill="1" applyAlignment="1">
      <alignment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/>
    <xf numFmtId="165" fontId="0" fillId="0" borderId="0" xfId="0" applyNumberFormat="1"/>
    <xf numFmtId="164" fontId="0" fillId="2" borderId="0" xfId="0" applyNumberFormat="1" applyFill="1"/>
    <xf numFmtId="8" fontId="1" fillId="0" borderId="0" xfId="0" applyNumberFormat="1" applyFont="1"/>
    <xf numFmtId="0" fontId="0" fillId="3" borderId="0" xfId="0" applyFill="1"/>
    <xf numFmtId="14" fontId="0" fillId="3" borderId="0" xfId="0" applyNumberFormat="1" applyFill="1"/>
    <xf numFmtId="167" fontId="0" fillId="3" borderId="0" xfId="0" applyNumberFormat="1" applyFill="1"/>
    <xf numFmtId="165" fontId="0" fillId="3" borderId="0" xfId="0" applyNumberFormat="1" applyFill="1" applyAlignment="1">
      <alignment vertical="center" wrapText="1"/>
    </xf>
    <xf numFmtId="168" fontId="0" fillId="3" borderId="0" xfId="0" applyNumberFormat="1" applyFill="1"/>
    <xf numFmtId="166" fontId="0" fillId="3" borderId="0" xfId="0" applyNumberFormat="1" applyFill="1"/>
    <xf numFmtId="164" fontId="0" fillId="3" borderId="0" xfId="0" applyNumberFormat="1" applyFill="1"/>
    <xf numFmtId="0" fontId="0" fillId="3" borderId="0" xfId="0" applyFill="1" applyAlignment="1">
      <alignment vertical="center" wrapText="1"/>
    </xf>
    <xf numFmtId="167" fontId="1" fillId="0" borderId="0" xfId="0" applyNumberFormat="1" applyFont="1"/>
    <xf numFmtId="168" fontId="1" fillId="0" borderId="0" xfId="0" applyNumberFormat="1" applyFont="1"/>
    <xf numFmtId="167" fontId="1" fillId="0" borderId="0" xfId="0" applyNumberFormat="1" applyFont="1" applyAlignment="1">
      <alignment horizontal="right"/>
    </xf>
    <xf numFmtId="164" fontId="1" fillId="0" borderId="1" xfId="0" applyNumberFormat="1" applyFont="1" applyBorder="1"/>
    <xf numFmtId="164" fontId="1" fillId="0" borderId="2" xfId="0" applyNumberFormat="1" applyFont="1" applyBorder="1"/>
    <xf numFmtId="167" fontId="1" fillId="0" borderId="3" xfId="0" applyNumberFormat="1" applyFont="1" applyBorder="1"/>
    <xf numFmtId="168" fontId="1" fillId="0" borderId="4" xfId="0" applyNumberFormat="1" applyFont="1" applyBorder="1"/>
    <xf numFmtId="0" fontId="0" fillId="2" borderId="0" xfId="0" applyFill="1"/>
    <xf numFmtId="14" fontId="0" fillId="2" borderId="0" xfId="0" applyNumberFormat="1" applyFill="1" applyAlignment="1">
      <alignment vertical="center" wrapText="1"/>
    </xf>
    <xf numFmtId="164" fontId="1" fillId="0" borderId="0" xfId="0" applyNumberFormat="1" applyFont="1" applyAlignment="1">
      <alignment horizontal="right"/>
    </xf>
    <xf numFmtId="167" fontId="1" fillId="0" borderId="1" xfId="0" applyNumberFormat="1" applyFont="1" applyBorder="1"/>
    <xf numFmtId="168" fontId="1" fillId="0" borderId="2" xfId="0" applyNumberFormat="1" applyFont="1" applyBorder="1"/>
    <xf numFmtId="0" fontId="1" fillId="0" borderId="0" xfId="0" applyFont="1" applyAlignment="1">
      <alignment horizontal="right"/>
    </xf>
    <xf numFmtId="0" fontId="1" fillId="0" borderId="0" xfId="0" applyFont="1" applyAlignment="1">
      <alignment vertical="center" wrapText="1"/>
    </xf>
    <xf numFmtId="164" fontId="0" fillId="0" borderId="7" xfId="0" applyNumberFormat="1" applyBorder="1"/>
    <xf numFmtId="164" fontId="1" fillId="0" borderId="8" xfId="0" applyNumberFormat="1" applyFont="1" applyBorder="1"/>
    <xf numFmtId="164" fontId="0" fillId="0" borderId="8" xfId="0" applyNumberFormat="1" applyBorder="1"/>
    <xf numFmtId="164" fontId="0" fillId="0" borderId="9" xfId="0" applyNumberFormat="1" applyBorder="1"/>
    <xf numFmtId="164" fontId="1" fillId="0" borderId="3" xfId="0" applyNumberFormat="1" applyFont="1" applyBorder="1"/>
    <xf numFmtId="164" fontId="0" fillId="0" borderId="4" xfId="0" applyNumberFormat="1" applyBorder="1"/>
    <xf numFmtId="3" fontId="0" fillId="0" borderId="3" xfId="0" applyNumberFormat="1" applyBorder="1"/>
    <xf numFmtId="168" fontId="0" fillId="0" borderId="0" xfId="0" applyNumberFormat="1"/>
    <xf numFmtId="0" fontId="0" fillId="0" borderId="5" xfId="0" applyBorder="1"/>
    <xf numFmtId="0" fontId="0" fillId="0" borderId="10" xfId="0" applyBorder="1"/>
    <xf numFmtId="168" fontId="1" fillId="0" borderId="10" xfId="0" applyNumberFormat="1" applyFont="1" applyBorder="1"/>
    <xf numFmtId="0" fontId="0" fillId="0" borderId="6" xfId="0" applyBorder="1"/>
    <xf numFmtId="164" fontId="0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E87D9-BA56-4DF1-93A3-863A6BECF042}">
  <dimension ref="A1:P16"/>
  <sheetViews>
    <sheetView topLeftCell="B1" zoomScale="145" zoomScaleNormal="145" workbookViewId="0">
      <pane ySplit="1" topLeftCell="A2" activePane="bottomLeft" state="frozen"/>
      <selection activeCell="B1" sqref="B1"/>
      <selection pane="bottomLeft" activeCell="D1" sqref="D1"/>
    </sheetView>
  </sheetViews>
  <sheetFormatPr defaultRowHeight="14.5" x14ac:dyDescent="0.35"/>
  <cols>
    <col min="1" max="1" width="5.08984375" customWidth="1"/>
    <col min="2" max="3" width="9.453125" customWidth="1"/>
    <col min="6" max="6" width="11.26953125" bestFit="1" customWidth="1"/>
    <col min="7" max="7" width="1.6328125" customWidth="1"/>
    <col min="8" max="8" width="10.08984375" bestFit="1" customWidth="1"/>
    <col min="9" max="9" width="9.26953125" customWidth="1"/>
    <col min="10" max="10" width="9.36328125" bestFit="1" customWidth="1"/>
    <col min="11" max="12" width="10.453125" bestFit="1" customWidth="1"/>
    <col min="13" max="13" width="10.26953125" bestFit="1" customWidth="1"/>
  </cols>
  <sheetData>
    <row r="1" spans="1:16" x14ac:dyDescent="0.35">
      <c r="A1" s="6"/>
      <c r="B1" s="6"/>
      <c r="C1" s="6"/>
      <c r="D1" s="6" t="s">
        <v>3</v>
      </c>
      <c r="E1" s="6" t="s">
        <v>4</v>
      </c>
      <c r="F1" s="6" t="s">
        <v>9</v>
      </c>
      <c r="G1" s="6"/>
      <c r="H1" s="6" t="s">
        <v>6</v>
      </c>
      <c r="I1" s="6" t="s">
        <v>7</v>
      </c>
      <c r="J1" s="6" t="s">
        <v>5</v>
      </c>
      <c r="K1" s="6" t="s">
        <v>36</v>
      </c>
      <c r="L1" s="6" t="s">
        <v>37</v>
      </c>
      <c r="M1" s="6" t="s">
        <v>38</v>
      </c>
      <c r="N1" s="6"/>
      <c r="O1" s="6"/>
      <c r="P1" s="6"/>
    </row>
    <row r="2" spans="1:16" x14ac:dyDescent="0.35">
      <c r="A2" s="1">
        <v>173</v>
      </c>
      <c r="B2" s="1" t="s">
        <v>0</v>
      </c>
      <c r="C2" s="2">
        <v>43525</v>
      </c>
      <c r="D2" s="3">
        <v>1778.69</v>
      </c>
      <c r="E2" s="4">
        <v>17.05</v>
      </c>
      <c r="F2" s="4">
        <f>D2*E2</f>
        <v>30326.664500000003</v>
      </c>
      <c r="H2" s="5">
        <f>D2</f>
        <v>1778.69</v>
      </c>
      <c r="I2" s="5">
        <f>SUM(D3:D8)+D11</f>
        <v>1642.08</v>
      </c>
      <c r="J2" s="5">
        <f>D2-I2</f>
        <v>136.61000000000013</v>
      </c>
      <c r="K2" s="8">
        <f>(SUM(F3:F8)+F11)-I2*E2</f>
        <v>28023.201999999997</v>
      </c>
      <c r="L2" s="8">
        <f>(E12-E2)*J2</f>
        <v>4027.2628000000036</v>
      </c>
      <c r="M2" s="8">
        <f>K2+L2</f>
        <v>32050.464800000002</v>
      </c>
    </row>
    <row r="3" spans="1:16" x14ac:dyDescent="0.35">
      <c r="A3" s="1">
        <v>198</v>
      </c>
      <c r="B3" s="1" t="s">
        <v>1</v>
      </c>
      <c r="C3" s="2">
        <v>44470</v>
      </c>
      <c r="D3" s="3">
        <v>287.02999999999997</v>
      </c>
      <c r="E3" s="4">
        <v>34.770000000000003</v>
      </c>
      <c r="F3" s="4">
        <f t="shared" ref="F3:F11" si="0">D3*E3</f>
        <v>9980.0331000000006</v>
      </c>
      <c r="H3" s="5">
        <f t="shared" ref="H3:H8" si="1">H2-D3</f>
        <v>1491.66</v>
      </c>
      <c r="I3" s="5"/>
      <c r="J3" s="5"/>
      <c r="K3" s="8"/>
      <c r="L3" s="8"/>
    </row>
    <row r="4" spans="1:16" x14ac:dyDescent="0.35">
      <c r="A4" s="1">
        <v>200</v>
      </c>
      <c r="B4" s="1" t="s">
        <v>1</v>
      </c>
      <c r="C4" s="2">
        <v>44473</v>
      </c>
      <c r="D4" s="3">
        <v>287.02999999999997</v>
      </c>
      <c r="E4" s="4">
        <v>34.270000000000003</v>
      </c>
      <c r="F4" s="4">
        <f t="shared" si="0"/>
        <v>9836.5180999999993</v>
      </c>
      <c r="H4" s="5">
        <f t="shared" si="1"/>
        <v>1204.6300000000001</v>
      </c>
      <c r="I4" s="5"/>
      <c r="J4" s="5"/>
      <c r="K4" s="8"/>
      <c r="L4" s="8"/>
    </row>
    <row r="5" spans="1:16" x14ac:dyDescent="0.35">
      <c r="A5" s="1">
        <v>216</v>
      </c>
      <c r="B5" s="1" t="s">
        <v>1</v>
      </c>
      <c r="C5" s="2">
        <v>44720</v>
      </c>
      <c r="D5" s="3">
        <v>296.82</v>
      </c>
      <c r="E5" s="4">
        <v>33.909999999999997</v>
      </c>
      <c r="F5" s="4">
        <f t="shared" si="0"/>
        <v>10065.1662</v>
      </c>
      <c r="H5" s="5">
        <f t="shared" si="1"/>
        <v>907.81000000000017</v>
      </c>
      <c r="I5" s="5"/>
      <c r="K5" s="8"/>
      <c r="L5" s="8"/>
    </row>
    <row r="6" spans="1:16" x14ac:dyDescent="0.35">
      <c r="A6" s="1">
        <v>1227</v>
      </c>
      <c r="B6" s="1" t="s">
        <v>1</v>
      </c>
      <c r="C6" s="2">
        <v>44831</v>
      </c>
      <c r="D6" s="3">
        <v>308.74</v>
      </c>
      <c r="E6" s="4">
        <v>32.26</v>
      </c>
      <c r="F6" s="4">
        <f t="shared" si="0"/>
        <v>9959.9524000000001</v>
      </c>
      <c r="H6" s="5">
        <f t="shared" si="1"/>
        <v>599.07000000000016</v>
      </c>
      <c r="I6" s="5"/>
      <c r="K6" s="8"/>
      <c r="L6" s="8"/>
    </row>
    <row r="7" spans="1:16" x14ac:dyDescent="0.35">
      <c r="A7" s="1">
        <v>1247</v>
      </c>
      <c r="B7" s="1" t="s">
        <v>1</v>
      </c>
      <c r="C7" s="2">
        <v>45028</v>
      </c>
      <c r="D7" s="3">
        <v>172.46</v>
      </c>
      <c r="E7" s="4">
        <v>34.47</v>
      </c>
      <c r="F7" s="4">
        <f t="shared" si="0"/>
        <v>5944.6962000000003</v>
      </c>
      <c r="H7" s="5">
        <f t="shared" si="1"/>
        <v>426.61000000000013</v>
      </c>
      <c r="I7" s="5"/>
      <c r="K7" s="8"/>
      <c r="L7" s="8"/>
    </row>
    <row r="8" spans="1:16" x14ac:dyDescent="0.35">
      <c r="A8" s="1">
        <v>1251</v>
      </c>
      <c r="B8" s="1" t="s">
        <v>2</v>
      </c>
      <c r="C8" s="2">
        <v>45054</v>
      </c>
      <c r="D8" s="3">
        <v>270</v>
      </c>
      <c r="E8" s="4">
        <v>34.29</v>
      </c>
      <c r="F8" s="4">
        <f t="shared" si="0"/>
        <v>9258.2999999999993</v>
      </c>
      <c r="H8" s="5">
        <f t="shared" si="1"/>
        <v>156.61000000000013</v>
      </c>
      <c r="I8" s="5"/>
      <c r="K8" s="8"/>
      <c r="L8" s="8"/>
    </row>
    <row r="9" spans="1:16" x14ac:dyDescent="0.35">
      <c r="A9" s="1">
        <v>1273</v>
      </c>
      <c r="B9" s="1" t="s">
        <v>0</v>
      </c>
      <c r="C9" s="2">
        <v>45356</v>
      </c>
      <c r="D9" s="3">
        <v>266.58999999999997</v>
      </c>
      <c r="E9" s="4">
        <v>44.9208</v>
      </c>
      <c r="F9" s="4">
        <f t="shared" si="0"/>
        <v>11975.436071999999</v>
      </c>
      <c r="H9" s="5">
        <f>H8+D9</f>
        <v>423.2000000000001</v>
      </c>
      <c r="I9" s="5"/>
      <c r="J9" s="5">
        <f>D9</f>
        <v>266.58999999999997</v>
      </c>
      <c r="K9" s="8">
        <v>0</v>
      </c>
      <c r="L9" s="8">
        <f>(E$12-E9)*D9</f>
        <v>428.99662800000033</v>
      </c>
      <c r="M9" s="8">
        <f>K9+L9</f>
        <v>428.99662800000033</v>
      </c>
    </row>
    <row r="10" spans="1:16" x14ac:dyDescent="0.35">
      <c r="A10" s="1">
        <v>1275</v>
      </c>
      <c r="B10" s="1" t="s">
        <v>0</v>
      </c>
      <c r="C10" s="2">
        <v>45478</v>
      </c>
      <c r="D10" s="3">
        <v>301.27</v>
      </c>
      <c r="E10" s="4">
        <v>49.440100000000001</v>
      </c>
      <c r="F10" s="4">
        <f t="shared" si="0"/>
        <v>14894.818927</v>
      </c>
      <c r="H10" s="5">
        <f>H9+D10</f>
        <v>724.47</v>
      </c>
      <c r="I10" s="5"/>
      <c r="J10" s="5">
        <f>D10</f>
        <v>301.27</v>
      </c>
      <c r="K10" s="8">
        <v>0</v>
      </c>
      <c r="L10" s="8">
        <f>(E$12-E10)*D10</f>
        <v>-876.72582699999987</v>
      </c>
      <c r="M10" s="8">
        <f>K10+L10</f>
        <v>-876.72582699999987</v>
      </c>
    </row>
    <row r="11" spans="1:16" x14ac:dyDescent="0.35">
      <c r="A11" s="1">
        <v>1279</v>
      </c>
      <c r="B11" s="1" t="s">
        <v>1</v>
      </c>
      <c r="C11" s="2">
        <v>45495</v>
      </c>
      <c r="D11" s="3">
        <v>20</v>
      </c>
      <c r="E11" s="4">
        <v>48.8</v>
      </c>
      <c r="F11" s="4">
        <f t="shared" si="0"/>
        <v>976</v>
      </c>
      <c r="H11" s="5">
        <f>H10-D11</f>
        <v>704.47</v>
      </c>
      <c r="I11" s="5"/>
      <c r="K11" s="8"/>
      <c r="L11" s="8"/>
    </row>
    <row r="12" spans="1:16" x14ac:dyDescent="0.35">
      <c r="B12" s="40" t="s">
        <v>5</v>
      </c>
      <c r="C12" s="15"/>
      <c r="D12" s="7">
        <f>H11</f>
        <v>704.47</v>
      </c>
      <c r="E12" s="18">
        <v>46.53</v>
      </c>
      <c r="F12" s="18">
        <f>D12*E12</f>
        <v>32778.989099999999</v>
      </c>
      <c r="J12" s="7">
        <f>SUM(J2:J11)</f>
        <v>704.47</v>
      </c>
      <c r="K12" s="9"/>
      <c r="L12" s="9"/>
    </row>
    <row r="13" spans="1:16" x14ac:dyDescent="0.35">
      <c r="J13" s="39" t="s">
        <v>39</v>
      </c>
      <c r="K13" s="9">
        <f>SUM(K2:K12)</f>
        <v>28023.201999999997</v>
      </c>
      <c r="L13" s="9">
        <f>SUM(L2:L12)</f>
        <v>3579.5336010000042</v>
      </c>
      <c r="M13" s="9">
        <f>SUM(M2:M12)</f>
        <v>31602.735601000004</v>
      </c>
    </row>
    <row r="14" spans="1:16" x14ac:dyDescent="0.35">
      <c r="F14" s="16"/>
      <c r="H14" s="5"/>
    </row>
    <row r="15" spans="1:16" x14ac:dyDescent="0.35">
      <c r="F15" s="16"/>
      <c r="H15" s="5"/>
    </row>
    <row r="16" spans="1:16" x14ac:dyDescent="0.35">
      <c r="F16" s="16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4A09A-6995-4A51-B06E-3C696F0ABD52}">
  <dimension ref="A1:R30"/>
  <sheetViews>
    <sheetView zoomScaleNormal="100" workbookViewId="0">
      <pane xSplit="3" ySplit="1" topLeftCell="D14" activePane="bottomRight" state="frozen"/>
      <selection pane="topRight" activeCell="C1" sqref="C1"/>
      <selection pane="bottomLeft" activeCell="A2" sqref="A2"/>
      <selection pane="bottomRight" activeCell="D22" sqref="D22"/>
    </sheetView>
  </sheetViews>
  <sheetFormatPr defaultRowHeight="14.5" x14ac:dyDescent="0.35"/>
  <cols>
    <col min="1" max="1" width="3.54296875" customWidth="1"/>
    <col min="2" max="2" width="4.90625" customWidth="1"/>
    <col min="3" max="3" width="4.81640625" bestFit="1" customWidth="1"/>
    <col min="4" max="4" width="14.1796875" customWidth="1"/>
    <col min="5" max="5" width="10.453125" bestFit="1" customWidth="1"/>
    <col min="6" max="6" width="9.6328125" customWidth="1"/>
    <col min="7" max="7" width="8.54296875" bestFit="1" customWidth="1"/>
    <col min="8" max="8" width="10.6328125" bestFit="1" customWidth="1"/>
    <col min="9" max="9" width="7.6328125" customWidth="1"/>
    <col min="10" max="11" width="8.81640625" customWidth="1"/>
    <col min="12" max="12" width="10.453125" customWidth="1"/>
    <col min="13" max="14" width="11.453125" customWidth="1"/>
    <col min="15" max="16" width="8.81640625" customWidth="1"/>
    <col min="17" max="17" width="11.26953125" bestFit="1" customWidth="1"/>
    <col min="18" max="18" width="11.7265625" bestFit="1" customWidth="1"/>
  </cols>
  <sheetData>
    <row r="1" spans="1:18" ht="31.5" customHeight="1" x14ac:dyDescent="0.35">
      <c r="A1" s="10"/>
      <c r="B1" s="10" t="s">
        <v>10</v>
      </c>
      <c r="C1" s="11" t="s">
        <v>11</v>
      </c>
      <c r="D1" s="10" t="s">
        <v>12</v>
      </c>
      <c r="E1" s="10" t="s">
        <v>13</v>
      </c>
      <c r="F1" s="10" t="s">
        <v>14</v>
      </c>
      <c r="G1" s="11" t="s">
        <v>3</v>
      </c>
      <c r="H1" s="11" t="s">
        <v>15</v>
      </c>
      <c r="I1" s="10" t="s">
        <v>22</v>
      </c>
      <c r="J1" s="10" t="s">
        <v>23</v>
      </c>
      <c r="K1" s="10" t="s">
        <v>27</v>
      </c>
      <c r="L1" s="10" t="s">
        <v>28</v>
      </c>
      <c r="M1" s="10" t="s">
        <v>29</v>
      </c>
      <c r="N1" s="10" t="s">
        <v>30</v>
      </c>
      <c r="O1" s="6" t="s">
        <v>4</v>
      </c>
      <c r="P1" s="6" t="s">
        <v>24</v>
      </c>
      <c r="Q1" s="14" t="s">
        <v>25</v>
      </c>
      <c r="R1" s="10" t="s">
        <v>34</v>
      </c>
    </row>
    <row r="2" spans="1:18" x14ac:dyDescent="0.35">
      <c r="A2" s="19" t="s">
        <v>35</v>
      </c>
      <c r="B2" s="19">
        <v>15</v>
      </c>
      <c r="C2" s="19">
        <v>173</v>
      </c>
      <c r="D2" s="19" t="s">
        <v>19</v>
      </c>
      <c r="E2" s="20">
        <v>36841</v>
      </c>
      <c r="F2" s="20">
        <v>43525</v>
      </c>
      <c r="G2" s="21">
        <v>544.952</v>
      </c>
      <c r="H2" s="21">
        <f>SUM(H3:H4)</f>
        <v>544.952</v>
      </c>
      <c r="I2" s="19">
        <v>679.64009999999996</v>
      </c>
      <c r="J2" s="19">
        <v>679.64009999999996</v>
      </c>
      <c r="K2" s="25">
        <f t="shared" ref="K2" si="0">G2-H2</f>
        <v>0</v>
      </c>
      <c r="L2" s="25">
        <f>I2/G2*K2</f>
        <v>0</v>
      </c>
      <c r="M2" s="23">
        <f>L2*P2</f>
        <v>0</v>
      </c>
      <c r="N2" s="23">
        <f>K2*O$19-M2</f>
        <v>0</v>
      </c>
      <c r="O2" s="22">
        <v>17.05</v>
      </c>
      <c r="P2" s="23">
        <v>22.9920399034783</v>
      </c>
      <c r="Q2" s="24">
        <f>P2*J2</f>
        <v>15626.312299203981</v>
      </c>
      <c r="R2" s="23">
        <f>SUM(Q3:Q4)-Q2</f>
        <v>3192.7077407960223</v>
      </c>
    </row>
    <row r="3" spans="1:18" x14ac:dyDescent="0.35">
      <c r="A3" s="34" t="s">
        <v>20</v>
      </c>
      <c r="B3" s="34"/>
      <c r="C3" s="12">
        <v>198</v>
      </c>
      <c r="D3" s="34"/>
      <c r="E3" s="35">
        <v>44470</v>
      </c>
      <c r="F3" s="34"/>
      <c r="G3" s="13">
        <v>287.02999999999997</v>
      </c>
      <c r="H3" s="13">
        <f>G3</f>
        <v>287.02999999999997</v>
      </c>
      <c r="I3" s="13"/>
      <c r="J3" s="13"/>
      <c r="K3" s="13"/>
      <c r="L3" s="13"/>
      <c r="M3" s="13"/>
      <c r="N3" s="13"/>
      <c r="O3" s="13">
        <f>Moviments!E3</f>
        <v>34.770000000000003</v>
      </c>
      <c r="P3" s="13"/>
      <c r="Q3" s="13">
        <f>H3*O3</f>
        <v>9980.0331000000006</v>
      </c>
      <c r="R3" s="13"/>
    </row>
    <row r="4" spans="1:18" x14ac:dyDescent="0.35">
      <c r="A4" s="34" t="s">
        <v>20</v>
      </c>
      <c r="B4" s="34"/>
      <c r="C4" s="12">
        <v>200</v>
      </c>
      <c r="D4" s="34"/>
      <c r="E4" s="35">
        <v>44473</v>
      </c>
      <c r="F4" s="34"/>
      <c r="G4" s="13">
        <v>287.02999999999997</v>
      </c>
      <c r="H4" s="13">
        <f>G2-H3</f>
        <v>257.92200000000003</v>
      </c>
      <c r="I4" s="13"/>
      <c r="J4" s="13"/>
      <c r="K4" s="13"/>
      <c r="L4" s="13"/>
      <c r="M4" s="13"/>
      <c r="N4" s="13"/>
      <c r="O4" s="13">
        <f>Moviments!E4</f>
        <v>34.270000000000003</v>
      </c>
      <c r="P4" s="13"/>
      <c r="Q4" s="13">
        <f>H4*O4</f>
        <v>8838.9869400000025</v>
      </c>
      <c r="R4" s="13"/>
    </row>
    <row r="5" spans="1:18" x14ac:dyDescent="0.35">
      <c r="A5" s="19"/>
      <c r="B5" s="19">
        <v>16</v>
      </c>
      <c r="C5" s="19">
        <v>173</v>
      </c>
      <c r="D5" s="19" t="s">
        <v>16</v>
      </c>
      <c r="E5" s="20">
        <v>41166</v>
      </c>
      <c r="F5" s="20">
        <v>43525</v>
      </c>
      <c r="G5" s="19">
        <v>1065.5911000000001</v>
      </c>
      <c r="H5" s="25">
        <f>SUM(H6:H10)</f>
        <v>1065.5911000000001</v>
      </c>
      <c r="I5" s="19">
        <v>547.64509999999996</v>
      </c>
      <c r="J5" s="25">
        <f>I5</f>
        <v>547.64509999999996</v>
      </c>
      <c r="K5" s="25">
        <f t="shared" ref="K5" si="1">G5-H5</f>
        <v>0</v>
      </c>
      <c r="L5" s="25">
        <f>I5/G5*K5</f>
        <v>0</v>
      </c>
      <c r="M5" s="23">
        <f>L5*P5</f>
        <v>0</v>
      </c>
      <c r="N5" s="23">
        <f>K5*O$19-M5</f>
        <v>0</v>
      </c>
      <c r="O5" s="22">
        <v>17.05</v>
      </c>
      <c r="P5" s="23">
        <v>18.259999998612201</v>
      </c>
      <c r="Q5" s="24">
        <f>P5*J5</f>
        <v>9999.9995252399785</v>
      </c>
      <c r="R5" s="23">
        <f>SUM(Q6:Q10)-Q5</f>
        <v>25830.046133760025</v>
      </c>
    </row>
    <row r="6" spans="1:18" x14ac:dyDescent="0.35">
      <c r="A6" s="34" t="s">
        <v>20</v>
      </c>
      <c r="B6" s="34"/>
      <c r="C6" s="12">
        <v>200</v>
      </c>
      <c r="D6" s="34"/>
      <c r="E6" s="34"/>
      <c r="F6" s="35">
        <v>44473</v>
      </c>
      <c r="G6" s="13">
        <v>287.02999999999997</v>
      </c>
      <c r="H6" s="13">
        <f>G6-H4</f>
        <v>29.107999999999947</v>
      </c>
      <c r="I6" s="13"/>
      <c r="J6" s="13"/>
      <c r="K6" s="13"/>
      <c r="L6" s="13"/>
      <c r="M6" s="13"/>
      <c r="N6" s="13"/>
      <c r="O6" s="13">
        <f>Moviments!E4</f>
        <v>34.270000000000003</v>
      </c>
      <c r="P6" s="13"/>
      <c r="Q6" s="13">
        <f t="shared" ref="Q6:Q10" si="2">H6*O6</f>
        <v>997.53115999999829</v>
      </c>
      <c r="R6" s="13"/>
    </row>
    <row r="7" spans="1:18" x14ac:dyDescent="0.35">
      <c r="A7" s="34" t="s">
        <v>20</v>
      </c>
      <c r="B7" s="34"/>
      <c r="C7" s="12">
        <v>216</v>
      </c>
      <c r="D7" s="34"/>
      <c r="E7" s="34"/>
      <c r="F7" s="35">
        <v>44720</v>
      </c>
      <c r="G7" s="13">
        <v>296.82</v>
      </c>
      <c r="H7" s="13">
        <f t="shared" ref="H7:H8" si="3">G7</f>
        <v>296.82</v>
      </c>
      <c r="I7" s="13"/>
      <c r="J7" s="13"/>
      <c r="K7" s="13"/>
      <c r="L7" s="13"/>
      <c r="M7" s="13"/>
      <c r="N7" s="13"/>
      <c r="O7" s="13">
        <f>Moviments!E5</f>
        <v>33.909999999999997</v>
      </c>
      <c r="P7" s="13"/>
      <c r="Q7" s="13">
        <f t="shared" si="2"/>
        <v>10065.1662</v>
      </c>
      <c r="R7" s="13"/>
    </row>
    <row r="8" spans="1:18" x14ac:dyDescent="0.35">
      <c r="A8" s="34" t="s">
        <v>20</v>
      </c>
      <c r="B8" s="34"/>
      <c r="C8" s="12">
        <v>1227</v>
      </c>
      <c r="D8" s="34"/>
      <c r="E8" s="34"/>
      <c r="F8" s="35">
        <v>44831</v>
      </c>
      <c r="G8" s="13">
        <v>308.74</v>
      </c>
      <c r="H8" s="13">
        <f t="shared" si="3"/>
        <v>308.74</v>
      </c>
      <c r="I8" s="13"/>
      <c r="J8" s="13"/>
      <c r="K8" s="13"/>
      <c r="L8" s="13"/>
      <c r="M8" s="13"/>
      <c r="N8" s="13"/>
      <c r="O8" s="13">
        <f>Moviments!E6</f>
        <v>32.26</v>
      </c>
      <c r="P8" s="13"/>
      <c r="Q8" s="13">
        <f t="shared" si="2"/>
        <v>9959.9524000000001</v>
      </c>
      <c r="R8" s="13"/>
    </row>
    <row r="9" spans="1:18" x14ac:dyDescent="0.35">
      <c r="A9" s="34" t="s">
        <v>20</v>
      </c>
      <c r="B9" s="34"/>
      <c r="C9" s="12">
        <v>1247</v>
      </c>
      <c r="D9" s="34"/>
      <c r="E9" s="34"/>
      <c r="F9" s="35">
        <v>45028</v>
      </c>
      <c r="G9" s="13">
        <v>172.46</v>
      </c>
      <c r="H9" s="13">
        <f>G9</f>
        <v>172.46</v>
      </c>
      <c r="I9" s="13"/>
      <c r="J9" s="13"/>
      <c r="K9" s="13"/>
      <c r="L9" s="13"/>
      <c r="M9" s="13"/>
      <c r="N9" s="13"/>
      <c r="O9" s="13">
        <f>Moviments!E7</f>
        <v>34.47</v>
      </c>
      <c r="P9" s="13"/>
      <c r="Q9" s="13">
        <f t="shared" si="2"/>
        <v>5944.6962000000003</v>
      </c>
      <c r="R9" s="13"/>
    </row>
    <row r="10" spans="1:18" x14ac:dyDescent="0.35">
      <c r="A10" s="34" t="s">
        <v>21</v>
      </c>
      <c r="B10" s="34"/>
      <c r="C10" s="12">
        <v>1251</v>
      </c>
      <c r="D10" s="34"/>
      <c r="E10" s="34"/>
      <c r="F10" s="35">
        <v>45054</v>
      </c>
      <c r="G10" s="13">
        <v>270</v>
      </c>
      <c r="H10" s="13">
        <f>G5-SUM(H6:H9)</f>
        <v>258.46310000000017</v>
      </c>
      <c r="I10" s="13"/>
      <c r="J10" s="13"/>
      <c r="K10" s="13"/>
      <c r="L10" s="13"/>
      <c r="M10" s="13"/>
      <c r="N10" s="13"/>
      <c r="O10" s="13">
        <f>Moviments!E8</f>
        <v>34.29</v>
      </c>
      <c r="P10" s="13"/>
      <c r="Q10" s="13">
        <f t="shared" si="2"/>
        <v>8862.6996990000061</v>
      </c>
      <c r="R10" s="13"/>
    </row>
    <row r="11" spans="1:18" x14ac:dyDescent="0.35">
      <c r="A11" s="19" t="s">
        <v>35</v>
      </c>
      <c r="B11" s="19">
        <v>17</v>
      </c>
      <c r="C11" s="19">
        <v>173</v>
      </c>
      <c r="D11" s="19" t="s">
        <v>16</v>
      </c>
      <c r="E11" s="20">
        <v>41377</v>
      </c>
      <c r="F11" s="20">
        <v>43525</v>
      </c>
      <c r="G11" s="21">
        <v>168.14699999999999</v>
      </c>
      <c r="H11" s="21">
        <f>H12</f>
        <v>11.536899999999832</v>
      </c>
      <c r="I11" s="19">
        <v>86.4482</v>
      </c>
      <c r="J11" s="21">
        <f>I11/G11*H11</f>
        <v>5.9313828886628102</v>
      </c>
      <c r="K11" s="25">
        <f t="shared" ref="K11:K17" si="4">G11-H11</f>
        <v>156.61010000000016</v>
      </c>
      <c r="L11" s="25">
        <f>I11/G11*K11</f>
        <v>80.51681711133719</v>
      </c>
      <c r="M11" s="23">
        <f>L11*P11</f>
        <v>1593.4276759886566</v>
      </c>
      <c r="N11" s="23">
        <f>K11*O$19-M11</f>
        <v>5693.6402770113509</v>
      </c>
      <c r="O11" s="22">
        <v>17.05</v>
      </c>
      <c r="P11" s="23">
        <v>19.7899983277443</v>
      </c>
      <c r="Q11" s="24">
        <f>P11*J11</f>
        <v>117.38205744784817</v>
      </c>
      <c r="R11" s="23">
        <f>Q12-Q11</f>
        <v>278.21824355214608</v>
      </c>
    </row>
    <row r="12" spans="1:18" x14ac:dyDescent="0.35">
      <c r="A12" s="34" t="s">
        <v>21</v>
      </c>
      <c r="B12" s="34"/>
      <c r="C12" s="12">
        <v>1251</v>
      </c>
      <c r="D12" s="34"/>
      <c r="E12" s="34"/>
      <c r="F12" s="35">
        <v>45054</v>
      </c>
      <c r="G12" s="13">
        <v>270</v>
      </c>
      <c r="H12" s="13">
        <f>G12-H10</f>
        <v>11.536899999999832</v>
      </c>
      <c r="I12" s="17"/>
      <c r="J12" s="13"/>
      <c r="K12" s="13"/>
      <c r="L12" s="13"/>
      <c r="M12" s="13"/>
      <c r="N12" s="13"/>
      <c r="O12" s="13">
        <f>Moviments!E8</f>
        <v>34.29</v>
      </c>
      <c r="P12" s="13"/>
      <c r="Q12" s="13">
        <f>H12*O12</f>
        <v>395.60030099999426</v>
      </c>
      <c r="R12" s="13"/>
    </row>
    <row r="13" spans="1:18" x14ac:dyDescent="0.35">
      <c r="A13" s="19" t="s">
        <v>35</v>
      </c>
      <c r="B13" s="19">
        <v>16</v>
      </c>
      <c r="C13" s="19">
        <v>1275</v>
      </c>
      <c r="D13" s="19" t="s">
        <v>16</v>
      </c>
      <c r="E13" s="20">
        <v>41166</v>
      </c>
      <c r="F13" s="20">
        <v>45478</v>
      </c>
      <c r="G13" s="21">
        <v>97.849000000000004</v>
      </c>
      <c r="H13" s="21">
        <f>H14</f>
        <v>20</v>
      </c>
      <c r="I13" s="19">
        <v>88.633300000000006</v>
      </c>
      <c r="J13" s="21">
        <f>I13/G13*H13</f>
        <v>18.116342527772385</v>
      </c>
      <c r="K13" s="25">
        <f t="shared" si="4"/>
        <v>77.849000000000004</v>
      </c>
      <c r="L13" s="25">
        <f>I13/G13*K13</f>
        <v>70.516957472227617</v>
      </c>
      <c r="M13" s="23">
        <f>L13*P13</f>
        <v>1287.6396433450129</v>
      </c>
      <c r="N13" s="23">
        <f>K13*O$19-M13</f>
        <v>2334.6743266549875</v>
      </c>
      <c r="O13" s="22">
        <v>49.440100000000001</v>
      </c>
      <c r="P13" s="23">
        <v>18.259999998612201</v>
      </c>
      <c r="Q13" s="24">
        <f>P13*J13</f>
        <v>330.80441453198193</v>
      </c>
      <c r="R13" s="23">
        <f>Q14-Q13</f>
        <v>645.19558546801807</v>
      </c>
    </row>
    <row r="14" spans="1:18" x14ac:dyDescent="0.35">
      <c r="A14" s="34" t="s">
        <v>20</v>
      </c>
      <c r="B14" s="34"/>
      <c r="C14" s="12">
        <v>1279</v>
      </c>
      <c r="D14" s="34"/>
      <c r="E14" s="34"/>
      <c r="F14" s="35">
        <v>45495</v>
      </c>
      <c r="G14" s="13">
        <v>20</v>
      </c>
      <c r="H14" s="13">
        <f>G14</f>
        <v>20</v>
      </c>
      <c r="I14" s="13"/>
      <c r="J14" s="13"/>
      <c r="K14" s="13"/>
      <c r="L14" s="13"/>
      <c r="M14" s="13"/>
      <c r="N14" s="13"/>
      <c r="O14" s="13">
        <f>Moviments!E11</f>
        <v>48.8</v>
      </c>
      <c r="P14" s="13"/>
      <c r="Q14" s="13">
        <f>H14*O14</f>
        <v>976</v>
      </c>
      <c r="R14" s="13"/>
    </row>
    <row r="15" spans="1:18" x14ac:dyDescent="0.35">
      <c r="A15" s="19" t="s">
        <v>35</v>
      </c>
      <c r="B15" s="19">
        <v>17</v>
      </c>
      <c r="C15" s="19">
        <v>1273</v>
      </c>
      <c r="D15" s="19" t="s">
        <v>16</v>
      </c>
      <c r="E15" s="20">
        <v>41377</v>
      </c>
      <c r="F15" s="20">
        <v>45356</v>
      </c>
      <c r="G15" s="21">
        <v>238.36699999999999</v>
      </c>
      <c r="H15" s="21">
        <v>0</v>
      </c>
      <c r="I15" s="26">
        <v>264.64670000000001</v>
      </c>
      <c r="J15" s="21">
        <f>I15/G15*H15</f>
        <v>0</v>
      </c>
      <c r="K15" s="25">
        <f t="shared" si="4"/>
        <v>238.36699999999999</v>
      </c>
      <c r="L15" s="25">
        <f>I15/G15*K15</f>
        <v>264.64670000000001</v>
      </c>
      <c r="M15" s="23">
        <f t="shared" ref="M15:M18" si="5">L15*P15</f>
        <v>5237.3577504430477</v>
      </c>
      <c r="N15" s="23">
        <f>K15*O$19-M15</f>
        <v>5853.8587595569525</v>
      </c>
      <c r="O15" s="21">
        <f>Moviments!E9</f>
        <v>44.9208</v>
      </c>
      <c r="P15" s="23">
        <v>19.7899983277443</v>
      </c>
      <c r="Q15" s="24">
        <f>P15*J15</f>
        <v>0</v>
      </c>
      <c r="R15" s="23">
        <v>0</v>
      </c>
    </row>
    <row r="16" spans="1:18" x14ac:dyDescent="0.35">
      <c r="A16" s="19" t="s">
        <v>35</v>
      </c>
      <c r="B16" s="19">
        <v>27</v>
      </c>
      <c r="C16" s="19">
        <v>1273</v>
      </c>
      <c r="D16" s="19" t="s">
        <v>17</v>
      </c>
      <c r="E16" s="20">
        <v>41521</v>
      </c>
      <c r="F16" s="20">
        <v>45356</v>
      </c>
      <c r="G16" s="21">
        <v>28.222999999999999</v>
      </c>
      <c r="H16" s="21">
        <v>0</v>
      </c>
      <c r="I16" s="21">
        <v>45.477400000000003</v>
      </c>
      <c r="J16" s="21">
        <f t="shared" ref="J16:J18" si="6">I16/G16*H16</f>
        <v>0</v>
      </c>
      <c r="K16" s="25">
        <f t="shared" si="4"/>
        <v>28.222999999999999</v>
      </c>
      <c r="L16" s="25">
        <f>I16/G16*K16</f>
        <v>45.477400000000003</v>
      </c>
      <c r="M16" s="23">
        <f t="shared" si="5"/>
        <v>777.3571027657166</v>
      </c>
      <c r="N16" s="23">
        <f>K16*O$19-M16</f>
        <v>535.85908723428349</v>
      </c>
      <c r="O16" s="21">
        <f>Moviments!E9</f>
        <v>44.9208</v>
      </c>
      <c r="P16" s="23">
        <v>17.093261768828398</v>
      </c>
      <c r="Q16" s="24">
        <f t="shared" ref="Q16:Q18" si="7">P16*J16</f>
        <v>0</v>
      </c>
      <c r="R16" s="23">
        <v>0</v>
      </c>
    </row>
    <row r="17" spans="1:18" x14ac:dyDescent="0.35">
      <c r="A17" s="19" t="s">
        <v>35</v>
      </c>
      <c r="B17" s="19">
        <v>1253</v>
      </c>
      <c r="C17" s="19">
        <v>1275</v>
      </c>
      <c r="D17" s="19" t="s">
        <v>18</v>
      </c>
      <c r="E17" s="20">
        <v>45061</v>
      </c>
      <c r="F17" s="20">
        <v>45478</v>
      </c>
      <c r="G17" s="21">
        <v>20.558</v>
      </c>
      <c r="H17" s="21">
        <v>0</v>
      </c>
      <c r="I17" s="26">
        <v>8.4095999999999993</v>
      </c>
      <c r="J17" s="21">
        <f t="shared" si="6"/>
        <v>0</v>
      </c>
      <c r="K17" s="25">
        <f t="shared" si="4"/>
        <v>20.558</v>
      </c>
      <c r="L17" s="25">
        <f>I17/G17*K17</f>
        <v>8.4095999999999993</v>
      </c>
      <c r="M17" s="23">
        <f t="shared" si="5"/>
        <v>1000.0261291392</v>
      </c>
      <c r="N17" s="23">
        <f>K17*O$19-M17</f>
        <v>-43.4623891391999</v>
      </c>
      <c r="O17" s="21">
        <f>Moviments!E10</f>
        <v>49.440100000000001</v>
      </c>
      <c r="P17" s="23">
        <v>118.914827</v>
      </c>
      <c r="Q17" s="24">
        <f t="shared" si="7"/>
        <v>0</v>
      </c>
      <c r="R17" s="23">
        <v>0</v>
      </c>
    </row>
    <row r="18" spans="1:18" x14ac:dyDescent="0.35">
      <c r="A18" s="19" t="s">
        <v>35</v>
      </c>
      <c r="B18" s="19">
        <v>1254</v>
      </c>
      <c r="C18" s="19">
        <v>1275</v>
      </c>
      <c r="D18" s="19" t="s">
        <v>18</v>
      </c>
      <c r="E18" s="20">
        <v>45069</v>
      </c>
      <c r="F18" s="20">
        <v>45478</v>
      </c>
      <c r="G18" s="21">
        <v>182.863</v>
      </c>
      <c r="H18" s="21">
        <v>0</v>
      </c>
      <c r="I18" s="26">
        <v>74.801699999999997</v>
      </c>
      <c r="J18" s="21">
        <f t="shared" si="6"/>
        <v>0</v>
      </c>
      <c r="K18" s="25">
        <f>G18-H18</f>
        <v>182.863</v>
      </c>
      <c r="L18" s="25">
        <f>I18/G18*K18</f>
        <v>74.801699999999997</v>
      </c>
      <c r="M18" s="23">
        <f t="shared" si="5"/>
        <v>8999.9939850291903</v>
      </c>
      <c r="N18" s="23">
        <f>K18*O$19-M18</f>
        <v>-491.37859502918946</v>
      </c>
      <c r="O18" s="21">
        <f>Moviments!E10</f>
        <v>49.440100000000001</v>
      </c>
      <c r="P18" s="23">
        <v>120.3180407</v>
      </c>
      <c r="Q18" s="24">
        <f t="shared" si="7"/>
        <v>0</v>
      </c>
      <c r="R18" s="23">
        <v>0</v>
      </c>
    </row>
    <row r="19" spans="1:18" s="5" customFormat="1" x14ac:dyDescent="0.35">
      <c r="J19" s="36" t="s">
        <v>5</v>
      </c>
      <c r="K19" s="27">
        <f>SUM(K2:K18)</f>
        <v>704.47010000000023</v>
      </c>
      <c r="L19" s="27"/>
      <c r="M19" s="28">
        <f>SUM(M2:M18)</f>
        <v>18895.802286710823</v>
      </c>
      <c r="N19" s="28">
        <f>SUM(N2:N18)</f>
        <v>13883.191466289183</v>
      </c>
      <c r="O19" s="28">
        <f>Moviments!E12</f>
        <v>46.53</v>
      </c>
      <c r="R19" s="28">
        <f>SUM(R2:R18)</f>
        <v>29946.167703576208</v>
      </c>
    </row>
    <row r="20" spans="1:18" s="5" customFormat="1" ht="15" thickBot="1" x14ac:dyDescent="0.4">
      <c r="B20" s="7"/>
      <c r="K20" s="27"/>
      <c r="L20" s="29"/>
      <c r="M20" s="28"/>
      <c r="N20" s="28"/>
    </row>
    <row r="21" spans="1:18" s="5" customFormat="1" ht="15" thickBot="1" x14ac:dyDescent="0.4">
      <c r="B21" s="7"/>
      <c r="C21" s="41"/>
      <c r="D21" s="42" t="s">
        <v>47</v>
      </c>
      <c r="E21" s="43"/>
      <c r="F21" s="44"/>
      <c r="K21" s="27"/>
      <c r="L21" s="30" t="s">
        <v>31</v>
      </c>
      <c r="M21" s="31"/>
      <c r="N21" s="27"/>
    </row>
    <row r="22" spans="1:18" s="5" customFormat="1" x14ac:dyDescent="0.35">
      <c r="B22" s="7"/>
      <c r="C22" s="45" t="s">
        <v>43</v>
      </c>
      <c r="D22" s="7" t="s">
        <v>41</v>
      </c>
      <c r="E22" s="7" t="s">
        <v>44</v>
      </c>
      <c r="F22" s="46"/>
      <c r="K22" s="27"/>
      <c r="L22" s="32" t="s">
        <v>32</v>
      </c>
      <c r="M22" s="33">
        <f>SUM(R2:R11)</f>
        <v>29300.972118108191</v>
      </c>
      <c r="N22" s="27"/>
    </row>
    <row r="23" spans="1:18" s="5" customFormat="1" ht="15" thickBot="1" x14ac:dyDescent="0.4">
      <c r="B23" s="7"/>
      <c r="C23" s="47">
        <v>16</v>
      </c>
      <c r="D23" s="5">
        <f>I5/G5*H10</f>
        <v>132.83336379762375</v>
      </c>
      <c r="E23" s="48">
        <f>D23*P5</f>
        <v>2425.5372227602638</v>
      </c>
      <c r="F23" s="46"/>
      <c r="K23" s="27"/>
      <c r="L23" s="32" t="s">
        <v>33</v>
      </c>
      <c r="M23" s="33">
        <f>SUM(N2:N11)</f>
        <v>5693.6402770113509</v>
      </c>
      <c r="N23" s="27"/>
    </row>
    <row r="24" spans="1:18" s="5" customFormat="1" ht="15" thickBot="1" x14ac:dyDescent="0.4">
      <c r="B24" s="7"/>
      <c r="C24" s="47">
        <v>17</v>
      </c>
      <c r="D24" s="5">
        <f>I11/G11*H12</f>
        <v>5.9313828886628102</v>
      </c>
      <c r="E24" s="48">
        <f>D24*P11</f>
        <v>117.38205744784817</v>
      </c>
      <c r="F24" s="46"/>
      <c r="K24" s="27"/>
      <c r="L24" s="37" t="s">
        <v>26</v>
      </c>
      <c r="M24" s="38">
        <f>SUM(M22:M23)</f>
        <v>34994.61239511954</v>
      </c>
      <c r="N24" s="27"/>
    </row>
    <row r="25" spans="1:18" ht="15" thickBot="1" x14ac:dyDescent="0.4">
      <c r="C25" s="49"/>
      <c r="D25" s="50"/>
      <c r="E25" s="51">
        <f>SUM(E23:E24)</f>
        <v>2542.919280208112</v>
      </c>
      <c r="F25" s="52"/>
      <c r="I25" s="5"/>
    </row>
    <row r="26" spans="1:18" x14ac:dyDescent="0.35">
      <c r="H26" s="5"/>
      <c r="I26" s="5"/>
    </row>
    <row r="27" spans="1:18" x14ac:dyDescent="0.35">
      <c r="D27" s="15" t="s">
        <v>40</v>
      </c>
      <c r="E27" s="15" t="s">
        <v>42</v>
      </c>
      <c r="I27" s="5"/>
    </row>
    <row r="28" spans="1:18" x14ac:dyDescent="0.35">
      <c r="D28" s="5">
        <f>Moviments!D8</f>
        <v>270</v>
      </c>
      <c r="E28" s="23">
        <f>D28*O$10</f>
        <v>9258.2999999999993</v>
      </c>
      <c r="I28" s="5"/>
    </row>
    <row r="29" spans="1:18" x14ac:dyDescent="0.35">
      <c r="D29" s="5"/>
      <c r="E29" s="15" t="s">
        <v>8</v>
      </c>
    </row>
    <row r="30" spans="1:18" x14ac:dyDescent="0.35">
      <c r="D30" s="5"/>
      <c r="E30" s="28">
        <f>E28-E25</f>
        <v>6715.3807197918868</v>
      </c>
    </row>
  </sheetData>
  <sortState xmlns:xlrd2="http://schemas.microsoft.com/office/spreadsheetml/2017/richdata2" ref="B2:R18">
    <sortCondition ref="E2:E18"/>
  </sortState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7271D-36C8-497E-BC31-A84854D64CE5}">
  <dimension ref="A1:R26"/>
  <sheetViews>
    <sheetView tabSelected="1" zoomScaleNormal="100" workbookViewId="0">
      <pane xSplit="3" ySplit="1" topLeftCell="D8" activePane="bottomRight" state="frozen"/>
      <selection pane="topRight" activeCell="C1" sqref="C1"/>
      <selection pane="bottomLeft" activeCell="A2" sqref="A2"/>
      <selection pane="bottomRight" activeCell="B20" sqref="B20"/>
    </sheetView>
  </sheetViews>
  <sheetFormatPr defaultRowHeight="14.5" x14ac:dyDescent="0.35"/>
  <cols>
    <col min="1" max="1" width="3.54296875" customWidth="1"/>
    <col min="2" max="2" width="4.90625" customWidth="1"/>
    <col min="3" max="3" width="4.81640625" bestFit="1" customWidth="1"/>
    <col min="4" max="4" width="14.1796875" customWidth="1"/>
    <col min="5" max="5" width="10.453125" bestFit="1" customWidth="1"/>
    <col min="6" max="6" width="9.6328125" customWidth="1"/>
    <col min="7" max="7" width="9.26953125" bestFit="1" customWidth="1"/>
    <col min="8" max="8" width="10.6328125" bestFit="1" customWidth="1"/>
    <col min="9" max="9" width="7.6328125" customWidth="1"/>
    <col min="10" max="11" width="8.81640625" customWidth="1"/>
    <col min="12" max="12" width="10.453125" customWidth="1"/>
    <col min="13" max="14" width="11.453125" customWidth="1"/>
    <col min="15" max="16" width="8.81640625" customWidth="1"/>
    <col min="17" max="17" width="11.26953125" bestFit="1" customWidth="1"/>
    <col min="18" max="18" width="11.7265625" bestFit="1" customWidth="1"/>
  </cols>
  <sheetData>
    <row r="1" spans="1:18" ht="31.5" customHeight="1" x14ac:dyDescent="0.35">
      <c r="A1" s="10"/>
      <c r="B1" s="10" t="s">
        <v>10</v>
      </c>
      <c r="C1" s="11" t="s">
        <v>11</v>
      </c>
      <c r="D1" s="10" t="s">
        <v>12</v>
      </c>
      <c r="E1" s="10" t="s">
        <v>13</v>
      </c>
      <c r="F1" s="10" t="s">
        <v>14</v>
      </c>
      <c r="G1" s="11" t="s">
        <v>3</v>
      </c>
      <c r="H1" s="11" t="s">
        <v>15</v>
      </c>
      <c r="I1" s="10" t="s">
        <v>22</v>
      </c>
      <c r="J1" s="10" t="s">
        <v>23</v>
      </c>
      <c r="K1" s="10" t="s">
        <v>27</v>
      </c>
      <c r="L1" s="10" t="s">
        <v>28</v>
      </c>
      <c r="M1" s="10" t="s">
        <v>29</v>
      </c>
      <c r="N1" s="10" t="s">
        <v>30</v>
      </c>
      <c r="O1" s="6" t="s">
        <v>4</v>
      </c>
      <c r="P1" s="6" t="s">
        <v>24</v>
      </c>
      <c r="Q1" s="14" t="s">
        <v>45</v>
      </c>
      <c r="R1" s="10" t="s">
        <v>46</v>
      </c>
    </row>
    <row r="2" spans="1:18" x14ac:dyDescent="0.35">
      <c r="A2" s="19" t="s">
        <v>35</v>
      </c>
      <c r="B2" s="19">
        <v>15</v>
      </c>
      <c r="C2" s="19">
        <v>173</v>
      </c>
      <c r="D2" s="19" t="s">
        <v>19</v>
      </c>
      <c r="E2" s="20">
        <v>36841</v>
      </c>
      <c r="F2" s="20">
        <v>43525</v>
      </c>
      <c r="G2" s="25">
        <v>544.952</v>
      </c>
      <c r="H2" s="21">
        <f>SUM(H3:H4)</f>
        <v>544.952</v>
      </c>
      <c r="I2" s="19">
        <v>679.64009999999996</v>
      </c>
      <c r="J2" s="19">
        <v>0</v>
      </c>
      <c r="K2" s="25">
        <f t="shared" ref="K2" si="0">G2-H2</f>
        <v>0</v>
      </c>
      <c r="L2" s="25">
        <f>I2/G2*K2</f>
        <v>0</v>
      </c>
      <c r="M2" s="23">
        <f>L2*P2</f>
        <v>0</v>
      </c>
      <c r="N2" s="23">
        <f>K2*O$19-M2</f>
        <v>0</v>
      </c>
      <c r="O2" s="22">
        <v>17.05</v>
      </c>
      <c r="P2" s="23">
        <v>22.9920399034783</v>
      </c>
      <c r="Q2" s="24">
        <f>P2*J2</f>
        <v>0</v>
      </c>
      <c r="R2" s="23">
        <f>SUM(Q3:Q4)-Q2</f>
        <v>0</v>
      </c>
    </row>
    <row r="3" spans="1:18" x14ac:dyDescent="0.35">
      <c r="A3" s="34" t="s">
        <v>20</v>
      </c>
      <c r="B3" s="34"/>
      <c r="C3" s="12">
        <v>198</v>
      </c>
      <c r="D3" s="34"/>
      <c r="E3" s="35">
        <v>44470</v>
      </c>
      <c r="F3" s="34"/>
      <c r="G3" s="13">
        <v>287.02999999999997</v>
      </c>
      <c r="H3" s="13">
        <f>G3</f>
        <v>287.02999999999997</v>
      </c>
      <c r="I3" s="13"/>
      <c r="J3" s="13"/>
      <c r="K3" s="13"/>
      <c r="L3" s="13"/>
      <c r="M3" s="13"/>
      <c r="N3" s="13"/>
      <c r="O3" s="13">
        <f>Moviments!E3</f>
        <v>34.770000000000003</v>
      </c>
      <c r="P3" s="13"/>
      <c r="Q3" s="13"/>
      <c r="R3" s="13"/>
    </row>
    <row r="4" spans="1:18" x14ac:dyDescent="0.35">
      <c r="A4" s="34" t="s">
        <v>20</v>
      </c>
      <c r="B4" s="34"/>
      <c r="C4" s="12">
        <v>200</v>
      </c>
      <c r="D4" s="34"/>
      <c r="E4" s="35">
        <v>44473</v>
      </c>
      <c r="F4" s="34"/>
      <c r="G4" s="13">
        <v>287.02999999999997</v>
      </c>
      <c r="H4" s="13">
        <f>G2-H3</f>
        <v>257.92200000000003</v>
      </c>
      <c r="I4" s="13"/>
      <c r="J4" s="13"/>
      <c r="K4" s="13"/>
      <c r="L4" s="13"/>
      <c r="M4" s="13"/>
      <c r="N4" s="13"/>
      <c r="O4" s="13">
        <f>Moviments!E4</f>
        <v>34.270000000000003</v>
      </c>
      <c r="P4" s="13"/>
      <c r="Q4" s="13"/>
      <c r="R4" s="13"/>
    </row>
    <row r="5" spans="1:18" x14ac:dyDescent="0.35">
      <c r="A5" s="19"/>
      <c r="B5" s="19">
        <v>16</v>
      </c>
      <c r="C5" s="19">
        <v>173</v>
      </c>
      <c r="D5" s="19" t="s">
        <v>16</v>
      </c>
      <c r="E5" s="20">
        <v>41166</v>
      </c>
      <c r="F5" s="20">
        <v>43525</v>
      </c>
      <c r="G5" s="25">
        <v>1065.5911000000001</v>
      </c>
      <c r="H5" s="53">
        <f>SUM(H6:H10)</f>
        <v>1065.5911000000001</v>
      </c>
      <c r="I5" s="19">
        <v>547.64509999999996</v>
      </c>
      <c r="J5" s="25">
        <f>SUM(J6:J10)</f>
        <v>132.83336379762375</v>
      </c>
      <c r="K5" s="25">
        <f t="shared" ref="K5" si="1">G5-H5</f>
        <v>0</v>
      </c>
      <c r="L5" s="25">
        <f>I5/G5*K5</f>
        <v>0</v>
      </c>
      <c r="M5" s="23">
        <f>L5*P5</f>
        <v>0</v>
      </c>
      <c r="N5" s="23">
        <f>K5*O$19-M5</f>
        <v>0</v>
      </c>
      <c r="O5" s="22">
        <v>17.05</v>
      </c>
      <c r="P5" s="23">
        <v>18.259999998612201</v>
      </c>
      <c r="Q5" s="24">
        <f>P5*J5</f>
        <v>2425.5372227602638</v>
      </c>
      <c r="R5" s="23">
        <f>SUM(Q6:Q10)-Q5</f>
        <v>6437.1624762397423</v>
      </c>
    </row>
    <row r="6" spans="1:18" x14ac:dyDescent="0.35">
      <c r="A6" s="34" t="s">
        <v>20</v>
      </c>
      <c r="B6" s="34"/>
      <c r="C6" s="12">
        <v>200</v>
      </c>
      <c r="D6" s="34"/>
      <c r="E6" s="34"/>
      <c r="F6" s="35">
        <v>44473</v>
      </c>
      <c r="G6" s="13">
        <v>287.02999999999997</v>
      </c>
      <c r="H6" s="13">
        <f>G6-H4</f>
        <v>29.107999999999947</v>
      </c>
      <c r="I6" s="13"/>
      <c r="J6" s="13"/>
      <c r="K6" s="13"/>
      <c r="L6" s="13"/>
      <c r="M6" s="13"/>
      <c r="N6" s="13"/>
      <c r="O6" s="13">
        <f>Moviments!E4</f>
        <v>34.270000000000003</v>
      </c>
      <c r="P6" s="13"/>
      <c r="Q6" s="13"/>
      <c r="R6" s="13"/>
    </row>
    <row r="7" spans="1:18" x14ac:dyDescent="0.35">
      <c r="A7" s="34" t="s">
        <v>20</v>
      </c>
      <c r="B7" s="34"/>
      <c r="C7" s="12">
        <v>216</v>
      </c>
      <c r="D7" s="34"/>
      <c r="E7" s="34"/>
      <c r="F7" s="35">
        <v>44720</v>
      </c>
      <c r="G7" s="13">
        <v>296.82</v>
      </c>
      <c r="H7" s="13">
        <f t="shared" ref="H7:H8" si="2">G7</f>
        <v>296.82</v>
      </c>
      <c r="I7" s="13"/>
      <c r="J7" s="13"/>
      <c r="K7" s="13"/>
      <c r="L7" s="13"/>
      <c r="M7" s="13"/>
      <c r="N7" s="13"/>
      <c r="O7" s="13">
        <f>Moviments!E5</f>
        <v>33.909999999999997</v>
      </c>
      <c r="P7" s="13"/>
      <c r="Q7" s="13"/>
      <c r="R7" s="13"/>
    </row>
    <row r="8" spans="1:18" x14ac:dyDescent="0.35">
      <c r="A8" s="34" t="s">
        <v>20</v>
      </c>
      <c r="B8" s="34"/>
      <c r="C8" s="12">
        <v>1227</v>
      </c>
      <c r="D8" s="34"/>
      <c r="E8" s="34"/>
      <c r="F8" s="35">
        <v>44831</v>
      </c>
      <c r="G8" s="13">
        <v>308.74</v>
      </c>
      <c r="H8" s="13">
        <f t="shared" si="2"/>
        <v>308.74</v>
      </c>
      <c r="I8" s="13"/>
      <c r="J8" s="13"/>
      <c r="K8" s="13"/>
      <c r="L8" s="13"/>
      <c r="M8" s="13"/>
      <c r="N8" s="13"/>
      <c r="O8" s="13">
        <f>Moviments!E6</f>
        <v>32.26</v>
      </c>
      <c r="P8" s="13"/>
      <c r="Q8" s="13"/>
      <c r="R8" s="13"/>
    </row>
    <row r="9" spans="1:18" x14ac:dyDescent="0.35">
      <c r="A9" s="34" t="s">
        <v>20</v>
      </c>
      <c r="B9" s="34"/>
      <c r="C9" s="12">
        <v>1247</v>
      </c>
      <c r="D9" s="34"/>
      <c r="E9" s="34"/>
      <c r="F9" s="35">
        <v>45028</v>
      </c>
      <c r="G9" s="13">
        <v>172.46</v>
      </c>
      <c r="H9" s="13">
        <f>G9</f>
        <v>172.46</v>
      </c>
      <c r="I9" s="13"/>
      <c r="J9" s="13"/>
      <c r="K9" s="13"/>
      <c r="L9" s="13"/>
      <c r="M9" s="13"/>
      <c r="N9" s="13"/>
      <c r="O9" s="13">
        <f>Moviments!E7</f>
        <v>34.47</v>
      </c>
      <c r="P9" s="13"/>
      <c r="Q9" s="13"/>
      <c r="R9" s="13"/>
    </row>
    <row r="10" spans="1:18" x14ac:dyDescent="0.35">
      <c r="A10" s="34" t="s">
        <v>21</v>
      </c>
      <c r="B10" s="34"/>
      <c r="C10" s="12">
        <v>1251</v>
      </c>
      <c r="D10" s="34"/>
      <c r="E10" s="34"/>
      <c r="F10" s="35">
        <v>45054</v>
      </c>
      <c r="G10" s="13">
        <v>270</v>
      </c>
      <c r="H10" s="13">
        <f>G5-SUM(H6:H9)</f>
        <v>258.46310000000017</v>
      </c>
      <c r="I10" s="13"/>
      <c r="J10" s="13">
        <f>I$5/G$5*H10</f>
        <v>132.83336379762375</v>
      </c>
      <c r="K10" s="13"/>
      <c r="L10" s="13"/>
      <c r="M10" s="13"/>
      <c r="N10" s="13"/>
      <c r="O10" s="13">
        <f>Moviments!E8</f>
        <v>34.29</v>
      </c>
      <c r="P10" s="13"/>
      <c r="Q10" s="13">
        <f t="shared" ref="Q10" si="3">H10*O10</f>
        <v>8862.6996990000061</v>
      </c>
      <c r="R10" s="13"/>
    </row>
    <row r="11" spans="1:18" x14ac:dyDescent="0.35">
      <c r="A11" s="19" t="s">
        <v>35</v>
      </c>
      <c r="B11" s="19">
        <v>17</v>
      </c>
      <c r="C11" s="19">
        <v>173</v>
      </c>
      <c r="D11" s="19" t="s">
        <v>16</v>
      </c>
      <c r="E11" s="20">
        <v>41377</v>
      </c>
      <c r="F11" s="20">
        <v>43525</v>
      </c>
      <c r="G11" s="25">
        <v>168.14699999999999</v>
      </c>
      <c r="H11" s="21">
        <f>H12</f>
        <v>11.536899999999832</v>
      </c>
      <c r="I11" s="19">
        <v>86.4482</v>
      </c>
      <c r="J11" s="21">
        <f>J12</f>
        <v>5.9313828886628102</v>
      </c>
      <c r="K11" s="25">
        <f t="shared" ref="K11:K17" si="4">G11-H11</f>
        <v>156.61010000000016</v>
      </c>
      <c r="L11" s="25">
        <f>I11/G11*K11</f>
        <v>80.51681711133719</v>
      </c>
      <c r="M11" s="23">
        <f>L11*P11</f>
        <v>1593.4276759886566</v>
      </c>
      <c r="N11" s="23">
        <f>K11*O$19-M11</f>
        <v>5693.6402770113509</v>
      </c>
      <c r="O11" s="22">
        <v>17.05</v>
      </c>
      <c r="P11" s="23">
        <v>19.7899983277443</v>
      </c>
      <c r="Q11" s="24">
        <f>P11*J11</f>
        <v>117.38205744784817</v>
      </c>
      <c r="R11" s="23">
        <f>Q12-Q11</f>
        <v>278.21824355214608</v>
      </c>
    </row>
    <row r="12" spans="1:18" x14ac:dyDescent="0.35">
      <c r="A12" s="34" t="s">
        <v>21</v>
      </c>
      <c r="B12" s="34"/>
      <c r="C12" s="12">
        <v>1251</v>
      </c>
      <c r="D12" s="34"/>
      <c r="E12" s="34"/>
      <c r="F12" s="35">
        <v>45054</v>
      </c>
      <c r="G12" s="13">
        <v>270</v>
      </c>
      <c r="H12" s="13">
        <f>G12-H10</f>
        <v>11.536899999999832</v>
      </c>
      <c r="I12" s="17"/>
      <c r="J12" s="13">
        <f>I11/G11*H12</f>
        <v>5.9313828886628102</v>
      </c>
      <c r="K12" s="13"/>
      <c r="L12" s="13"/>
      <c r="M12" s="13"/>
      <c r="N12" s="13"/>
      <c r="O12" s="13">
        <f>Moviments!E8</f>
        <v>34.29</v>
      </c>
      <c r="P12" s="13"/>
      <c r="Q12" s="13">
        <f>H12*O12</f>
        <v>395.60030099999426</v>
      </c>
      <c r="R12" s="13"/>
    </row>
    <row r="13" spans="1:18" x14ac:dyDescent="0.35">
      <c r="A13" s="19" t="s">
        <v>35</v>
      </c>
      <c r="B13" s="19">
        <v>16</v>
      </c>
      <c r="C13" s="19">
        <v>1275</v>
      </c>
      <c r="D13" s="19" t="s">
        <v>16</v>
      </c>
      <c r="E13" s="20">
        <v>41166</v>
      </c>
      <c r="F13" s="20">
        <v>45478</v>
      </c>
      <c r="G13" s="25">
        <v>97.849000000000004</v>
      </c>
      <c r="H13" s="21">
        <f>H14</f>
        <v>20</v>
      </c>
      <c r="I13" s="19">
        <v>88.633300000000006</v>
      </c>
      <c r="J13" s="21">
        <f>J14</f>
        <v>0</v>
      </c>
      <c r="K13" s="25">
        <f t="shared" si="4"/>
        <v>77.849000000000004</v>
      </c>
      <c r="L13" s="25">
        <f>I13/G13*K13</f>
        <v>70.516957472227617</v>
      </c>
      <c r="M13" s="23">
        <f>L13*P13</f>
        <v>1287.6396433450129</v>
      </c>
      <c r="N13" s="23">
        <f>K13*O$19-M13</f>
        <v>2334.6743266549875</v>
      </c>
      <c r="O13" s="22">
        <v>49.440100000000001</v>
      </c>
      <c r="P13" s="23">
        <v>18.259999998612201</v>
      </c>
      <c r="Q13" s="24">
        <f>P13*J13</f>
        <v>0</v>
      </c>
      <c r="R13" s="23">
        <f>Q14-Q13</f>
        <v>0</v>
      </c>
    </row>
    <row r="14" spans="1:18" x14ac:dyDescent="0.35">
      <c r="A14" s="34" t="s">
        <v>20</v>
      </c>
      <c r="B14" s="34"/>
      <c r="C14" s="12">
        <v>1279</v>
      </c>
      <c r="D14" s="34"/>
      <c r="E14" s="34"/>
      <c r="F14" s="35">
        <v>45495</v>
      </c>
      <c r="G14" s="13">
        <v>20</v>
      </c>
      <c r="H14" s="13">
        <f>G14</f>
        <v>20</v>
      </c>
      <c r="I14" s="13"/>
      <c r="J14" s="13"/>
      <c r="K14" s="13"/>
      <c r="L14" s="13"/>
      <c r="M14" s="13"/>
      <c r="N14" s="13"/>
      <c r="O14" s="13">
        <f>Moviments!E11</f>
        <v>48.8</v>
      </c>
      <c r="P14" s="13"/>
      <c r="Q14" s="13"/>
      <c r="R14" s="13"/>
    </row>
    <row r="15" spans="1:18" x14ac:dyDescent="0.35">
      <c r="A15" s="19" t="s">
        <v>35</v>
      </c>
      <c r="B15" s="19">
        <v>17</v>
      </c>
      <c r="C15" s="19">
        <v>1273</v>
      </c>
      <c r="D15" s="19" t="s">
        <v>16</v>
      </c>
      <c r="E15" s="20">
        <v>41377</v>
      </c>
      <c r="F15" s="20">
        <v>45356</v>
      </c>
      <c r="G15" s="25">
        <v>238.36699999999999</v>
      </c>
      <c r="H15" s="21">
        <v>0</v>
      </c>
      <c r="I15" s="26">
        <v>264.64670000000001</v>
      </c>
      <c r="J15" s="21">
        <f>I15/G15*H15</f>
        <v>0</v>
      </c>
      <c r="K15" s="25">
        <f t="shared" si="4"/>
        <v>238.36699999999999</v>
      </c>
      <c r="L15" s="25">
        <f>I15/G15*K15</f>
        <v>264.64670000000001</v>
      </c>
      <c r="M15" s="23">
        <f t="shared" ref="M15:M18" si="5">L15*P15</f>
        <v>5237.3577504430477</v>
      </c>
      <c r="N15" s="23">
        <f>K15*O$19-M15</f>
        <v>5853.8587595569525</v>
      </c>
      <c r="O15" s="21">
        <f>Moviments!E9</f>
        <v>44.9208</v>
      </c>
      <c r="P15" s="23">
        <v>19.7899983277443</v>
      </c>
      <c r="Q15" s="24">
        <f>P15*J15</f>
        <v>0</v>
      </c>
      <c r="R15" s="23">
        <v>0</v>
      </c>
    </row>
    <row r="16" spans="1:18" x14ac:dyDescent="0.35">
      <c r="A16" s="19" t="s">
        <v>35</v>
      </c>
      <c r="B16" s="19">
        <v>27</v>
      </c>
      <c r="C16" s="19">
        <v>1273</v>
      </c>
      <c r="D16" s="19" t="s">
        <v>17</v>
      </c>
      <c r="E16" s="20">
        <v>41521</v>
      </c>
      <c r="F16" s="20">
        <v>45356</v>
      </c>
      <c r="G16" s="25">
        <v>28.222999999999999</v>
      </c>
      <c r="H16" s="21">
        <v>0</v>
      </c>
      <c r="I16" s="21">
        <v>45.477400000000003</v>
      </c>
      <c r="J16" s="21">
        <f t="shared" ref="J16:J18" si="6">I16/G16*H16</f>
        <v>0</v>
      </c>
      <c r="K16" s="25">
        <f t="shared" si="4"/>
        <v>28.222999999999999</v>
      </c>
      <c r="L16" s="25">
        <f>I16/G16*K16</f>
        <v>45.477400000000003</v>
      </c>
      <c r="M16" s="23">
        <f t="shared" si="5"/>
        <v>777.3571027657166</v>
      </c>
      <c r="N16" s="23">
        <f>K16*O$19-M16</f>
        <v>535.85908723428349</v>
      </c>
      <c r="O16" s="21">
        <f>Moviments!E9</f>
        <v>44.9208</v>
      </c>
      <c r="P16" s="23">
        <v>17.093261768828398</v>
      </c>
      <c r="Q16" s="24">
        <f t="shared" ref="Q16:Q18" si="7">P16*J16</f>
        <v>0</v>
      </c>
      <c r="R16" s="23">
        <v>0</v>
      </c>
    </row>
    <row r="17" spans="1:18" x14ac:dyDescent="0.35">
      <c r="A17" s="19" t="s">
        <v>35</v>
      </c>
      <c r="B17" s="19">
        <v>1253</v>
      </c>
      <c r="C17" s="19">
        <v>1275</v>
      </c>
      <c r="D17" s="19" t="s">
        <v>18</v>
      </c>
      <c r="E17" s="20">
        <v>45061</v>
      </c>
      <c r="F17" s="20">
        <v>45478</v>
      </c>
      <c r="G17" s="25">
        <v>20.558</v>
      </c>
      <c r="H17" s="21">
        <v>0</v>
      </c>
      <c r="I17" s="26">
        <v>8.4095999999999993</v>
      </c>
      <c r="J17" s="21">
        <f t="shared" si="6"/>
        <v>0</v>
      </c>
      <c r="K17" s="25">
        <f t="shared" si="4"/>
        <v>20.558</v>
      </c>
      <c r="L17" s="25">
        <f>I17/G17*K17</f>
        <v>8.4095999999999993</v>
      </c>
      <c r="M17" s="23">
        <f t="shared" si="5"/>
        <v>1000.0261291392</v>
      </c>
      <c r="N17" s="23">
        <f>K17*O$19-M17</f>
        <v>-43.4623891391999</v>
      </c>
      <c r="O17" s="21">
        <f>Moviments!E10</f>
        <v>49.440100000000001</v>
      </c>
      <c r="P17" s="23">
        <v>118.914827</v>
      </c>
      <c r="Q17" s="24">
        <f t="shared" si="7"/>
        <v>0</v>
      </c>
      <c r="R17" s="23">
        <v>0</v>
      </c>
    </row>
    <row r="18" spans="1:18" x14ac:dyDescent="0.35">
      <c r="A18" s="19" t="s">
        <v>35</v>
      </c>
      <c r="B18" s="19">
        <v>1254</v>
      </c>
      <c r="C18" s="19">
        <v>1275</v>
      </c>
      <c r="D18" s="19" t="s">
        <v>18</v>
      </c>
      <c r="E18" s="20">
        <v>45069</v>
      </c>
      <c r="F18" s="20">
        <v>45478</v>
      </c>
      <c r="G18" s="25">
        <v>182.863</v>
      </c>
      <c r="H18" s="21">
        <v>0</v>
      </c>
      <c r="I18" s="26">
        <v>74.801699999999997</v>
      </c>
      <c r="J18" s="21">
        <f t="shared" si="6"/>
        <v>0</v>
      </c>
      <c r="K18" s="25">
        <f>G18-H18</f>
        <v>182.863</v>
      </c>
      <c r="L18" s="25">
        <f>I18/G18*K18</f>
        <v>74.801699999999997</v>
      </c>
      <c r="M18" s="23">
        <f t="shared" si="5"/>
        <v>8999.9939850291903</v>
      </c>
      <c r="N18" s="23">
        <f>K18*O$19-M18</f>
        <v>-491.37859502918946</v>
      </c>
      <c r="O18" s="21">
        <f>Moviments!E10</f>
        <v>49.440100000000001</v>
      </c>
      <c r="P18" s="23">
        <v>120.3180407</v>
      </c>
      <c r="Q18" s="24">
        <f t="shared" si="7"/>
        <v>0</v>
      </c>
      <c r="R18" s="23">
        <v>0</v>
      </c>
    </row>
    <row r="19" spans="1:18" s="5" customFormat="1" x14ac:dyDescent="0.35">
      <c r="J19" s="36" t="s">
        <v>5</v>
      </c>
      <c r="K19" s="27">
        <f>SUM(K2:K18)</f>
        <v>704.47010000000023</v>
      </c>
      <c r="L19" s="27"/>
      <c r="M19" s="28">
        <f>SUM(M2:M18)</f>
        <v>18895.802286710823</v>
      </c>
      <c r="N19" s="28">
        <f>SUM(N2:N18)</f>
        <v>13883.191466289183</v>
      </c>
      <c r="O19" s="28">
        <f>Moviments!E12</f>
        <v>46.53</v>
      </c>
      <c r="R19" s="28">
        <f>SUM(R2:R18)</f>
        <v>6715.3807197918886</v>
      </c>
    </row>
    <row r="20" spans="1:18" s="5" customFormat="1" ht="15" thickBot="1" x14ac:dyDescent="0.4">
      <c r="B20" s="7"/>
      <c r="K20" s="27"/>
      <c r="L20" s="29"/>
      <c r="M20" s="28"/>
      <c r="N20" s="28"/>
    </row>
    <row r="21" spans="1:18" s="5" customFormat="1" ht="15" thickBot="1" x14ac:dyDescent="0.4">
      <c r="B21" s="7"/>
      <c r="C21" s="41"/>
      <c r="D21" s="42" t="s">
        <v>47</v>
      </c>
      <c r="E21" s="43"/>
      <c r="F21" s="44"/>
      <c r="K21" s="27"/>
      <c r="L21" s="30" t="s">
        <v>31</v>
      </c>
      <c r="M21" s="31"/>
      <c r="N21" s="27"/>
    </row>
    <row r="22" spans="1:18" s="5" customFormat="1" x14ac:dyDescent="0.35">
      <c r="B22" s="7"/>
      <c r="C22" s="45" t="s">
        <v>43</v>
      </c>
      <c r="D22" s="7" t="s">
        <v>41</v>
      </c>
      <c r="E22" s="7" t="s">
        <v>44</v>
      </c>
      <c r="F22" s="46"/>
      <c r="K22" s="27"/>
      <c r="L22" s="32" t="s">
        <v>48</v>
      </c>
      <c r="M22" s="33">
        <f>SUM(R2:R11)</f>
        <v>6715.3807197918886</v>
      </c>
      <c r="N22" s="27"/>
    </row>
    <row r="23" spans="1:18" s="5" customFormat="1" ht="15" thickBot="1" x14ac:dyDescent="0.4">
      <c r="B23" s="7"/>
      <c r="C23" s="47">
        <v>16</v>
      </c>
      <c r="D23" s="5">
        <f>I5/G5*H10</f>
        <v>132.83336379762375</v>
      </c>
      <c r="E23" s="48">
        <f>D23*P5</f>
        <v>2425.5372227602638</v>
      </c>
      <c r="F23" s="46"/>
      <c r="K23" s="27"/>
      <c r="L23" s="32" t="s">
        <v>33</v>
      </c>
      <c r="M23" s="33">
        <f>SUM(N2:N11)</f>
        <v>5693.6402770113509</v>
      </c>
      <c r="N23" s="27"/>
    </row>
    <row r="24" spans="1:18" s="5" customFormat="1" ht="15" thickBot="1" x14ac:dyDescent="0.4">
      <c r="B24" s="7"/>
      <c r="C24" s="47">
        <v>17</v>
      </c>
      <c r="D24" s="5">
        <f>I11/G11*H12</f>
        <v>5.9313828886628102</v>
      </c>
      <c r="E24" s="48">
        <f>D24*P11</f>
        <v>117.38205744784817</v>
      </c>
      <c r="F24" s="46"/>
      <c r="K24" s="27"/>
      <c r="L24" s="37" t="s">
        <v>26</v>
      </c>
      <c r="M24" s="38">
        <f>SUM(M22:M23)</f>
        <v>12409.02099680324</v>
      </c>
      <c r="N24" s="27"/>
    </row>
    <row r="25" spans="1:18" ht="15" thickBot="1" x14ac:dyDescent="0.4">
      <c r="C25" s="49"/>
      <c r="D25" s="50"/>
      <c r="E25" s="51">
        <f>SUM(E23:E24)</f>
        <v>2542.919280208112</v>
      </c>
      <c r="F25" s="52"/>
      <c r="I25" s="5"/>
    </row>
    <row r="26" spans="1:18" x14ac:dyDescent="0.35">
      <c r="H26" s="5"/>
      <c r="I26" s="5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Moviments</vt:lpstr>
      <vt:lpstr>Orig</vt:lpstr>
      <vt:lpstr>Orig Vendes Reals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joanp</dc:creator>
  <cp:lastModifiedBy>joanp</cp:lastModifiedBy>
  <dcterms:created xsi:type="dcterms:W3CDTF">2024-09-08T00:52:54Z</dcterms:created>
  <dcterms:modified xsi:type="dcterms:W3CDTF">2024-09-11T15:22:10Z</dcterms:modified>
</cp:coreProperties>
</file>