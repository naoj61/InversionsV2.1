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is\C#\Meus\InversionsV2\Docs\"/>
    </mc:Choice>
  </mc:AlternateContent>
  <xr:revisionPtr revIDLastSave="0" documentId="13_ncr:1_{DEF63FC0-2322-45C4-A876-759610FC7F9B}" xr6:coauthVersionLast="47" xr6:coauthVersionMax="47" xr10:uidLastSave="{00000000-0000-0000-0000-000000000000}"/>
  <bookViews>
    <workbookView xWindow="19090" yWindow="-110" windowWidth="19420" windowHeight="10420" xr2:uid="{862274CE-5946-45C0-85D2-512CA502EF5B}"/>
  </bookViews>
  <sheets>
    <sheet name="Hisenda" sheetId="1" r:id="rId1"/>
    <sheet name="Arcelor" sheetId="2" r:id="rId2"/>
    <sheet name="2017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7" i="3" l="1"/>
  <c r="O15" i="3"/>
  <c r="N15" i="3"/>
  <c r="O11" i="3"/>
  <c r="N11" i="3"/>
  <c r="O5" i="3"/>
  <c r="N5" i="3"/>
  <c r="N17" i="3" s="1"/>
  <c r="L3" i="3"/>
  <c r="L4" i="3" s="1"/>
  <c r="L5" i="3" s="1"/>
  <c r="L19" i="2" l="1"/>
  <c r="L2" i="2"/>
  <c r="L3" i="2" s="1"/>
  <c r="L4" i="2" s="1"/>
  <c r="L5" i="2" s="1"/>
  <c r="L6" i="2" s="1"/>
  <c r="L7" i="2" l="1"/>
  <c r="E7" i="1"/>
  <c r="E6" i="1"/>
  <c r="L8" i="2" l="1"/>
  <c r="L9" i="2" s="1"/>
  <c r="L10" i="2" l="1"/>
  <c r="L11" i="2" s="1"/>
  <c r="L12" i="2" s="1"/>
  <c r="L13" i="2" s="1"/>
  <c r="L14" i="2" l="1"/>
  <c r="L34" i="2" s="1"/>
  <c r="L15" i="2" s="1"/>
  <c r="L16" i="2" l="1"/>
  <c r="L17" i="2" s="1"/>
  <c r="L18" i="2" s="1"/>
  <c r="L20" i="2" l="1"/>
  <c r="L21" i="2" s="1"/>
  <c r="L22" i="2" s="1"/>
  <c r="L35" i="2" l="1"/>
  <c r="L23" i="2"/>
  <c r="L24" i="2" l="1"/>
  <c r="L25" i="2" s="1"/>
  <c r="L26" i="2" s="1"/>
  <c r="L27" i="2" s="1"/>
  <c r="L28" i="2" s="1"/>
  <c r="L29" i="2" s="1"/>
  <c r="L30" i="2" s="1"/>
  <c r="L31" i="2" s="1"/>
  <c r="L32" i="2" s="1"/>
</calcChain>
</file>

<file path=xl/sharedStrings.xml><?xml version="1.0" encoding="utf-8"?>
<sst xmlns="http://schemas.openxmlformats.org/spreadsheetml/2006/main" count="69" uniqueCount="23">
  <si>
    <t>Perdues Ant</t>
  </si>
  <si>
    <t>PiG</t>
  </si>
  <si>
    <t>Any</t>
  </si>
  <si>
    <t>A tributar</t>
  </si>
  <si>
    <t>Dividents</t>
  </si>
  <si>
    <t>Els dividents van a part dels guanys de les accions.</t>
  </si>
  <si>
    <t>Compra</t>
  </si>
  <si>
    <t>Venda</t>
  </si>
  <si>
    <t>Dividends</t>
  </si>
  <si>
    <t>Data</t>
  </si>
  <si>
    <t>Parts</t>
  </si>
  <si>
    <t>PU</t>
  </si>
  <si>
    <t>Brut</t>
  </si>
  <si>
    <t>Net</t>
  </si>
  <si>
    <t>Desp</t>
  </si>
  <si>
    <t>Saldo</t>
  </si>
  <si>
    <t>PiG Brut</t>
  </si>
  <si>
    <t>PiG Net</t>
  </si>
  <si>
    <t>Inditex</t>
  </si>
  <si>
    <t>ISHS MSCI EM MK</t>
  </si>
  <si>
    <t>VANGUARD S&amp;P500</t>
  </si>
  <si>
    <t>Total</t>
  </si>
  <si>
    <t>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</si>
</sst>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164" fontId="1" fillId="0" borderId="0" xfId="0" applyNumberFormat="1" applyFont="1" applyAlignment="1">
      <alignment horizontal="center"/>
    </xf>
    <xf numFmtId="8" fontId="0" fillId="0" borderId="0" xfId="0" applyNumberFormat="1"/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/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0" fillId="2" borderId="0" xfId="0" applyFill="1" applyAlignment="1">
      <alignment vertical="center" wrapText="1"/>
    </xf>
    <xf numFmtId="14" fontId="0" fillId="2" borderId="0" xfId="0" applyNumberFormat="1" applyFill="1" applyAlignment="1">
      <alignment vertical="center" wrapText="1"/>
    </xf>
    <xf numFmtId="3" fontId="0" fillId="2" borderId="0" xfId="0" applyNumberFormat="1" applyFill="1" applyAlignment="1">
      <alignment vertical="center" wrapText="1"/>
    </xf>
    <xf numFmtId="8" fontId="0" fillId="2" borderId="0" xfId="0" applyNumberFormat="1" applyFill="1" applyAlignment="1">
      <alignment vertical="center" wrapText="1"/>
    </xf>
    <xf numFmtId="3" fontId="0" fillId="2" borderId="0" xfId="0" applyNumberFormat="1" applyFill="1"/>
    <xf numFmtId="0" fontId="0" fillId="3" borderId="0" xfId="0" applyFill="1" applyAlignment="1">
      <alignment vertical="center" wrapText="1"/>
    </xf>
    <xf numFmtId="14" fontId="0" fillId="3" borderId="0" xfId="0" applyNumberFormat="1" applyFill="1" applyAlignment="1">
      <alignment vertical="center" wrapText="1"/>
    </xf>
    <xf numFmtId="3" fontId="0" fillId="3" borderId="0" xfId="0" applyNumberFormat="1" applyFill="1" applyAlignment="1">
      <alignment vertical="center" wrapText="1"/>
    </xf>
    <xf numFmtId="8" fontId="0" fillId="3" borderId="0" xfId="0" applyNumberFormat="1" applyFill="1" applyAlignment="1">
      <alignment vertical="center" wrapText="1"/>
    </xf>
    <xf numFmtId="3" fontId="0" fillId="3" borderId="0" xfId="0" applyNumberFormat="1" applyFill="1"/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14" fontId="0" fillId="0" borderId="0" xfId="0" applyNumberFormat="1" applyFill="1" applyAlignment="1">
      <alignment vertical="center" wrapText="1"/>
    </xf>
    <xf numFmtId="3" fontId="0" fillId="0" borderId="0" xfId="0" applyNumberFormat="1" applyFill="1" applyAlignment="1">
      <alignment vertical="center" wrapText="1"/>
    </xf>
    <xf numFmtId="8" fontId="0" fillId="0" borderId="0" xfId="0" applyNumberFormat="1" applyFill="1" applyAlignment="1">
      <alignment vertical="center" wrapText="1"/>
    </xf>
    <xf numFmtId="3" fontId="0" fillId="0" borderId="0" xfId="0" applyNumberFormat="1" applyFill="1"/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vertical="center"/>
    </xf>
    <xf numFmtId="8" fontId="0" fillId="0" borderId="0" xfId="0" applyNumberFormat="1" applyAlignment="1">
      <alignment vertical="center"/>
    </xf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AE93-4712-4139-A243-0172EF8EFE92}">
  <dimension ref="A1:H10"/>
  <sheetViews>
    <sheetView tabSelected="1" zoomScale="145" zoomScaleNormal="145" workbookViewId="0">
      <selection activeCell="C3" sqref="C3"/>
    </sheetView>
  </sheetViews>
  <sheetFormatPr defaultRowHeight="14.5" x14ac:dyDescent="0.35"/>
  <cols>
    <col min="1" max="1" width="4.81640625" bestFit="1" customWidth="1"/>
    <col min="2" max="2" width="10.26953125" style="3" bestFit="1" customWidth="1"/>
    <col min="3" max="3" width="11.36328125" bestFit="1" customWidth="1"/>
    <col min="4" max="4" width="10.26953125" bestFit="1" customWidth="1"/>
    <col min="5" max="5" width="9.26953125" bestFit="1" customWidth="1"/>
    <col min="6" max="6" width="2.08984375" customWidth="1"/>
    <col min="7" max="7" width="10.26953125" bestFit="1" customWidth="1"/>
  </cols>
  <sheetData>
    <row r="1" spans="1:8" x14ac:dyDescent="0.35">
      <c r="A1" s="5" t="s">
        <v>2</v>
      </c>
      <c r="B1" s="5" t="s">
        <v>1</v>
      </c>
      <c r="C1" s="2" t="s">
        <v>0</v>
      </c>
      <c r="D1" s="2" t="s">
        <v>4</v>
      </c>
      <c r="E1" s="2" t="s">
        <v>3</v>
      </c>
      <c r="G1" s="2" t="s">
        <v>22</v>
      </c>
      <c r="H1" s="2" t="s">
        <v>4</v>
      </c>
    </row>
    <row r="2" spans="1:8" x14ac:dyDescent="0.35">
      <c r="A2">
        <v>2016</v>
      </c>
      <c r="B2" s="3">
        <v>2755.13</v>
      </c>
      <c r="C2" s="1"/>
      <c r="D2" s="3">
        <v>54.08</v>
      </c>
      <c r="E2" s="1"/>
      <c r="G2" s="3">
        <v>2755.14</v>
      </c>
      <c r="H2" s="3">
        <v>52.5</v>
      </c>
    </row>
    <row r="3" spans="1:8" x14ac:dyDescent="0.35">
      <c r="A3">
        <v>2017</v>
      </c>
      <c r="B3" s="3">
        <v>438.79</v>
      </c>
      <c r="D3" s="3"/>
      <c r="E3" s="1"/>
      <c r="G3" s="3">
        <v>438.81</v>
      </c>
    </row>
    <row r="4" spans="1:8" x14ac:dyDescent="0.35">
      <c r="A4">
        <v>2018</v>
      </c>
      <c r="B4" s="3">
        <v>-3.13</v>
      </c>
      <c r="C4" s="1"/>
      <c r="D4" s="3">
        <v>1.58</v>
      </c>
      <c r="E4" s="1">
        <v>0</v>
      </c>
      <c r="G4" s="3">
        <v>-7.27</v>
      </c>
      <c r="H4" s="3">
        <v>1.57</v>
      </c>
    </row>
    <row r="5" spans="1:8" x14ac:dyDescent="0.35">
      <c r="A5">
        <v>2019</v>
      </c>
      <c r="B5" s="3">
        <v>-9099.98</v>
      </c>
      <c r="D5" s="3">
        <v>295.85000000000002</v>
      </c>
      <c r="E5" s="1">
        <v>0</v>
      </c>
      <c r="G5" s="3">
        <v>-9095.86</v>
      </c>
      <c r="H5" s="3">
        <v>294.32</v>
      </c>
    </row>
    <row r="6" spans="1:8" x14ac:dyDescent="0.35">
      <c r="A6">
        <v>2020</v>
      </c>
      <c r="B6" s="3">
        <v>3164</v>
      </c>
      <c r="C6" s="1">
        <v>3164</v>
      </c>
      <c r="D6" s="3"/>
      <c r="E6" s="1">
        <f>+B6-C6</f>
        <v>0</v>
      </c>
      <c r="G6" s="3">
        <v>3125.41</v>
      </c>
    </row>
    <row r="7" spans="1:8" x14ac:dyDescent="0.35">
      <c r="A7">
        <v>2021</v>
      </c>
      <c r="B7" s="3">
        <v>12941.69</v>
      </c>
      <c r="C7" s="1">
        <v>5845.75</v>
      </c>
      <c r="D7" s="4">
        <v>467.17</v>
      </c>
      <c r="E7" s="1">
        <f>+B7-C7</f>
        <v>7095.9400000000005</v>
      </c>
      <c r="G7" s="3">
        <v>12950.7</v>
      </c>
      <c r="H7" s="3">
        <v>467.17</v>
      </c>
    </row>
    <row r="8" spans="1:8" x14ac:dyDescent="0.35">
      <c r="C8" s="3"/>
      <c r="D8" s="4"/>
      <c r="E8" s="1"/>
    </row>
    <row r="9" spans="1:8" x14ac:dyDescent="0.35">
      <c r="A9" s="6" t="s">
        <v>5</v>
      </c>
      <c r="D9" s="3"/>
    </row>
    <row r="10" spans="1:8" x14ac:dyDescent="0.35">
      <c r="C10" s="3"/>
    </row>
  </sheetData>
  <sortState xmlns:xlrd2="http://schemas.microsoft.com/office/spreadsheetml/2017/richdata2" ref="A4:C7">
    <sortCondition ref="A1:A7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3EA48-2793-48CB-954A-53980F170702}">
  <dimension ref="A1:L35"/>
  <sheetViews>
    <sheetView workbookViewId="0">
      <pane ySplit="1" topLeftCell="A5" activePane="bottomLeft" state="frozen"/>
      <selection pane="bottomLeft" sqref="A1:L1"/>
    </sheetView>
  </sheetViews>
  <sheetFormatPr defaultRowHeight="14.5" x14ac:dyDescent="0.35"/>
  <cols>
    <col min="1" max="1" width="1.90625" customWidth="1"/>
    <col min="2" max="2" width="3.81640625" bestFit="1" customWidth="1"/>
    <col min="3" max="3" width="9.81640625" customWidth="1"/>
    <col min="4" max="4" width="10.453125" bestFit="1" customWidth="1"/>
    <col min="5" max="5" width="5.36328125" style="10" bestFit="1" customWidth="1"/>
    <col min="7" max="8" width="10.26953125" bestFit="1" customWidth="1"/>
    <col min="9" max="9" width="0" hidden="1" customWidth="1"/>
    <col min="11" max="11" width="1.6328125" customWidth="1"/>
    <col min="12" max="12" width="6.1796875" customWidth="1"/>
  </cols>
  <sheetData>
    <row r="1" spans="1:12" x14ac:dyDescent="0.35">
      <c r="D1" s="12" t="s">
        <v>9</v>
      </c>
      <c r="E1" s="13" t="s">
        <v>10</v>
      </c>
      <c r="F1" s="12" t="s">
        <v>11</v>
      </c>
      <c r="G1" s="12" t="s">
        <v>12</v>
      </c>
      <c r="H1" s="12" t="s">
        <v>13</v>
      </c>
      <c r="I1" s="12"/>
      <c r="J1" s="12" t="s">
        <v>14</v>
      </c>
      <c r="L1" s="12" t="s">
        <v>15</v>
      </c>
    </row>
    <row r="2" spans="1:12" x14ac:dyDescent="0.35">
      <c r="A2" s="7"/>
      <c r="B2" s="14">
        <v>79</v>
      </c>
      <c r="C2" s="14" t="s">
        <v>6</v>
      </c>
      <c r="D2" s="15">
        <v>41711</v>
      </c>
      <c r="E2" s="16">
        <v>925</v>
      </c>
      <c r="F2" s="17">
        <v>10.824999999999999</v>
      </c>
      <c r="G2" s="17">
        <v>10013.129999999999</v>
      </c>
      <c r="H2" s="17">
        <v>10028.19</v>
      </c>
      <c r="I2" s="14">
        <v>1</v>
      </c>
      <c r="J2" s="17">
        <v>15.06</v>
      </c>
      <c r="K2" s="14"/>
      <c r="L2" s="18">
        <f>E2</f>
        <v>925</v>
      </c>
    </row>
    <row r="3" spans="1:12" x14ac:dyDescent="0.35">
      <c r="A3" s="7"/>
      <c r="B3" s="14">
        <v>80</v>
      </c>
      <c r="C3" s="14" t="s">
        <v>7</v>
      </c>
      <c r="D3" s="15">
        <v>41717</v>
      </c>
      <c r="E3" s="16">
        <v>925</v>
      </c>
      <c r="F3" s="17">
        <v>11.05</v>
      </c>
      <c r="G3" s="17">
        <v>10221.25</v>
      </c>
      <c r="H3" s="17">
        <v>10195.93</v>
      </c>
      <c r="I3" s="14">
        <v>1</v>
      </c>
      <c r="J3" s="17">
        <v>25.32</v>
      </c>
      <c r="K3" s="14"/>
      <c r="L3" s="18">
        <f>L2-E3</f>
        <v>0</v>
      </c>
    </row>
    <row r="4" spans="1:12" x14ac:dyDescent="0.35">
      <c r="A4" s="7"/>
      <c r="B4" s="14">
        <v>81</v>
      </c>
      <c r="C4" s="14" t="s">
        <v>6</v>
      </c>
      <c r="D4" s="15">
        <v>41830</v>
      </c>
      <c r="E4" s="16">
        <v>929</v>
      </c>
      <c r="F4" s="17">
        <v>10.74</v>
      </c>
      <c r="G4" s="17">
        <v>9977.4599999999991</v>
      </c>
      <c r="H4" s="17">
        <v>9992.52</v>
      </c>
      <c r="I4" s="14">
        <v>1</v>
      </c>
      <c r="J4" s="17">
        <v>15.06</v>
      </c>
      <c r="K4" s="14"/>
      <c r="L4" s="18">
        <f>L3+E4</f>
        <v>929</v>
      </c>
    </row>
    <row r="5" spans="1:12" x14ac:dyDescent="0.35">
      <c r="A5" s="7"/>
      <c r="B5" s="14">
        <v>82</v>
      </c>
      <c r="C5" s="14" t="s">
        <v>7</v>
      </c>
      <c r="D5" s="15">
        <v>41877</v>
      </c>
      <c r="E5" s="16">
        <v>929</v>
      </c>
      <c r="F5" s="17">
        <v>10.98</v>
      </c>
      <c r="G5" s="17">
        <v>10200.42</v>
      </c>
      <c r="H5" s="17">
        <v>10185.33</v>
      </c>
      <c r="I5" s="14">
        <v>1</v>
      </c>
      <c r="J5" s="17">
        <v>15.09</v>
      </c>
      <c r="K5" s="14"/>
      <c r="L5" s="18">
        <f t="shared" ref="L5:L32" si="0">L4-E5</f>
        <v>0</v>
      </c>
    </row>
    <row r="6" spans="1:12" x14ac:dyDescent="0.35">
      <c r="A6" s="7"/>
      <c r="B6" s="14">
        <v>83</v>
      </c>
      <c r="C6" s="14" t="s">
        <v>6</v>
      </c>
      <c r="D6" s="15">
        <v>41984</v>
      </c>
      <c r="E6" s="16">
        <v>5386</v>
      </c>
      <c r="F6" s="17">
        <v>9.2676999999999996</v>
      </c>
      <c r="G6" s="17">
        <v>49916.04</v>
      </c>
      <c r="H6" s="17">
        <v>49936.18</v>
      </c>
      <c r="I6" s="14">
        <v>1</v>
      </c>
      <c r="J6" s="17">
        <v>20.14</v>
      </c>
      <c r="K6" s="14"/>
      <c r="L6" s="18">
        <f>L5+E6</f>
        <v>5386</v>
      </c>
    </row>
    <row r="7" spans="1:12" x14ac:dyDescent="0.35">
      <c r="A7" s="7"/>
      <c r="B7" s="19">
        <v>84</v>
      </c>
      <c r="C7" s="19" t="s">
        <v>7</v>
      </c>
      <c r="D7" s="20">
        <v>42047</v>
      </c>
      <c r="E7" s="21">
        <v>5386</v>
      </c>
      <c r="F7" s="22">
        <v>9.0449999999999999</v>
      </c>
      <c r="G7" s="22">
        <v>48716.37</v>
      </c>
      <c r="H7" s="22">
        <v>48696.34</v>
      </c>
      <c r="I7" s="19">
        <v>1</v>
      </c>
      <c r="J7" s="22">
        <v>20.03</v>
      </c>
      <c r="K7" s="19"/>
      <c r="L7" s="23">
        <f t="shared" si="0"/>
        <v>0</v>
      </c>
    </row>
    <row r="8" spans="1:12" x14ac:dyDescent="0.35">
      <c r="A8" s="7"/>
      <c r="B8" s="19">
        <v>94</v>
      </c>
      <c r="C8" s="19" t="s">
        <v>6</v>
      </c>
      <c r="D8" s="20">
        <v>42212</v>
      </c>
      <c r="E8" s="21">
        <v>6415</v>
      </c>
      <c r="F8" s="22">
        <v>7.7939999999999996</v>
      </c>
      <c r="G8" s="22">
        <v>49998.51</v>
      </c>
      <c r="H8" s="22">
        <v>50018.66</v>
      </c>
      <c r="I8" s="19">
        <v>1</v>
      </c>
      <c r="J8" s="22">
        <v>20.149999999999999</v>
      </c>
      <c r="K8" s="19"/>
      <c r="L8" s="23">
        <f>L7+E8</f>
        <v>6415</v>
      </c>
    </row>
    <row r="9" spans="1:12" x14ac:dyDescent="0.35">
      <c r="A9" s="7"/>
      <c r="B9" s="19">
        <v>97</v>
      </c>
      <c r="C9" s="19" t="s">
        <v>7</v>
      </c>
      <c r="D9" s="20">
        <v>42214</v>
      </c>
      <c r="E9" s="21">
        <v>6415</v>
      </c>
      <c r="F9" s="22">
        <v>8.19</v>
      </c>
      <c r="G9" s="22">
        <v>52538.85</v>
      </c>
      <c r="H9" s="22">
        <v>52518.45</v>
      </c>
      <c r="I9" s="19">
        <v>1</v>
      </c>
      <c r="J9" s="22">
        <v>20.399999999999999</v>
      </c>
      <c r="K9" s="19"/>
      <c r="L9" s="23">
        <f t="shared" si="0"/>
        <v>0</v>
      </c>
    </row>
    <row r="10" spans="1:12" x14ac:dyDescent="0.35">
      <c r="A10" s="7"/>
      <c r="B10" s="14">
        <v>151</v>
      </c>
      <c r="C10" s="14" t="s">
        <v>6</v>
      </c>
      <c r="D10" s="15">
        <v>42822</v>
      </c>
      <c r="E10" s="16">
        <v>527</v>
      </c>
      <c r="F10" s="17">
        <v>22.773</v>
      </c>
      <c r="G10" s="17">
        <v>12001.37</v>
      </c>
      <c r="H10" s="17">
        <v>12016.52</v>
      </c>
      <c r="I10" s="14">
        <v>1</v>
      </c>
      <c r="J10" s="17">
        <v>15.15</v>
      </c>
      <c r="K10" s="24"/>
      <c r="L10" s="18">
        <f>L9+E10</f>
        <v>527</v>
      </c>
    </row>
    <row r="11" spans="1:12" x14ac:dyDescent="0.35">
      <c r="A11" s="7"/>
      <c r="B11" s="19">
        <v>165</v>
      </c>
      <c r="C11" s="19" t="s">
        <v>7</v>
      </c>
      <c r="D11" s="20">
        <v>43236</v>
      </c>
      <c r="E11" s="21">
        <v>527</v>
      </c>
      <c r="F11" s="22">
        <v>30.416</v>
      </c>
      <c r="G11" s="22">
        <v>16029.25</v>
      </c>
      <c r="H11" s="22">
        <v>16001.8</v>
      </c>
      <c r="I11" s="19">
        <v>1</v>
      </c>
      <c r="J11" s="22">
        <v>27.45</v>
      </c>
      <c r="K11" s="19"/>
      <c r="L11" s="23">
        <f t="shared" si="0"/>
        <v>0</v>
      </c>
    </row>
    <row r="12" spans="1:12" x14ac:dyDescent="0.35">
      <c r="A12" s="7"/>
      <c r="B12" s="19">
        <v>166</v>
      </c>
      <c r="C12" s="19" t="s">
        <v>6</v>
      </c>
      <c r="D12" s="20">
        <v>43389</v>
      </c>
      <c r="E12" s="21">
        <v>1600</v>
      </c>
      <c r="F12" s="22">
        <v>24.388000000000002</v>
      </c>
      <c r="G12" s="22">
        <v>39020.800000000003</v>
      </c>
      <c r="H12" s="22">
        <v>39049.31</v>
      </c>
      <c r="I12" s="19">
        <v>1</v>
      </c>
      <c r="J12" s="22">
        <v>28.51</v>
      </c>
      <c r="K12" s="19"/>
      <c r="L12" s="23">
        <f>L11+E12</f>
        <v>1600</v>
      </c>
    </row>
    <row r="13" spans="1:12" x14ac:dyDescent="0.35">
      <c r="A13" s="7"/>
      <c r="B13" s="19">
        <v>169</v>
      </c>
      <c r="C13" s="19" t="s">
        <v>7</v>
      </c>
      <c r="D13" s="20">
        <v>43458</v>
      </c>
      <c r="E13" s="21">
        <v>648</v>
      </c>
      <c r="F13" s="22">
        <v>18.260000000000002</v>
      </c>
      <c r="G13" s="22">
        <v>11832.48</v>
      </c>
      <c r="H13" s="22">
        <v>11822.42</v>
      </c>
      <c r="I13" s="19">
        <v>1</v>
      </c>
      <c r="J13" s="22">
        <v>10.06</v>
      </c>
      <c r="K13" s="19"/>
      <c r="L13" s="23">
        <f t="shared" si="0"/>
        <v>952</v>
      </c>
    </row>
    <row r="14" spans="1:12" ht="13" customHeight="1" x14ac:dyDescent="0.35">
      <c r="A14" s="7"/>
      <c r="B14" s="14">
        <v>174</v>
      </c>
      <c r="C14" s="14" t="s">
        <v>6</v>
      </c>
      <c r="D14" s="15">
        <v>43550</v>
      </c>
      <c r="E14" s="16">
        <v>700</v>
      </c>
      <c r="F14" s="17">
        <v>18.027999999999999</v>
      </c>
      <c r="G14" s="17">
        <v>12619.6</v>
      </c>
      <c r="H14" s="17">
        <v>12629.66</v>
      </c>
      <c r="I14" s="14">
        <v>1</v>
      </c>
      <c r="J14" s="17">
        <v>10.06</v>
      </c>
      <c r="K14" s="14"/>
      <c r="L14" s="18">
        <f>L13+E14</f>
        <v>1652</v>
      </c>
    </row>
    <row r="15" spans="1:12" ht="13" customHeight="1" x14ac:dyDescent="0.35">
      <c r="A15" s="7"/>
      <c r="B15" s="14">
        <v>177</v>
      </c>
      <c r="C15" s="14" t="s">
        <v>7</v>
      </c>
      <c r="D15" s="15">
        <v>43797</v>
      </c>
      <c r="E15" s="16">
        <v>1252</v>
      </c>
      <c r="F15" s="17">
        <v>15.624000000000001</v>
      </c>
      <c r="G15" s="17">
        <v>19561.25</v>
      </c>
      <c r="H15" s="17">
        <v>19551.189999999999</v>
      </c>
      <c r="I15" s="14">
        <v>1</v>
      </c>
      <c r="J15" s="17">
        <v>10.06</v>
      </c>
      <c r="K15" s="14"/>
      <c r="L15" s="18">
        <f>L34-E15</f>
        <v>400</v>
      </c>
    </row>
    <row r="16" spans="1:12" ht="13" customHeight="1" x14ac:dyDescent="0.35">
      <c r="A16" s="7"/>
      <c r="B16" s="14">
        <v>178</v>
      </c>
      <c r="C16" s="14" t="s">
        <v>6</v>
      </c>
      <c r="D16" s="15">
        <v>43802</v>
      </c>
      <c r="E16" s="16">
        <v>500</v>
      </c>
      <c r="F16" s="17">
        <v>15.32</v>
      </c>
      <c r="G16" s="17">
        <v>7660</v>
      </c>
      <c r="H16" s="17">
        <v>7670.06</v>
      </c>
      <c r="I16" s="14">
        <v>1</v>
      </c>
      <c r="J16" s="17">
        <v>10.06</v>
      </c>
      <c r="K16" s="14"/>
      <c r="L16" s="18">
        <f>L15+E16</f>
        <v>900</v>
      </c>
    </row>
    <row r="17" spans="1:12" ht="13" customHeight="1" x14ac:dyDescent="0.35">
      <c r="A17" s="7"/>
      <c r="B17" s="14">
        <v>190</v>
      </c>
      <c r="C17" s="14" t="s">
        <v>6</v>
      </c>
      <c r="D17" s="15">
        <v>43802</v>
      </c>
      <c r="E17" s="16">
        <v>92</v>
      </c>
      <c r="F17" s="17">
        <v>15.32</v>
      </c>
      <c r="G17" s="17">
        <v>1409.44</v>
      </c>
      <c r="H17" s="17">
        <v>1414.5</v>
      </c>
      <c r="I17" s="14">
        <v>1</v>
      </c>
      <c r="J17" s="17">
        <v>5.0599999999999996</v>
      </c>
      <c r="K17" s="14"/>
      <c r="L17" s="18">
        <f>L16+E17</f>
        <v>992</v>
      </c>
    </row>
    <row r="18" spans="1:12" ht="13" customHeight="1" x14ac:dyDescent="0.35">
      <c r="A18" s="7"/>
      <c r="B18" s="14">
        <v>191</v>
      </c>
      <c r="C18" s="14" t="s">
        <v>6</v>
      </c>
      <c r="D18" s="15">
        <v>43802</v>
      </c>
      <c r="E18" s="16">
        <v>660</v>
      </c>
      <c r="F18" s="17">
        <v>15.31</v>
      </c>
      <c r="G18" s="17">
        <v>10104.6</v>
      </c>
      <c r="H18" s="17">
        <v>10114.77</v>
      </c>
      <c r="I18" s="14">
        <v>1</v>
      </c>
      <c r="J18" s="17">
        <v>10.17</v>
      </c>
      <c r="K18" s="14"/>
      <c r="L18" s="18">
        <f>L17+E18</f>
        <v>1652</v>
      </c>
    </row>
    <row r="19" spans="1:12" ht="13" customHeight="1" x14ac:dyDescent="0.35">
      <c r="A19" s="7"/>
      <c r="B19" s="19">
        <v>179</v>
      </c>
      <c r="C19" s="19" t="s">
        <v>7</v>
      </c>
      <c r="D19" s="20">
        <v>43872</v>
      </c>
      <c r="E19" s="21">
        <v>1252</v>
      </c>
      <c r="F19" s="22">
        <v>16.611999999999998</v>
      </c>
      <c r="G19" s="22">
        <v>20798.22</v>
      </c>
      <c r="H19" s="22">
        <v>20781.68</v>
      </c>
      <c r="I19" s="19">
        <v>1</v>
      </c>
      <c r="J19" s="22">
        <v>16.54</v>
      </c>
      <c r="K19" s="19"/>
      <c r="L19" s="23">
        <f>L18-E19</f>
        <v>400</v>
      </c>
    </row>
    <row r="20" spans="1:12" ht="13" customHeight="1" x14ac:dyDescent="0.35">
      <c r="A20" s="7"/>
      <c r="B20" s="19">
        <v>182</v>
      </c>
      <c r="C20" s="19" t="s">
        <v>6</v>
      </c>
      <c r="D20" s="20">
        <v>43893</v>
      </c>
      <c r="E20" s="21">
        <v>567</v>
      </c>
      <c r="F20" s="22">
        <v>13.28</v>
      </c>
      <c r="G20" s="22">
        <v>7529.76</v>
      </c>
      <c r="H20" s="22">
        <v>7539.93</v>
      </c>
      <c r="I20" s="19">
        <v>1</v>
      </c>
      <c r="J20" s="22">
        <v>10.17</v>
      </c>
      <c r="K20" s="19"/>
      <c r="L20" s="23">
        <f>L19+E20</f>
        <v>967</v>
      </c>
    </row>
    <row r="21" spans="1:12" ht="13" customHeight="1" x14ac:dyDescent="0.35">
      <c r="A21" s="7"/>
      <c r="B21" s="19">
        <v>192</v>
      </c>
      <c r="C21" s="19" t="s">
        <v>6</v>
      </c>
      <c r="D21" s="20">
        <v>43893</v>
      </c>
      <c r="E21" s="21">
        <v>500</v>
      </c>
      <c r="F21" s="22">
        <v>13.28</v>
      </c>
      <c r="G21" s="22">
        <v>6640</v>
      </c>
      <c r="H21" s="22">
        <v>6650.06</v>
      </c>
      <c r="I21" s="19">
        <v>1</v>
      </c>
      <c r="J21" s="22">
        <v>10.06</v>
      </c>
      <c r="K21" s="19"/>
      <c r="L21" s="23">
        <f>L20+E21</f>
        <v>1467</v>
      </c>
    </row>
    <row r="22" spans="1:12" ht="13" customHeight="1" x14ac:dyDescent="0.35">
      <c r="A22" s="7"/>
      <c r="B22" s="19">
        <v>193</v>
      </c>
      <c r="C22" s="19" t="s">
        <v>6</v>
      </c>
      <c r="D22" s="20">
        <v>43893</v>
      </c>
      <c r="E22" s="21">
        <v>433</v>
      </c>
      <c r="F22" s="22">
        <v>13.29</v>
      </c>
      <c r="G22" s="22">
        <v>5754.57</v>
      </c>
      <c r="H22" s="22">
        <v>5762.63</v>
      </c>
      <c r="I22" s="19">
        <v>1</v>
      </c>
      <c r="J22" s="22">
        <v>8.06</v>
      </c>
      <c r="K22" s="19"/>
      <c r="L22" s="23">
        <f>L21+E22</f>
        <v>1900</v>
      </c>
    </row>
    <row r="23" spans="1:12" ht="13" customHeight="1" x14ac:dyDescent="0.35">
      <c r="A23" s="7"/>
      <c r="B23" s="14">
        <v>206</v>
      </c>
      <c r="C23" s="14" t="s">
        <v>7</v>
      </c>
      <c r="D23" s="15">
        <v>44559</v>
      </c>
      <c r="E23" s="16">
        <v>54</v>
      </c>
      <c r="F23" s="17">
        <v>28.6</v>
      </c>
      <c r="G23" s="17">
        <v>1544.4</v>
      </c>
      <c r="H23" s="17">
        <v>1543.79</v>
      </c>
      <c r="I23" s="14">
        <v>1</v>
      </c>
      <c r="J23" s="17">
        <v>0.61</v>
      </c>
      <c r="K23" s="14"/>
      <c r="L23" s="18">
        <f t="shared" si="0"/>
        <v>1846</v>
      </c>
    </row>
    <row r="24" spans="1:12" x14ac:dyDescent="0.35">
      <c r="A24" s="7"/>
      <c r="B24" s="14">
        <v>207</v>
      </c>
      <c r="C24" s="14" t="s">
        <v>7</v>
      </c>
      <c r="D24" s="15">
        <v>44559</v>
      </c>
      <c r="E24" s="16">
        <v>846</v>
      </c>
      <c r="F24" s="17">
        <v>28.6</v>
      </c>
      <c r="G24" s="17">
        <v>24195.599999999999</v>
      </c>
      <c r="H24" s="17">
        <v>24186.04</v>
      </c>
      <c r="I24" s="14">
        <v>1</v>
      </c>
      <c r="J24" s="17">
        <v>9.56</v>
      </c>
      <c r="K24" s="14"/>
      <c r="L24" s="18">
        <f t="shared" si="0"/>
        <v>1000</v>
      </c>
    </row>
    <row r="25" spans="1:12" x14ac:dyDescent="0.35">
      <c r="A25" s="7"/>
      <c r="B25" s="19">
        <v>208</v>
      </c>
      <c r="C25" s="19" t="s">
        <v>7</v>
      </c>
      <c r="D25" s="20">
        <v>44572</v>
      </c>
      <c r="E25" s="21">
        <v>28</v>
      </c>
      <c r="F25" s="22">
        <v>30.7</v>
      </c>
      <c r="G25" s="22">
        <v>859.6</v>
      </c>
      <c r="H25" s="22">
        <v>859.3</v>
      </c>
      <c r="I25" s="19">
        <v>1</v>
      </c>
      <c r="J25" s="22">
        <v>0.3</v>
      </c>
      <c r="K25" s="19"/>
      <c r="L25" s="23">
        <f t="shared" si="0"/>
        <v>972</v>
      </c>
    </row>
    <row r="26" spans="1:12" x14ac:dyDescent="0.35">
      <c r="A26" s="7"/>
      <c r="B26" s="19">
        <v>209</v>
      </c>
      <c r="C26" s="19" t="s">
        <v>7</v>
      </c>
      <c r="D26" s="20">
        <v>44572</v>
      </c>
      <c r="E26" s="21">
        <v>44</v>
      </c>
      <c r="F26" s="22">
        <v>30.7</v>
      </c>
      <c r="G26" s="22">
        <v>1350.8</v>
      </c>
      <c r="H26" s="22">
        <v>1350.32</v>
      </c>
      <c r="I26" s="19">
        <v>1</v>
      </c>
      <c r="J26" s="22">
        <v>0.48</v>
      </c>
      <c r="K26" s="19"/>
      <c r="L26" s="23">
        <f t="shared" si="0"/>
        <v>928</v>
      </c>
    </row>
    <row r="27" spans="1:12" x14ac:dyDescent="0.35">
      <c r="A27" s="7"/>
      <c r="B27" s="19">
        <v>210</v>
      </c>
      <c r="C27" s="19" t="s">
        <v>7</v>
      </c>
      <c r="D27" s="20">
        <v>44572</v>
      </c>
      <c r="E27" s="21">
        <v>29</v>
      </c>
      <c r="F27" s="22">
        <v>30.7</v>
      </c>
      <c r="G27" s="22">
        <v>890.3</v>
      </c>
      <c r="H27" s="22">
        <v>889.99</v>
      </c>
      <c r="I27" s="19">
        <v>1</v>
      </c>
      <c r="J27" s="22">
        <v>0.31</v>
      </c>
      <c r="K27" s="19"/>
      <c r="L27" s="23">
        <f t="shared" si="0"/>
        <v>899</v>
      </c>
    </row>
    <row r="28" spans="1:12" x14ac:dyDescent="0.35">
      <c r="A28" s="7"/>
      <c r="B28" s="19">
        <v>211</v>
      </c>
      <c r="C28" s="19" t="s">
        <v>7</v>
      </c>
      <c r="D28" s="20">
        <v>44572</v>
      </c>
      <c r="E28" s="21">
        <v>84</v>
      </c>
      <c r="F28" s="22">
        <v>30.7</v>
      </c>
      <c r="G28" s="22">
        <v>2578.8000000000002</v>
      </c>
      <c r="H28" s="22">
        <v>2577.89</v>
      </c>
      <c r="I28" s="19">
        <v>1</v>
      </c>
      <c r="J28" s="22">
        <v>0.91</v>
      </c>
      <c r="K28" s="19"/>
      <c r="L28" s="23">
        <f t="shared" si="0"/>
        <v>815</v>
      </c>
    </row>
    <row r="29" spans="1:12" x14ac:dyDescent="0.35">
      <c r="A29" s="7"/>
      <c r="B29" s="19">
        <v>212</v>
      </c>
      <c r="C29" s="19" t="s">
        <v>7</v>
      </c>
      <c r="D29" s="20">
        <v>44572</v>
      </c>
      <c r="E29" s="21">
        <v>150</v>
      </c>
      <c r="F29" s="22">
        <v>30.7</v>
      </c>
      <c r="G29" s="22">
        <v>4605</v>
      </c>
      <c r="H29" s="22">
        <v>4603.37</v>
      </c>
      <c r="I29" s="19">
        <v>1</v>
      </c>
      <c r="J29" s="22">
        <v>1.63</v>
      </c>
      <c r="K29" s="19"/>
      <c r="L29" s="23">
        <f t="shared" si="0"/>
        <v>665</v>
      </c>
    </row>
    <row r="30" spans="1:12" x14ac:dyDescent="0.35">
      <c r="A30" s="7"/>
      <c r="B30" s="19">
        <v>213</v>
      </c>
      <c r="C30" s="19" t="s">
        <v>7</v>
      </c>
      <c r="D30" s="20">
        <v>44572</v>
      </c>
      <c r="E30" s="21">
        <v>447</v>
      </c>
      <c r="F30" s="22">
        <v>30.7</v>
      </c>
      <c r="G30" s="22">
        <v>13722.9</v>
      </c>
      <c r="H30" s="22">
        <v>13718.06</v>
      </c>
      <c r="I30" s="19">
        <v>1</v>
      </c>
      <c r="J30" s="22">
        <v>4.84</v>
      </c>
      <c r="K30" s="19"/>
      <c r="L30" s="23">
        <f t="shared" si="0"/>
        <v>218</v>
      </c>
    </row>
    <row r="31" spans="1:12" x14ac:dyDescent="0.35">
      <c r="A31" s="7"/>
      <c r="B31" s="19">
        <v>214</v>
      </c>
      <c r="C31" s="19" t="s">
        <v>7</v>
      </c>
      <c r="D31" s="20">
        <v>44572</v>
      </c>
      <c r="E31" s="21">
        <v>72</v>
      </c>
      <c r="F31" s="22">
        <v>30.7</v>
      </c>
      <c r="G31" s="22">
        <v>2210.4</v>
      </c>
      <c r="H31" s="22">
        <v>2209.62</v>
      </c>
      <c r="I31" s="19">
        <v>1</v>
      </c>
      <c r="J31" s="22">
        <v>0.78</v>
      </c>
      <c r="K31" s="19"/>
      <c r="L31" s="23">
        <f t="shared" si="0"/>
        <v>146</v>
      </c>
    </row>
    <row r="32" spans="1:12" x14ac:dyDescent="0.35">
      <c r="A32" s="7"/>
      <c r="B32" s="19">
        <v>215</v>
      </c>
      <c r="C32" s="19" t="s">
        <v>7</v>
      </c>
      <c r="D32" s="20">
        <v>44572</v>
      </c>
      <c r="E32" s="21">
        <v>146</v>
      </c>
      <c r="F32" s="22">
        <v>30.7</v>
      </c>
      <c r="G32" s="22">
        <v>4482.2</v>
      </c>
      <c r="H32" s="22">
        <v>4480.62</v>
      </c>
      <c r="I32" s="19">
        <v>1</v>
      </c>
      <c r="J32" s="22">
        <v>1.58</v>
      </c>
      <c r="K32" s="19"/>
      <c r="L32" s="23">
        <f t="shared" si="0"/>
        <v>0</v>
      </c>
    </row>
    <row r="34" spans="1:12" ht="13" customHeight="1" x14ac:dyDescent="0.35">
      <c r="A34" s="7"/>
      <c r="B34" s="25">
        <v>176</v>
      </c>
      <c r="C34" s="25" t="s">
        <v>8</v>
      </c>
      <c r="D34" s="26">
        <v>43629</v>
      </c>
      <c r="E34" s="27">
        <v>0</v>
      </c>
      <c r="F34" s="28">
        <v>294.32</v>
      </c>
      <c r="G34" s="28">
        <v>294.32</v>
      </c>
      <c r="H34" s="28">
        <v>294.32</v>
      </c>
      <c r="I34" s="25">
        <v>1</v>
      </c>
      <c r="J34" s="28">
        <v>0</v>
      </c>
      <c r="K34" s="25"/>
      <c r="L34" s="29">
        <f>L14-E34</f>
        <v>1652</v>
      </c>
    </row>
    <row r="35" spans="1:12" ht="13" customHeight="1" x14ac:dyDescent="0.35">
      <c r="A35" s="7"/>
      <c r="B35" s="25">
        <v>195</v>
      </c>
      <c r="C35" s="25" t="s">
        <v>8</v>
      </c>
      <c r="D35" s="26">
        <v>44362</v>
      </c>
      <c r="E35" s="27">
        <v>0</v>
      </c>
      <c r="F35" s="28">
        <v>467.17</v>
      </c>
      <c r="G35" s="28">
        <v>467.17</v>
      </c>
      <c r="H35" s="28">
        <v>467.17</v>
      </c>
      <c r="I35" s="25">
        <v>1</v>
      </c>
      <c r="J35" s="28">
        <v>0</v>
      </c>
      <c r="K35" s="30"/>
      <c r="L35" s="29">
        <f>L22-E35</f>
        <v>1900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5CE1-B01F-4979-85E4-1354402328F9}">
  <dimension ref="A1:O17"/>
  <sheetViews>
    <sheetView workbookViewId="0">
      <selection activeCell="A6" sqref="A6:XFD6"/>
    </sheetView>
  </sheetViews>
  <sheetFormatPr defaultRowHeight="14.5" x14ac:dyDescent="0.35"/>
  <cols>
    <col min="1" max="1" width="2.54296875" customWidth="1"/>
    <col min="2" max="2" width="3.81640625" bestFit="1" customWidth="1"/>
    <col min="3" max="3" width="9.6328125" customWidth="1"/>
    <col min="4" max="4" width="10.453125" bestFit="1" customWidth="1"/>
    <col min="7" max="8" width="10.26953125" bestFit="1" customWidth="1"/>
    <col min="11" max="11" width="1.26953125" customWidth="1"/>
    <col min="12" max="12" width="5.36328125" bestFit="1" customWidth="1"/>
    <col min="13" max="13" width="2.90625" customWidth="1"/>
  </cols>
  <sheetData>
    <row r="1" spans="1:15" x14ac:dyDescent="0.35">
      <c r="D1" s="12" t="s">
        <v>9</v>
      </c>
      <c r="E1" s="13" t="s">
        <v>10</v>
      </c>
      <c r="F1" s="12" t="s">
        <v>11</v>
      </c>
      <c r="G1" s="12" t="s">
        <v>12</v>
      </c>
      <c r="H1" s="12" t="s">
        <v>13</v>
      </c>
      <c r="I1" s="12"/>
      <c r="J1" s="12" t="s">
        <v>14</v>
      </c>
      <c r="L1" s="12" t="s">
        <v>15</v>
      </c>
      <c r="N1" s="12" t="s">
        <v>16</v>
      </c>
      <c r="O1" s="12" t="s">
        <v>17</v>
      </c>
    </row>
    <row r="2" spans="1:15" x14ac:dyDescent="0.35">
      <c r="B2" s="6" t="s">
        <v>18</v>
      </c>
      <c r="D2" s="12"/>
      <c r="E2" s="13"/>
      <c r="F2" s="12"/>
      <c r="G2" s="12"/>
      <c r="H2" s="12"/>
      <c r="I2" s="12"/>
      <c r="J2" s="12"/>
      <c r="L2" s="12"/>
    </row>
    <row r="3" spans="1:15" x14ac:dyDescent="0.35">
      <c r="A3" s="31"/>
      <c r="B3" s="11">
        <v>123</v>
      </c>
      <c r="C3" s="11" t="s">
        <v>6</v>
      </c>
      <c r="D3" s="32">
        <v>42642</v>
      </c>
      <c r="E3" s="11">
        <v>175</v>
      </c>
      <c r="F3" s="33">
        <v>33.215000000000003</v>
      </c>
      <c r="G3" s="33">
        <v>5812.63</v>
      </c>
      <c r="H3" s="33">
        <v>5825.04</v>
      </c>
      <c r="I3" s="11">
        <v>1</v>
      </c>
      <c r="J3" s="33">
        <v>12.41</v>
      </c>
      <c r="K3" s="11"/>
      <c r="L3">
        <f>E3</f>
        <v>175</v>
      </c>
    </row>
    <row r="4" spans="1:15" x14ac:dyDescent="0.35">
      <c r="A4" s="31"/>
      <c r="B4" s="11">
        <v>131</v>
      </c>
      <c r="C4" s="11" t="s">
        <v>6</v>
      </c>
      <c r="D4" s="32">
        <v>42752</v>
      </c>
      <c r="E4" s="11">
        <v>200</v>
      </c>
      <c r="F4" s="33">
        <v>31.45</v>
      </c>
      <c r="G4" s="33">
        <v>6290</v>
      </c>
      <c r="H4" s="33">
        <v>6304.57</v>
      </c>
      <c r="I4" s="11">
        <v>1</v>
      </c>
      <c r="J4" s="33">
        <v>14.57</v>
      </c>
      <c r="K4" s="11"/>
      <c r="L4">
        <f>L3+E4</f>
        <v>375</v>
      </c>
    </row>
    <row r="5" spans="1:15" x14ac:dyDescent="0.35">
      <c r="A5" s="31"/>
      <c r="B5" s="11">
        <v>140</v>
      </c>
      <c r="C5" s="11" t="s">
        <v>7</v>
      </c>
      <c r="D5" s="32">
        <v>42835</v>
      </c>
      <c r="E5" s="11">
        <v>375</v>
      </c>
      <c r="F5" s="33">
        <v>33.799999999999997</v>
      </c>
      <c r="G5" s="33">
        <v>12675</v>
      </c>
      <c r="H5" s="33">
        <v>12659.66</v>
      </c>
      <c r="I5" s="11">
        <v>1</v>
      </c>
      <c r="J5" s="33">
        <v>15.34</v>
      </c>
      <c r="K5" s="11"/>
      <c r="L5">
        <f>L4-E5</f>
        <v>0</v>
      </c>
      <c r="N5" s="3">
        <f>G5-G4-G3</f>
        <v>572.36999999999989</v>
      </c>
      <c r="O5" s="3">
        <f>H5-H4-H3</f>
        <v>530.05000000000018</v>
      </c>
    </row>
    <row r="6" spans="1:15" x14ac:dyDescent="0.35">
      <c r="A6" s="31"/>
      <c r="B6" s="11"/>
      <c r="C6" s="11"/>
      <c r="D6" s="32"/>
      <c r="E6" s="11"/>
      <c r="F6" s="33"/>
      <c r="G6" s="33"/>
      <c r="H6" s="33"/>
      <c r="I6" s="11"/>
      <c r="J6" s="33"/>
      <c r="K6" s="11"/>
      <c r="N6" s="3"/>
      <c r="O6" s="3"/>
    </row>
    <row r="7" spans="1:15" x14ac:dyDescent="0.35">
      <c r="A7" s="31"/>
      <c r="B7" s="11">
        <v>134</v>
      </c>
      <c r="C7" s="11" t="s">
        <v>8</v>
      </c>
      <c r="D7" s="32">
        <v>42676</v>
      </c>
      <c r="E7" s="11">
        <v>0</v>
      </c>
      <c r="F7" s="33">
        <v>52.5</v>
      </c>
      <c r="G7" s="33">
        <v>52.5</v>
      </c>
      <c r="H7" s="33">
        <v>52.5</v>
      </c>
      <c r="I7" s="11">
        <v>1</v>
      </c>
      <c r="J7" s="33">
        <v>0</v>
      </c>
      <c r="K7" s="11"/>
    </row>
    <row r="9" spans="1:15" x14ac:dyDescent="0.35">
      <c r="B9" s="6" t="s">
        <v>19</v>
      </c>
    </row>
    <row r="10" spans="1:15" x14ac:dyDescent="0.35">
      <c r="A10" s="7"/>
      <c r="B10" s="8">
        <v>137</v>
      </c>
      <c r="C10" s="8" t="s">
        <v>6</v>
      </c>
      <c r="D10" s="9">
        <v>42814</v>
      </c>
      <c r="E10" s="8">
        <v>25</v>
      </c>
      <c r="F10" s="4">
        <v>37.17</v>
      </c>
      <c r="G10" s="4">
        <v>929.25</v>
      </c>
      <c r="H10" s="4">
        <v>944.2</v>
      </c>
      <c r="I10" s="8">
        <v>0.93563399999999997</v>
      </c>
      <c r="J10" s="4">
        <v>14.95</v>
      </c>
      <c r="K10" s="8"/>
    </row>
    <row r="11" spans="1:15" x14ac:dyDescent="0.35">
      <c r="A11" s="7"/>
      <c r="B11" s="8">
        <v>145</v>
      </c>
      <c r="C11" s="8" t="s">
        <v>7</v>
      </c>
      <c r="D11" s="9">
        <v>42881</v>
      </c>
      <c r="E11" s="8">
        <v>25</v>
      </c>
      <c r="F11" s="4">
        <v>37.202500000000001</v>
      </c>
      <c r="G11" s="4">
        <v>930.06</v>
      </c>
      <c r="H11" s="4">
        <v>915.08</v>
      </c>
      <c r="I11" s="8">
        <v>0.89321700000000004</v>
      </c>
      <c r="J11" s="4">
        <v>14.98</v>
      </c>
      <c r="K11" s="8"/>
      <c r="N11" s="3">
        <f>G11-G10</f>
        <v>0.80999999999994543</v>
      </c>
      <c r="O11" s="3">
        <f>H11-H10</f>
        <v>-29.120000000000005</v>
      </c>
    </row>
    <row r="13" spans="1:15" x14ac:dyDescent="0.35">
      <c r="B13" s="6" t="s">
        <v>20</v>
      </c>
    </row>
    <row r="14" spans="1:15" x14ac:dyDescent="0.35">
      <c r="A14" s="7"/>
      <c r="B14" s="8">
        <v>136</v>
      </c>
      <c r="C14" s="8" t="s">
        <v>6</v>
      </c>
      <c r="D14" s="9">
        <v>42814</v>
      </c>
      <c r="E14" s="8">
        <v>5</v>
      </c>
      <c r="F14" s="4">
        <v>204.52</v>
      </c>
      <c r="G14" s="4">
        <v>1022.6</v>
      </c>
      <c r="H14" s="4">
        <v>1037.55</v>
      </c>
      <c r="I14" s="8">
        <v>0.93563399999999997</v>
      </c>
      <c r="J14" s="4">
        <v>14.95</v>
      </c>
      <c r="K14" s="8"/>
    </row>
    <row r="15" spans="1:15" x14ac:dyDescent="0.35">
      <c r="A15" s="7"/>
      <c r="B15" s="8">
        <v>146</v>
      </c>
      <c r="C15" s="8" t="s">
        <v>7</v>
      </c>
      <c r="D15" s="9">
        <v>42881</v>
      </c>
      <c r="E15" s="8">
        <v>5</v>
      </c>
      <c r="F15" s="4">
        <v>198.07980000000001</v>
      </c>
      <c r="G15" s="4">
        <v>990.4</v>
      </c>
      <c r="H15" s="4">
        <v>975.42</v>
      </c>
      <c r="I15" s="8">
        <v>0.89321700000000004</v>
      </c>
      <c r="J15" s="4">
        <v>14.98</v>
      </c>
      <c r="K15" s="8"/>
      <c r="N15" s="3">
        <f>G15-G14</f>
        <v>-32.200000000000045</v>
      </c>
      <c r="O15" s="3">
        <f>H15-H14</f>
        <v>-62.129999999999995</v>
      </c>
    </row>
    <row r="17" spans="12:15" x14ac:dyDescent="0.35">
      <c r="L17" s="6" t="s">
        <v>21</v>
      </c>
      <c r="N17" s="34">
        <f>SUM(N5:N15)</f>
        <v>540.97999999999979</v>
      </c>
      <c r="O17" s="34">
        <f>SUM(O5:O15)</f>
        <v>438.80000000000018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Hisenda</vt:lpstr>
      <vt:lpstr>Arcelor</vt:lpstr>
      <vt:lpstr>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2022-04-27T14:50:37Z</dcterms:created>
  <dcterms:modified xsi:type="dcterms:W3CDTF">2022-04-28T19:52:43Z</dcterms:modified>
</cp:coreProperties>
</file>