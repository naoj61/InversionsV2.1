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3C54B17D-C9A1-47C4-924D-8D15F518B735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K15" i="4" l="1"/>
  <c r="K6" i="4"/>
  <c r="K17" i="4"/>
  <c r="K13" i="4"/>
  <c r="K11" i="4"/>
  <c r="K9" i="4"/>
  <c r="K16" i="4"/>
  <c r="K14" i="4"/>
  <c r="K8" i="4"/>
  <c r="K12" i="4"/>
  <c r="K10" i="4"/>
  <c r="K7" i="4"/>
  <c r="L4" i="4"/>
  <c r="K4" i="4"/>
  <c r="K5" i="4"/>
  <c r="K2" i="4"/>
  <c r="K3" i="4"/>
  <c r="L6" i="4" l="1"/>
  <c r="F7" i="3" l="1"/>
  <c r="J7" i="3"/>
  <c r="J4" i="3"/>
  <c r="I4" i="3"/>
  <c r="J2" i="3"/>
  <c r="I2" i="3"/>
  <c r="P14" i="4"/>
  <c r="P10" i="4"/>
  <c r="P17" i="4"/>
  <c r="L13" i="4"/>
  <c r="N13" i="4" s="1"/>
  <c r="P12" i="4"/>
  <c r="L9" i="4"/>
  <c r="N9" i="4" l="1"/>
  <c r="O9" i="4" s="1"/>
  <c r="Q9" i="4" s="1"/>
  <c r="M9" i="4"/>
  <c r="P9" i="4" s="1"/>
  <c r="R9" i="4" s="1"/>
  <c r="L11" i="4"/>
  <c r="M13" i="4"/>
  <c r="P13" i="4" s="1"/>
  <c r="R13" i="4" s="1"/>
  <c r="O13" i="4"/>
  <c r="Q13" i="4" s="1"/>
  <c r="S13" i="4" s="1"/>
  <c r="P3" i="4"/>
  <c r="T13" i="4" l="1"/>
  <c r="S9" i="4"/>
  <c r="T9" i="4" s="1"/>
  <c r="M11" i="4"/>
  <c r="P11" i="4" s="1"/>
  <c r="R11" i="4" s="1"/>
  <c r="N11" i="4"/>
  <c r="O11" i="4" s="1"/>
  <c r="Q11" i="4" s="1"/>
  <c r="S11" i="4" s="1"/>
  <c r="T11" i="4" s="1"/>
  <c r="L2" i="4"/>
  <c r="H2" i="3"/>
  <c r="H3" i="3" l="1"/>
  <c r="H4" i="3" s="1"/>
  <c r="H5" i="3" s="1"/>
  <c r="H6" i="3" s="1"/>
  <c r="N2" i="4"/>
  <c r="M2" i="4" l="1"/>
  <c r="P2" i="4" s="1"/>
  <c r="R2" i="4" s="1"/>
  <c r="O2" i="4"/>
  <c r="Q2" i="4" s="1"/>
  <c r="S2" i="4" s="1"/>
  <c r="T2" i="4" l="1"/>
  <c r="M4" i="4"/>
  <c r="P4" i="4" s="1"/>
  <c r="N4" i="4"/>
  <c r="P5" i="4"/>
  <c r="R4" i="4" l="1"/>
  <c r="O4" i="4"/>
  <c r="Q4" i="4" s="1"/>
  <c r="S4" i="4" s="1"/>
  <c r="T4" i="4" s="1"/>
  <c r="P7" i="4"/>
  <c r="P8" i="4" l="1"/>
  <c r="M6" i="4" l="1"/>
  <c r="P6" i="4" s="1"/>
  <c r="R6" i="4" s="1"/>
  <c r="L15" i="4"/>
  <c r="P16" i="4"/>
  <c r="N15" i="4" l="1"/>
  <c r="M15" i="4"/>
  <c r="P15" i="4" s="1"/>
  <c r="R15" i="4" s="1"/>
  <c r="R19" i="4"/>
  <c r="R20" i="4" l="1"/>
  <c r="R21" i="4" s="1"/>
  <c r="O15" i="4"/>
  <c r="Q15" i="4" s="1"/>
  <c r="S15" i="4" s="1"/>
  <c r="T15" i="4" s="1"/>
  <c r="N6" i="4"/>
  <c r="O6" i="4" l="1"/>
  <c r="Q6" i="4" s="1"/>
  <c r="S6" i="4" s="1"/>
  <c r="T6" i="4" s="1"/>
</calcChain>
</file>

<file path=xl/sharedStrings.xml><?xml version="1.0" encoding="utf-8"?>
<sst xmlns="http://schemas.openxmlformats.org/spreadsheetml/2006/main" count="58" uniqueCount="32">
  <si>
    <t>Traspàs C</t>
  </si>
  <si>
    <t>Traspàs V</t>
  </si>
  <si>
    <t>Id</t>
  </si>
  <si>
    <t>Mov</t>
  </si>
  <si>
    <t>Data</t>
  </si>
  <si>
    <t>Parts</t>
  </si>
  <si>
    <t>Brut</t>
  </si>
  <si>
    <t>PU</t>
  </si>
  <si>
    <t>Saldo parts</t>
  </si>
  <si>
    <t>Id Orig</t>
  </si>
  <si>
    <t>Nom Fons Orig</t>
  </si>
  <si>
    <t>Data Compra Venda</t>
  </si>
  <si>
    <t>Data Orig Compra</t>
  </si>
  <si>
    <t>PU Orig</t>
  </si>
  <si>
    <t>Parts Orig</t>
  </si>
  <si>
    <t>Parts Ocup.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</si>
  <si>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</si>
  <si>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</si>
  <si>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</si>
  <si>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</si>
  <si>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</si>
  <si>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</si>
  <si>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</si>
  <si>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</si>
  <si>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</si>
  <si>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</si>
  <si>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VT</t>
  </si>
  <si>
    <t>Bolsa Tecnología y Telecomunicaciones FI</t>
  </si>
  <si>
    <t>Total Return N Acc €-H1</t>
  </si>
  <si>
    <t>Optimal Income A-H Grs Acc Hdg EUR</t>
  </si>
  <si>
    <t>Imp Venda</t>
  </si>
  <si>
    <t>PiG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</si>
</sst>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8" fontId="0" fillId="0" borderId="0" xfId="0" applyNumberFormat="1"/>
    <xf numFmtId="8" fontId="1" fillId="0" borderId="0" xfId="0" applyNumberFormat="1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65" fontId="0" fillId="2" borderId="1" xfId="0" applyNumberFormat="1" applyFill="1" applyBorder="1"/>
    <xf numFmtId="166" fontId="0" fillId="3" borderId="0" xfId="0" applyNumberFormat="1" applyFill="1" applyAlignment="1">
      <alignment vertical="center" wrapText="1"/>
    </xf>
    <xf numFmtId="167" fontId="0" fillId="3" borderId="0" xfId="0" applyNumberFormat="1" applyFill="1"/>
    <xf numFmtId="164" fontId="0" fillId="3" borderId="0" xfId="0" applyNumberFormat="1" applyFill="1"/>
    <xf numFmtId="165" fontId="0" fillId="3" borderId="1" xfId="0" applyNumberFormat="1" applyFill="1" applyBorder="1"/>
    <xf numFmtId="165" fontId="0" fillId="3" borderId="0" xfId="0" applyNumberFormat="1" applyFill="1"/>
    <xf numFmtId="168" fontId="0" fillId="3" borderId="0" xfId="0" applyNumberFormat="1" applyFill="1"/>
    <xf numFmtId="167" fontId="0" fillId="0" borderId="0" xfId="0" applyNumberFormat="1"/>
    <xf numFmtId="167" fontId="1" fillId="0" borderId="0" xfId="0" applyNumberFormat="1" applyFont="1"/>
    <xf numFmtId="169" fontId="0" fillId="0" borderId="0" xfId="0" applyNumberFormat="1"/>
    <xf numFmtId="0" fontId="1" fillId="0" borderId="2" xfId="0" applyFont="1" applyBorder="1" applyAlignment="1">
      <alignment horizontal="center" vertical="center"/>
    </xf>
    <xf numFmtId="164" fontId="0" fillId="2" borderId="3" xfId="0" applyNumberFormat="1" applyFill="1" applyBorder="1"/>
    <xf numFmtId="164" fontId="0" fillId="3" borderId="3" xfId="0" applyNumberFormat="1" applyFill="1" applyBorder="1"/>
    <xf numFmtId="164" fontId="0" fillId="3" borderId="4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7"/>
  <sheetViews>
    <sheetView zoomScale="130" zoomScaleNormal="130" workbookViewId="0">
      <selection activeCell="F7" sqref="F7"/>
    </sheetView>
  </sheetViews>
  <sheetFormatPr defaultRowHeight="14.5" x14ac:dyDescent="0.35"/>
  <cols>
    <col min="1" max="1" width="4.8164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10" width="10.6328125" bestFit="1" customWidth="1"/>
  </cols>
  <sheetData>
    <row r="1" spans="1:10" ht="29" x14ac:dyDescent="0.35">
      <c r="A1" s="3" t="s">
        <v>2</v>
      </c>
      <c r="C1" s="3" t="s">
        <v>4</v>
      </c>
      <c r="D1" s="3" t="s">
        <v>5</v>
      </c>
      <c r="E1" s="3" t="s">
        <v>7</v>
      </c>
      <c r="F1" s="3" t="s">
        <v>6</v>
      </c>
      <c r="H1" s="9" t="s">
        <v>8</v>
      </c>
      <c r="I1" s="9" t="s">
        <v>30</v>
      </c>
      <c r="J1" s="9" t="s">
        <v>31</v>
      </c>
    </row>
    <row r="2" spans="1:10" x14ac:dyDescent="0.35">
      <c r="A2" s="6">
        <v>26</v>
      </c>
      <c r="B2" s="6" t="s">
        <v>0</v>
      </c>
      <c r="C2" s="7">
        <v>41439</v>
      </c>
      <c r="D2" s="6">
        <v>249.34710000000001</v>
      </c>
      <c r="E2" s="8">
        <v>139.71</v>
      </c>
      <c r="F2" s="8">
        <v>34836.28</v>
      </c>
      <c r="H2">
        <f>D2</f>
        <v>249.34710000000001</v>
      </c>
      <c r="I2" s="4">
        <f>F3+(D2-D3)*E5</f>
        <v>42909.847881000002</v>
      </c>
      <c r="J2" s="4">
        <f>I2-F2</f>
        <v>8073.5678810000027</v>
      </c>
    </row>
    <row r="3" spans="1:10" x14ac:dyDescent="0.35">
      <c r="A3" s="6">
        <v>28</v>
      </c>
      <c r="B3" s="6" t="s">
        <v>1</v>
      </c>
      <c r="C3" s="7">
        <v>41794</v>
      </c>
      <c r="D3" s="6">
        <v>249</v>
      </c>
      <c r="E3" s="8">
        <v>172.04</v>
      </c>
      <c r="F3" s="8">
        <v>42837.96</v>
      </c>
      <c r="H3" s="1">
        <f>H2-D3</f>
        <v>0.34710000000001173</v>
      </c>
    </row>
    <row r="4" spans="1:10" x14ac:dyDescent="0.35">
      <c r="A4" s="6">
        <v>31</v>
      </c>
      <c r="B4" s="6" t="s">
        <v>0</v>
      </c>
      <c r="C4" s="7">
        <v>41976</v>
      </c>
      <c r="D4" s="6">
        <v>264.18049999999999</v>
      </c>
      <c r="E4" s="8">
        <v>168.57</v>
      </c>
      <c r="F4" s="8">
        <v>44532.91</v>
      </c>
      <c r="H4" s="1">
        <f t="shared" ref="H4" si="0">D4+H3</f>
        <v>264.52760000000001</v>
      </c>
      <c r="I4" s="4">
        <f>(D5-(D2-D3))*E5+F6</f>
        <v>54911.130419000001</v>
      </c>
      <c r="J4" s="4">
        <f>I4-F4</f>
        <v>10378.220418999997</v>
      </c>
    </row>
    <row r="5" spans="1:10" x14ac:dyDescent="0.35">
      <c r="A5" s="6">
        <v>91</v>
      </c>
      <c r="B5" s="6" t="s">
        <v>1</v>
      </c>
      <c r="C5" s="7">
        <v>42201</v>
      </c>
      <c r="D5" s="6">
        <v>259.52999999999997</v>
      </c>
      <c r="E5" s="8">
        <v>207.11</v>
      </c>
      <c r="F5" s="8">
        <v>53751.26</v>
      </c>
      <c r="H5" s="1">
        <f>H4-D5</f>
        <v>4.997600000000034</v>
      </c>
    </row>
    <row r="6" spans="1:10" x14ac:dyDescent="0.35">
      <c r="A6" s="6">
        <v>1245</v>
      </c>
      <c r="B6" s="6" t="s">
        <v>1</v>
      </c>
      <c r="C6" s="7">
        <v>45027</v>
      </c>
      <c r="D6" s="6">
        <v>4.9976000000000003</v>
      </c>
      <c r="E6" s="8">
        <v>246.47</v>
      </c>
      <c r="F6" s="8">
        <v>1231.76</v>
      </c>
      <c r="H6" s="1">
        <f>H5-D6</f>
        <v>3.3750779948604759E-14</v>
      </c>
    </row>
    <row r="7" spans="1:10" x14ac:dyDescent="0.35">
      <c r="F7" s="4">
        <f>F6+F5+F3-(F2+F4)</f>
        <v>18451.790000000008</v>
      </c>
      <c r="J7" s="5">
        <f>SUM(J2:J6)</f>
        <v>18451.7883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26"/>
  <sheetViews>
    <sheetView tabSelected="1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9" sqref="J19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12.453125" bestFit="1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bestFit="1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.54296875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10" t="s">
        <v>3</v>
      </c>
      <c r="B1" s="11" t="s">
        <v>2</v>
      </c>
      <c r="C1" s="10" t="s">
        <v>9</v>
      </c>
      <c r="D1" s="10" t="s">
        <v>10</v>
      </c>
      <c r="E1" s="12" t="s">
        <v>11</v>
      </c>
      <c r="F1" s="10" t="s">
        <v>12</v>
      </c>
      <c r="G1" s="3" t="s">
        <v>7</v>
      </c>
      <c r="H1" s="3" t="s">
        <v>13</v>
      </c>
      <c r="I1" s="33" t="s">
        <v>5</v>
      </c>
      <c r="J1" s="13" t="s">
        <v>14</v>
      </c>
      <c r="K1" s="10" t="s">
        <v>15</v>
      </c>
      <c r="L1" s="10" t="s">
        <v>16</v>
      </c>
      <c r="M1" s="10" t="s">
        <v>17</v>
      </c>
      <c r="N1" s="10" t="s">
        <v>18</v>
      </c>
      <c r="O1" s="10" t="s">
        <v>19</v>
      </c>
      <c r="P1" s="9" t="s">
        <v>20</v>
      </c>
      <c r="Q1" s="10" t="s">
        <v>21</v>
      </c>
      <c r="R1" s="10" t="s">
        <v>22</v>
      </c>
      <c r="S1" s="10" t="s">
        <v>23</v>
      </c>
      <c r="T1" s="10" t="s">
        <v>24</v>
      </c>
    </row>
    <row r="2" spans="1:20" x14ac:dyDescent="0.35">
      <c r="A2" s="14" t="s">
        <v>25</v>
      </c>
      <c r="B2" s="14">
        <v>26</v>
      </c>
      <c r="C2" s="14">
        <v>15</v>
      </c>
      <c r="D2" s="14" t="s">
        <v>27</v>
      </c>
      <c r="E2" s="15">
        <v>41439.001388888886</v>
      </c>
      <c r="F2" s="15">
        <v>36841</v>
      </c>
      <c r="G2" s="16">
        <v>139.70998660100699</v>
      </c>
      <c r="H2" s="17">
        <v>22.9920399034783</v>
      </c>
      <c r="I2" s="34">
        <v>37.988199999999999</v>
      </c>
      <c r="J2" s="23">
        <v>679.64009999999996</v>
      </c>
      <c r="K2" s="18">
        <f>SUM(K3)</f>
        <v>37.988199999999999</v>
      </c>
      <c r="L2" s="18">
        <f>SUM(L3)</f>
        <v>0</v>
      </c>
      <c r="M2" s="18">
        <f>J2/I2*L2</f>
        <v>0</v>
      </c>
      <c r="N2" s="19">
        <f>I2-(L2+K2)</f>
        <v>0</v>
      </c>
      <c r="O2" s="19">
        <f>J2/I2*N2</f>
        <v>0</v>
      </c>
      <c r="P2" s="20">
        <f>H2*M2</f>
        <v>0</v>
      </c>
      <c r="Q2" s="17">
        <f>O2*H2</f>
        <v>0</v>
      </c>
      <c r="R2" s="17">
        <f>SUM(P3)-P2</f>
        <v>0</v>
      </c>
      <c r="S2" s="17">
        <f>N2*G$18-Q2</f>
        <v>0</v>
      </c>
      <c r="T2" s="17">
        <f>R2+S2</f>
        <v>0</v>
      </c>
    </row>
    <row r="3" spans="1:20" x14ac:dyDescent="0.35">
      <c r="A3" s="21" t="s">
        <v>26</v>
      </c>
      <c r="B3" s="21">
        <v>28</v>
      </c>
      <c r="C3" s="21"/>
      <c r="D3" s="21"/>
      <c r="E3" s="22">
        <v>41794.000694444447</v>
      </c>
      <c r="F3" s="22"/>
      <c r="G3" s="24">
        <v>172.04</v>
      </c>
      <c r="H3" s="25"/>
      <c r="I3" s="35">
        <v>249</v>
      </c>
      <c r="J3" s="27"/>
      <c r="K3" s="26">
        <f>I2</f>
        <v>37.988199999999999</v>
      </c>
      <c r="L3" s="26"/>
      <c r="M3" s="26"/>
      <c r="N3" s="28"/>
      <c r="O3" s="28"/>
      <c r="P3" s="29">
        <f>L3*G3</f>
        <v>0</v>
      </c>
      <c r="Q3" s="25"/>
      <c r="R3" s="25"/>
      <c r="S3" s="25"/>
      <c r="T3" s="25"/>
    </row>
    <row r="4" spans="1:20" x14ac:dyDescent="0.35">
      <c r="A4" s="14" t="s">
        <v>25</v>
      </c>
      <c r="B4" s="14">
        <v>26</v>
      </c>
      <c r="C4" s="14">
        <v>16</v>
      </c>
      <c r="D4" s="14" t="s">
        <v>28</v>
      </c>
      <c r="E4" s="15">
        <v>41439.001388888886</v>
      </c>
      <c r="F4" s="15">
        <v>41166.000694444447</v>
      </c>
      <c r="G4" s="16">
        <v>139.70998660100699</v>
      </c>
      <c r="H4" s="17">
        <v>18.259999998612201</v>
      </c>
      <c r="I4" s="34">
        <v>74.281599999999997</v>
      </c>
      <c r="J4" s="23">
        <v>547.64509999999996</v>
      </c>
      <c r="K4" s="18">
        <f>SUM(K5)</f>
        <v>74.281599999999997</v>
      </c>
      <c r="L4" s="18">
        <f>SUM(L5)</f>
        <v>0</v>
      </c>
      <c r="M4" s="18">
        <f>J4/I4*L4</f>
        <v>0</v>
      </c>
      <c r="N4" s="19">
        <f>I4-(L4+K4)</f>
        <v>0</v>
      </c>
      <c r="O4" s="19">
        <f>J4/I4*N4</f>
        <v>0</v>
      </c>
      <c r="P4" s="20">
        <f>H4*M4</f>
        <v>0</v>
      </c>
      <c r="Q4" s="17">
        <f>O4*H4</f>
        <v>0</v>
      </c>
      <c r="R4" s="17">
        <f>SUM(P5)-P4</f>
        <v>0</v>
      </c>
      <c r="S4" s="17">
        <f>N4*G$18-Q4</f>
        <v>0</v>
      </c>
      <c r="T4" s="17">
        <f>R4+S4</f>
        <v>0</v>
      </c>
    </row>
    <row r="5" spans="1:20" x14ac:dyDescent="0.35">
      <c r="A5" s="21" t="s">
        <v>26</v>
      </c>
      <c r="B5" s="21">
        <v>28</v>
      </c>
      <c r="C5" s="21"/>
      <c r="D5" s="21"/>
      <c r="E5" s="22">
        <v>41794.000694444447</v>
      </c>
      <c r="F5" s="22"/>
      <c r="G5" s="24">
        <v>172.04</v>
      </c>
      <c r="H5" s="25"/>
      <c r="I5" s="35">
        <v>249</v>
      </c>
      <c r="J5" s="27"/>
      <c r="K5" s="26">
        <f>I4</f>
        <v>74.281599999999997</v>
      </c>
      <c r="L5" s="26"/>
      <c r="M5" s="26"/>
      <c r="N5" s="28"/>
      <c r="O5" s="28"/>
      <c r="P5" s="29">
        <f>L5*G5</f>
        <v>0</v>
      </c>
      <c r="Q5" s="25"/>
      <c r="R5" s="25"/>
      <c r="S5" s="25"/>
      <c r="T5" s="25"/>
    </row>
    <row r="6" spans="1:20" x14ac:dyDescent="0.35">
      <c r="A6" s="14" t="s">
        <v>25</v>
      </c>
      <c r="B6" s="14">
        <v>26</v>
      </c>
      <c r="C6" s="14">
        <v>17</v>
      </c>
      <c r="D6" s="14" t="s">
        <v>28</v>
      </c>
      <c r="E6" s="15">
        <v>41439.001388888886</v>
      </c>
      <c r="F6" s="15">
        <v>41377</v>
      </c>
      <c r="G6" s="16">
        <v>139.70998660100699</v>
      </c>
      <c r="H6" s="17">
        <v>19.7899983277443</v>
      </c>
      <c r="I6" s="34">
        <v>137.07730000000001</v>
      </c>
      <c r="J6" s="23">
        <v>1010.611</v>
      </c>
      <c r="K6" s="18">
        <f>SUM(K7:K8)</f>
        <v>137.07730000000001</v>
      </c>
      <c r="L6" s="18">
        <f>SUM(L7)</f>
        <v>0</v>
      </c>
      <c r="M6" s="18">
        <f>J6/I6*L6</f>
        <v>0</v>
      </c>
      <c r="N6" s="19">
        <f>I6-(L6+K6)</f>
        <v>0</v>
      </c>
      <c r="O6" s="19">
        <f>J6/I6*N6</f>
        <v>0</v>
      </c>
      <c r="P6" s="20">
        <f>H6*M6</f>
        <v>0</v>
      </c>
      <c r="Q6" s="17">
        <f>O6*H6</f>
        <v>0</v>
      </c>
      <c r="R6" s="17">
        <f>SUM(P7:P8)-P6</f>
        <v>0</v>
      </c>
      <c r="S6" s="17">
        <f>N6*G$18-Q6</f>
        <v>0</v>
      </c>
      <c r="T6" s="17">
        <f>R6+S6</f>
        <v>0</v>
      </c>
    </row>
    <row r="7" spans="1:20" x14ac:dyDescent="0.35">
      <c r="A7" s="21" t="s">
        <v>26</v>
      </c>
      <c r="B7" s="21">
        <v>28</v>
      </c>
      <c r="C7" s="21"/>
      <c r="D7" s="21"/>
      <c r="E7" s="22">
        <v>41794.000694444447</v>
      </c>
      <c r="F7" s="22"/>
      <c r="G7" s="24">
        <v>172.04</v>
      </c>
      <c r="H7" s="25"/>
      <c r="I7" s="35">
        <v>249</v>
      </c>
      <c r="J7" s="27"/>
      <c r="K7" s="26">
        <f>I7-(K5+K3)</f>
        <v>136.7302</v>
      </c>
      <c r="L7" s="26"/>
      <c r="M7" s="26"/>
      <c r="N7" s="28"/>
      <c r="O7" s="28"/>
      <c r="P7" s="29">
        <f>L7*G7</f>
        <v>0</v>
      </c>
      <c r="Q7" s="25"/>
      <c r="R7" s="25"/>
      <c r="S7" s="25"/>
      <c r="T7" s="25"/>
    </row>
    <row r="8" spans="1:20" x14ac:dyDescent="0.35">
      <c r="A8" s="21" t="s">
        <v>26</v>
      </c>
      <c r="B8" s="21">
        <v>91</v>
      </c>
      <c r="C8" s="21"/>
      <c r="D8" s="21"/>
      <c r="E8" s="22">
        <v>42201.719108796293</v>
      </c>
      <c r="F8" s="22"/>
      <c r="G8" s="24">
        <v>207.11000655030199</v>
      </c>
      <c r="H8" s="25"/>
      <c r="I8" s="35">
        <v>259.52999999999997</v>
      </c>
      <c r="J8" s="27"/>
      <c r="K8" s="26">
        <f>I6-K7</f>
        <v>0.34710000000001173</v>
      </c>
      <c r="L8" s="26"/>
      <c r="M8" s="26"/>
      <c r="N8" s="28"/>
      <c r="O8" s="28"/>
      <c r="P8" s="29">
        <f>L8*G8</f>
        <v>0</v>
      </c>
      <c r="Q8" s="25"/>
      <c r="R8" s="25"/>
      <c r="S8" s="25"/>
      <c r="T8" s="25"/>
    </row>
    <row r="9" spans="1:20" x14ac:dyDescent="0.35">
      <c r="A9" s="14" t="s">
        <v>25</v>
      </c>
      <c r="B9" s="14">
        <v>31</v>
      </c>
      <c r="C9" s="14">
        <v>15</v>
      </c>
      <c r="D9" s="14" t="s">
        <v>27</v>
      </c>
      <c r="E9" s="15">
        <v>41976</v>
      </c>
      <c r="F9" s="15">
        <v>36841</v>
      </c>
      <c r="G9" s="16">
        <v>168.57001179118001</v>
      </c>
      <c r="H9" s="17">
        <v>22.9920399034783</v>
      </c>
      <c r="I9" s="34">
        <v>39.353999999999999</v>
      </c>
      <c r="J9" s="23">
        <v>679.64009999999996</v>
      </c>
      <c r="K9" s="18">
        <f>SUM(K10)</f>
        <v>39.353999999999999</v>
      </c>
      <c r="L9" s="18">
        <f>SUM(L10)</f>
        <v>0</v>
      </c>
      <c r="M9" s="18">
        <f>J9/I9*L9</f>
        <v>0</v>
      </c>
      <c r="N9" s="19">
        <f>I9-(L9+K9)</f>
        <v>0</v>
      </c>
      <c r="O9" s="19">
        <f>J9/I9*N9</f>
        <v>0</v>
      </c>
      <c r="P9" s="20">
        <f>H9*M9</f>
        <v>0</v>
      </c>
      <c r="Q9" s="17">
        <f>O9*H9</f>
        <v>0</v>
      </c>
      <c r="R9" s="17">
        <f>SUM(P10)-P9</f>
        <v>0</v>
      </c>
      <c r="S9" s="17">
        <f>N9*G$18-Q9</f>
        <v>0</v>
      </c>
      <c r="T9" s="17">
        <f>R9+S9</f>
        <v>0</v>
      </c>
    </row>
    <row r="10" spans="1:20" x14ac:dyDescent="0.35">
      <c r="A10" s="21" t="s">
        <v>26</v>
      </c>
      <c r="B10" s="21">
        <v>91</v>
      </c>
      <c r="C10" s="21"/>
      <c r="D10" s="21"/>
      <c r="E10" s="22">
        <v>42201.719108796293</v>
      </c>
      <c r="F10" s="22"/>
      <c r="G10" s="24">
        <v>207.11000655030199</v>
      </c>
      <c r="H10" s="25"/>
      <c r="I10" s="35">
        <v>259.52999999999997</v>
      </c>
      <c r="J10" s="27"/>
      <c r="K10" s="26">
        <f>I9</f>
        <v>39.353999999999999</v>
      </c>
      <c r="L10" s="26"/>
      <c r="M10" s="26"/>
      <c r="N10" s="28"/>
      <c r="O10" s="28"/>
      <c r="P10" s="29">
        <f>L10*G10</f>
        <v>0</v>
      </c>
      <c r="Q10" s="25"/>
      <c r="R10" s="25"/>
      <c r="S10" s="25"/>
      <c r="T10" s="25"/>
    </row>
    <row r="11" spans="1:20" x14ac:dyDescent="0.35">
      <c r="A11" s="14" t="s">
        <v>25</v>
      </c>
      <c r="B11" s="14">
        <v>31</v>
      </c>
      <c r="C11" s="14">
        <v>16</v>
      </c>
      <c r="D11" s="14" t="s">
        <v>28</v>
      </c>
      <c r="E11" s="15">
        <v>41976</v>
      </c>
      <c r="F11" s="15">
        <v>41166.000694444447</v>
      </c>
      <c r="G11" s="16">
        <v>168.57001179118001</v>
      </c>
      <c r="H11" s="17">
        <v>18.259999998612201</v>
      </c>
      <c r="I11" s="34">
        <v>76.952299999999994</v>
      </c>
      <c r="J11" s="23">
        <v>547.64509999999996</v>
      </c>
      <c r="K11" s="18">
        <f>SUM(K12)</f>
        <v>76.952299999999994</v>
      </c>
      <c r="L11" s="18">
        <f>SUM(L12)</f>
        <v>0</v>
      </c>
      <c r="M11" s="18">
        <f>J11/I11*L11</f>
        <v>0</v>
      </c>
      <c r="N11" s="19">
        <f>I11-(L11+K11)</f>
        <v>0</v>
      </c>
      <c r="O11" s="19">
        <f>J11/I11*N11</f>
        <v>0</v>
      </c>
      <c r="P11" s="20">
        <f>H11*M11</f>
        <v>0</v>
      </c>
      <c r="Q11" s="17">
        <f>O11*H11</f>
        <v>0</v>
      </c>
      <c r="R11" s="17">
        <f>SUM(P12)-P11</f>
        <v>0</v>
      </c>
      <c r="S11" s="17">
        <f>N11*G$18-Q11</f>
        <v>0</v>
      </c>
      <c r="T11" s="17">
        <f>R11+S11</f>
        <v>0</v>
      </c>
    </row>
    <row r="12" spans="1:20" x14ac:dyDescent="0.35">
      <c r="A12" s="21" t="s">
        <v>26</v>
      </c>
      <c r="B12" s="21">
        <v>91</v>
      </c>
      <c r="C12" s="21"/>
      <c r="D12" s="21"/>
      <c r="E12" s="22">
        <v>42201.719108796293</v>
      </c>
      <c r="F12" s="22"/>
      <c r="G12" s="24">
        <v>207.11000655030199</v>
      </c>
      <c r="H12" s="25"/>
      <c r="I12" s="35">
        <v>259.52999999999997</v>
      </c>
      <c r="J12" s="27"/>
      <c r="K12" s="26">
        <f>I11</f>
        <v>76.952299999999994</v>
      </c>
      <c r="L12" s="26"/>
      <c r="M12" s="26"/>
      <c r="N12" s="28"/>
      <c r="O12" s="28"/>
      <c r="P12" s="29">
        <f>L12*G12</f>
        <v>0</v>
      </c>
      <c r="Q12" s="25"/>
      <c r="R12" s="25"/>
      <c r="S12" s="25"/>
      <c r="T12" s="25"/>
    </row>
    <row r="13" spans="1:20" x14ac:dyDescent="0.35">
      <c r="A13" s="14" t="s">
        <v>25</v>
      </c>
      <c r="B13" s="14">
        <v>31</v>
      </c>
      <c r="C13" s="14">
        <v>17</v>
      </c>
      <c r="D13" s="14" t="s">
        <v>28</v>
      </c>
      <c r="E13" s="15">
        <v>41976</v>
      </c>
      <c r="F13" s="15">
        <v>41377</v>
      </c>
      <c r="G13" s="16">
        <v>168.57001179118001</v>
      </c>
      <c r="H13" s="17">
        <v>19.7899983277443</v>
      </c>
      <c r="I13" s="34">
        <v>141.4453</v>
      </c>
      <c r="J13" s="23">
        <v>1006.6217</v>
      </c>
      <c r="K13" s="18">
        <f>SUM(K14)</f>
        <v>141.4453</v>
      </c>
      <c r="L13" s="18">
        <f>SUM(L14)</f>
        <v>0</v>
      </c>
      <c r="M13" s="18">
        <f>J13/I13*L13</f>
        <v>0</v>
      </c>
      <c r="N13" s="19">
        <f>I13-(L13+K13)</f>
        <v>0</v>
      </c>
      <c r="O13" s="19">
        <f>J13/I13*N13</f>
        <v>0</v>
      </c>
      <c r="P13" s="20">
        <f>H13*M13</f>
        <v>0</v>
      </c>
      <c r="Q13" s="17">
        <f>O13*H13</f>
        <v>0</v>
      </c>
      <c r="R13" s="17">
        <f>SUM(P14)-P13</f>
        <v>0</v>
      </c>
      <c r="S13" s="17">
        <f>N13*G$18-Q13</f>
        <v>0</v>
      </c>
      <c r="T13" s="17">
        <f>R13+S13</f>
        <v>0</v>
      </c>
    </row>
    <row r="14" spans="1:20" x14ac:dyDescent="0.35">
      <c r="A14" s="21" t="s">
        <v>26</v>
      </c>
      <c r="B14" s="21">
        <v>91</v>
      </c>
      <c r="C14" s="21"/>
      <c r="D14" s="21"/>
      <c r="E14" s="22">
        <v>42201.719108796293</v>
      </c>
      <c r="F14" s="22"/>
      <c r="G14" s="24">
        <v>207.11000655030199</v>
      </c>
      <c r="H14" s="25"/>
      <c r="I14" s="35">
        <v>259.52999999999997</v>
      </c>
      <c r="J14" s="27"/>
      <c r="K14" s="26">
        <f>I13</f>
        <v>141.4453</v>
      </c>
      <c r="L14" s="26"/>
      <c r="M14" s="26"/>
      <c r="N14" s="28"/>
      <c r="O14" s="28"/>
      <c r="P14" s="29">
        <f>L14*G14</f>
        <v>0</v>
      </c>
      <c r="Q14" s="25"/>
      <c r="R14" s="25"/>
      <c r="S14" s="25"/>
      <c r="T14" s="25"/>
    </row>
    <row r="15" spans="1:20" x14ac:dyDescent="0.35">
      <c r="A15" s="14" t="s">
        <v>25</v>
      </c>
      <c r="B15" s="14">
        <v>31</v>
      </c>
      <c r="C15" s="14">
        <v>27</v>
      </c>
      <c r="D15" s="14" t="s">
        <v>29</v>
      </c>
      <c r="E15" s="15">
        <v>41976</v>
      </c>
      <c r="F15" s="15">
        <v>41521</v>
      </c>
      <c r="G15" s="16">
        <v>168.57001179118001</v>
      </c>
      <c r="H15" s="17">
        <v>17.093261768828398</v>
      </c>
      <c r="I15" s="34">
        <v>6.4288999999999996</v>
      </c>
      <c r="J15" s="23">
        <v>58.502000000000002</v>
      </c>
      <c r="K15" s="18">
        <f>SUM(K16:K17)</f>
        <v>6.428899999999965</v>
      </c>
      <c r="L15" s="18">
        <f>SUM(L16:L17)</f>
        <v>0</v>
      </c>
      <c r="M15" s="18">
        <f>J15/I15*L15</f>
        <v>0</v>
      </c>
      <c r="N15" s="19">
        <f>I15-(L15+K15)</f>
        <v>3.4638958368304884E-14</v>
      </c>
      <c r="O15" s="19">
        <f>J15/I15*N15</f>
        <v>3.152091870246189E-13</v>
      </c>
      <c r="P15" s="20">
        <f>H15*M15</f>
        <v>0</v>
      </c>
      <c r="Q15" s="17">
        <f>O15*H15</f>
        <v>5.3879531457513989E-12</v>
      </c>
      <c r="R15" s="17">
        <f>SUM(P16:P17)-P15</f>
        <v>0</v>
      </c>
      <c r="S15" s="17">
        <f>N15*G$18-Q15</f>
        <v>-5.3879531457513989E-12</v>
      </c>
      <c r="T15" s="17">
        <f>R15+S15</f>
        <v>-5.3879531457513989E-12</v>
      </c>
    </row>
    <row r="16" spans="1:20" x14ac:dyDescent="0.35">
      <c r="A16" s="21" t="s">
        <v>26</v>
      </c>
      <c r="B16" s="21">
        <v>91</v>
      </c>
      <c r="C16" s="21"/>
      <c r="D16" s="21"/>
      <c r="E16" s="22">
        <v>42201.719108796293</v>
      </c>
      <c r="F16" s="22"/>
      <c r="G16" s="24">
        <v>207.11000655030199</v>
      </c>
      <c r="H16" s="25"/>
      <c r="I16" s="35">
        <v>259.52999999999997</v>
      </c>
      <c r="J16" s="27"/>
      <c r="K16" s="26">
        <f>I16-(K8+K10+K12+K14)</f>
        <v>1.4312999999999647</v>
      </c>
      <c r="L16" s="26"/>
      <c r="M16" s="26"/>
      <c r="N16" s="28"/>
      <c r="O16" s="28"/>
      <c r="P16" s="29">
        <f>L16*G16</f>
        <v>0</v>
      </c>
      <c r="Q16" s="25"/>
      <c r="R16" s="25"/>
      <c r="S16" s="25"/>
      <c r="T16" s="25"/>
    </row>
    <row r="17" spans="1:20" ht="15" thickBot="1" x14ac:dyDescent="0.4">
      <c r="A17" s="21" t="s">
        <v>26</v>
      </c>
      <c r="B17" s="21">
        <v>1245</v>
      </c>
      <c r="C17" s="21"/>
      <c r="D17" s="21"/>
      <c r="E17" s="22">
        <v>45027.468935185185</v>
      </c>
      <c r="F17" s="22"/>
      <c r="G17" s="24">
        <v>246.47</v>
      </c>
      <c r="H17" s="25"/>
      <c r="I17" s="36">
        <v>4.9976000000000003</v>
      </c>
      <c r="J17" s="27"/>
      <c r="K17" s="26">
        <f>I17</f>
        <v>4.9976000000000003</v>
      </c>
      <c r="L17" s="26"/>
      <c r="M17" s="26"/>
      <c r="N17" s="28"/>
      <c r="O17" s="28"/>
      <c r="P17" s="29">
        <f>L17*G17</f>
        <v>0</v>
      </c>
      <c r="Q17" s="25"/>
      <c r="R17" s="25"/>
      <c r="S17" s="25"/>
      <c r="T17" s="25"/>
    </row>
    <row r="18" spans="1:20" x14ac:dyDescent="0.35">
      <c r="K18" s="2"/>
      <c r="L18" s="2"/>
    </row>
    <row r="19" spans="1:20" x14ac:dyDescent="0.35">
      <c r="A19" s="14" t="s">
        <v>25</v>
      </c>
      <c r="B19" s="14">
        <v>26</v>
      </c>
      <c r="J19" s="2"/>
      <c r="L19" s="2"/>
      <c r="O19" s="32"/>
      <c r="R19" s="30">
        <f>SUM(R2:R6)</f>
        <v>0</v>
      </c>
      <c r="S19" s="30"/>
      <c r="T19" s="30"/>
    </row>
    <row r="20" spans="1:20" x14ac:dyDescent="0.35">
      <c r="A20" s="14" t="s">
        <v>25</v>
      </c>
      <c r="B20" s="14">
        <v>31</v>
      </c>
      <c r="R20" s="30">
        <f>SUM(R9:R15)</f>
        <v>0</v>
      </c>
      <c r="S20" s="30"/>
      <c r="T20" s="30"/>
    </row>
    <row r="21" spans="1:20" x14ac:dyDescent="0.35">
      <c r="R21" s="31">
        <f>SUM(R19:R20)</f>
        <v>0</v>
      </c>
      <c r="S21" s="31"/>
      <c r="T21" s="31"/>
    </row>
    <row r="23" spans="1:20" x14ac:dyDescent="0.35">
      <c r="Q23" s="6"/>
      <c r="R23" s="6"/>
    </row>
    <row r="24" spans="1:20" x14ac:dyDescent="0.35">
      <c r="Q24" s="6"/>
      <c r="R24" s="6"/>
    </row>
    <row r="25" spans="1:20" x14ac:dyDescent="0.35">
      <c r="Q25" s="6"/>
      <c r="R25" s="6"/>
    </row>
    <row r="26" spans="1:20" x14ac:dyDescent="0.35">
      <c r="R26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2024-09-19T15:27:16Z</dcterms:modified>
</cp:coreProperties>
</file>