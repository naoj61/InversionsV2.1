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0" yWindow="130" windowWidth="19140" windowHeight="7830" firstSheet="1" activeTab="3"/>
  </bookViews>
  <sheets>
    <sheet name="Taula Moviments Sencera" sheetId="8" r:id="rId1"/>
    <sheet name="MovId=30" sheetId="11" r:id="rId2"/>
    <sheet name="MovId=30 (2)" sheetId="13" r:id="rId3"/>
    <sheet name="NovaTaulaDesgloç" sheetId="14" r:id="rId4"/>
    <sheet name="Sheet5" sheetId="7" r:id="rId5"/>
    <sheet name="Sheet4" sheetId="6" r:id="rId6"/>
    <sheet name="Sheet3" sheetId="5" r:id="rId7"/>
    <sheet name="Sheet2" sheetId="4" r:id="rId8"/>
    <sheet name="Sheet1" sheetId="1" r:id="rId9"/>
  </sheets>
  <calcPr calcId="125725"/>
</workbook>
</file>

<file path=xl/calcChain.xml><?xml version="1.0" encoding="utf-8"?>
<calcChain xmlns="http://schemas.openxmlformats.org/spreadsheetml/2006/main">
  <c r="K15" i="14"/>
  <c r="K14"/>
  <c r="K16"/>
  <c r="L15"/>
  <c r="Q9"/>
  <c r="P9"/>
  <c r="A13"/>
  <c r="F7"/>
  <c r="F13"/>
  <c r="F11"/>
  <c r="L8"/>
  <c r="L9" s="1"/>
  <c r="K9" s="1"/>
  <c r="L6"/>
  <c r="F4"/>
  <c r="L10"/>
  <c r="A7"/>
  <c r="I6" i="13"/>
  <c r="I14"/>
  <c r="I15" s="1"/>
  <c r="I12"/>
  <c r="I10"/>
  <c r="I7"/>
  <c r="I9" s="1"/>
  <c r="I11" s="1"/>
  <c r="I2"/>
  <c r="I4" s="1"/>
  <c r="I3"/>
  <c r="G17"/>
  <c r="F3"/>
  <c r="G3"/>
  <c r="F17"/>
  <c r="G15"/>
  <c r="F15"/>
  <c r="G14"/>
  <c r="F13"/>
  <c r="G12"/>
  <c r="F12"/>
  <c r="G11"/>
  <c r="F11"/>
  <c r="G10"/>
  <c r="F10"/>
  <c r="G9"/>
  <c r="F8"/>
  <c r="G7"/>
  <c r="F7"/>
  <c r="G6"/>
  <c r="G4"/>
  <c r="F4"/>
  <c r="G2"/>
  <c r="I15" i="11"/>
  <c r="I14"/>
  <c r="I12"/>
  <c r="I11"/>
  <c r="I10"/>
  <c r="I9"/>
  <c r="I7"/>
  <c r="I6"/>
  <c r="I4"/>
  <c r="I3"/>
  <c r="I2"/>
  <c r="J11"/>
  <c r="J15"/>
  <c r="J10"/>
  <c r="J7"/>
  <c r="J3"/>
  <c r="J4"/>
  <c r="G17"/>
  <c r="G19"/>
  <c r="J12"/>
  <c r="P4"/>
  <c r="P11"/>
  <c r="P12"/>
  <c r="P15"/>
  <c r="G4"/>
  <c r="F17"/>
  <c r="F10"/>
  <c r="F11"/>
  <c r="F12"/>
  <c r="F8"/>
  <c r="F15"/>
  <c r="F13"/>
  <c r="F7"/>
  <c r="G9"/>
  <c r="G10"/>
  <c r="G11"/>
  <c r="G12"/>
  <c r="G14"/>
  <c r="G15"/>
  <c r="G6"/>
  <c r="G7"/>
  <c r="G2"/>
  <c r="G3"/>
  <c r="F3"/>
  <c r="F4"/>
  <c r="H2" i="8"/>
  <c r="H3" s="1"/>
  <c r="H4" s="1"/>
  <c r="H5" s="1"/>
  <c r="H6" s="1"/>
  <c r="H8"/>
  <c r="H9" s="1"/>
  <c r="H10" s="1"/>
  <c r="H11" s="1"/>
  <c r="H12" s="1"/>
  <c r="H13" s="1"/>
  <c r="H14" s="1"/>
  <c r="H15" s="1"/>
  <c r="H16" s="1"/>
  <c r="H17" s="1"/>
  <c r="H18" s="1"/>
  <c r="H19" s="1"/>
  <c r="H20" s="1"/>
  <c r="H21" s="1"/>
  <c r="H22" s="1"/>
  <c r="H23" s="1"/>
  <c r="E3"/>
  <c r="E4"/>
  <c r="E5"/>
  <c r="E6"/>
  <c r="E2"/>
  <c r="F145"/>
  <c r="F144"/>
  <c r="F143"/>
  <c r="F142"/>
  <c r="F141"/>
  <c r="F140"/>
  <c r="F139"/>
  <c r="F138"/>
  <c r="F137"/>
  <c r="F136"/>
  <c r="F135"/>
  <c r="F134"/>
  <c r="F133"/>
  <c r="F132"/>
  <c r="F131"/>
  <c r="F130"/>
  <c r="F129"/>
  <c r="F128"/>
  <c r="F127"/>
  <c r="F126"/>
  <c r="F125"/>
  <c r="F124"/>
  <c r="F123"/>
  <c r="F122"/>
  <c r="F121"/>
  <c r="F120"/>
  <c r="F119"/>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8"/>
  <c r="F6"/>
  <c r="F5"/>
  <c r="F4"/>
  <c r="F3"/>
  <c r="F2"/>
  <c r="K5" i="5"/>
  <c r="K7" s="1"/>
  <c r="K7" i="4"/>
  <c r="K4"/>
  <c r="K15"/>
  <c r="K13" i="5"/>
  <c r="K45"/>
  <c r="L45"/>
  <c r="L50" s="1"/>
  <c r="L51" s="1"/>
  <c r="K46"/>
  <c r="L46"/>
  <c r="K47"/>
  <c r="L47" s="1"/>
  <c r="K48"/>
  <c r="L48" s="1"/>
  <c r="K49"/>
  <c r="L49"/>
  <c r="M50"/>
  <c r="K8"/>
  <c r="K10"/>
  <c r="K11"/>
  <c r="K15"/>
  <c r="K16"/>
  <c r="M2" i="6"/>
  <c r="K8" i="14" l="1"/>
  <c r="G18" i="13"/>
  <c r="G19" s="1"/>
  <c r="P14" i="11"/>
  <c r="G20"/>
  <c r="K17" i="5"/>
  <c r="K19" s="1"/>
  <c r="F22" i="6"/>
  <c r="G22"/>
  <c r="F23"/>
  <c r="G23"/>
  <c r="F24"/>
  <c r="G24"/>
  <c r="F25"/>
  <c r="G25"/>
  <c r="F21"/>
  <c r="G21"/>
  <c r="K16"/>
  <c r="L16" s="1"/>
  <c r="K15"/>
  <c r="L15" s="1"/>
  <c r="K10"/>
  <c r="K22" s="1"/>
  <c r="K3"/>
  <c r="K2"/>
  <c r="P10" i="11" l="1"/>
  <c r="P9" s="1"/>
  <c r="K4" i="6"/>
  <c r="M3"/>
  <c r="L22"/>
  <c r="K24"/>
  <c r="L10"/>
  <c r="K23"/>
  <c r="K8"/>
  <c r="L3"/>
  <c r="M27" i="5"/>
  <c r="L16"/>
  <c r="L15"/>
  <c r="L10"/>
  <c r="L3"/>
  <c r="L4" s="1"/>
  <c r="L5" s="1"/>
  <c r="L6" s="1"/>
  <c r="L7" s="1"/>
  <c r="L21" s="1"/>
  <c r="L2"/>
  <c r="J25"/>
  <c r="I25"/>
  <c r="H25"/>
  <c r="G25"/>
  <c r="E25"/>
  <c r="D25"/>
  <c r="C25"/>
  <c r="B25"/>
  <c r="A25"/>
  <c r="J24"/>
  <c r="I24"/>
  <c r="H24"/>
  <c r="G24"/>
  <c r="E24"/>
  <c r="D24"/>
  <c r="C24"/>
  <c r="B24"/>
  <c r="A24"/>
  <c r="J23"/>
  <c r="I23"/>
  <c r="H23"/>
  <c r="G23"/>
  <c r="E23"/>
  <c r="D23"/>
  <c r="C23"/>
  <c r="B23"/>
  <c r="A23"/>
  <c r="J22"/>
  <c r="I22"/>
  <c r="H22"/>
  <c r="G22"/>
  <c r="E22"/>
  <c r="D22"/>
  <c r="C22"/>
  <c r="B22"/>
  <c r="A22"/>
  <c r="J21"/>
  <c r="I21"/>
  <c r="H21"/>
  <c r="G21"/>
  <c r="E21"/>
  <c r="D21"/>
  <c r="C21"/>
  <c r="B21"/>
  <c r="A21"/>
  <c r="G22" i="11" l="1"/>
  <c r="L22" i="5"/>
  <c r="M10"/>
  <c r="L24"/>
  <c r="M16"/>
  <c r="L23"/>
  <c r="M15"/>
  <c r="M2"/>
  <c r="K2"/>
  <c r="K5" i="6"/>
  <c r="M4"/>
  <c r="M7" i="5"/>
  <c r="L24" i="6"/>
  <c r="L23"/>
  <c r="K9"/>
  <c r="L8"/>
  <c r="L8" i="5"/>
  <c r="L9" s="1"/>
  <c r="L11" s="1"/>
  <c r="L25"/>
  <c r="M23"/>
  <c r="M24"/>
  <c r="M21"/>
  <c r="K34" i="1"/>
  <c r="P20"/>
  <c r="I8"/>
  <c r="I14" s="1"/>
  <c r="I15" s="1"/>
  <c r="I13"/>
  <c r="P13" s="1"/>
  <c r="P7" i="11" l="1"/>
  <c r="P6" s="1"/>
  <c r="P3" s="1"/>
  <c r="M5" i="6"/>
  <c r="K6"/>
  <c r="L5"/>
  <c r="K11"/>
  <c r="M22" i="5"/>
  <c r="L12"/>
  <c r="P21" i="1"/>
  <c r="P22" s="1"/>
  <c r="P2" i="11" l="1"/>
  <c r="G23"/>
  <c r="K7" i="6"/>
  <c r="M6"/>
  <c r="L11"/>
  <c r="K12"/>
  <c r="M25" i="5"/>
  <c r="M26" s="1"/>
  <c r="M28" s="1"/>
  <c r="L13"/>
  <c r="M7" i="6" l="1"/>
  <c r="K21"/>
  <c r="L21" s="1"/>
  <c r="L7"/>
  <c r="K13"/>
  <c r="N26" i="5"/>
  <c r="N28" s="1"/>
  <c r="L14"/>
  <c r="L13" i="6" l="1"/>
  <c r="K14"/>
  <c r="L17" i="5"/>
  <c r="K17" i="6" l="1"/>
  <c r="L17" s="1"/>
  <c r="L18" i="5"/>
  <c r="K18" i="6" l="1"/>
  <c r="L19" i="5"/>
  <c r="M19" s="1"/>
  <c r="K19" i="6" l="1"/>
  <c r="L19" s="1"/>
  <c r="K25" l="1"/>
  <c r="L25" s="1"/>
  <c r="L26" s="1"/>
  <c r="M26" s="1"/>
</calcChain>
</file>

<file path=xl/comments1.xml><?xml version="1.0" encoding="utf-8"?>
<comments xmlns="http://schemas.openxmlformats.org/spreadsheetml/2006/main">
  <authors>
    <author>joanp</author>
  </authors>
  <commentList>
    <comment ref="I1" authorId="0">
      <text>
        <r>
          <rPr>
            <b/>
            <sz val="9"/>
            <color indexed="81"/>
            <rFont val="Tahoma"/>
            <charset val="1"/>
          </rPr>
          <t>Es ponderen perque el preu sempre sigui 1€</t>
        </r>
      </text>
    </comment>
    <comment ref="J1" authorId="0">
      <text>
        <r>
          <rPr>
            <b/>
            <sz val="9"/>
            <color indexed="81"/>
            <rFont val="Tahoma"/>
            <charset val="1"/>
          </rPr>
          <t xml:space="preserve">Si la compra de referència no és completa, disminueixo el nombre de participacions venudes.
Ej. 
CompraId 29 VendaId 28
</t>
        </r>
      </text>
    </comment>
    <comment ref="K1" authorId="0">
      <text>
        <r>
          <rPr>
            <b/>
            <sz val="9"/>
            <color indexed="81"/>
            <rFont val="Tahoma"/>
            <charset val="1"/>
          </rPr>
          <t>Participacions venudes en aquesta operació</t>
        </r>
      </text>
    </comment>
    <comment ref="P1" authorId="0">
      <text>
        <r>
          <rPr>
            <b/>
            <sz val="9"/>
            <color indexed="81"/>
            <rFont val="Tahoma"/>
            <charset val="1"/>
          </rPr>
          <t>És per veure la formula per calcular el preu origen.
Per calcular el de les compres es fan servir el total de participacions.
Per calcular el de les vendes, es fa servir el total part de la venda i les part venides de les compres.</t>
        </r>
      </text>
    </comment>
    <comment ref="G20" authorId="0">
      <text>
        <r>
          <rPr>
            <b/>
            <sz val="9"/>
            <color indexed="81"/>
            <rFont val="Tahoma"/>
            <family val="2"/>
          </rPr>
          <t>Falta descomptar les participacions que no s'han venut en Id=28</t>
        </r>
      </text>
    </comment>
  </commentList>
</comments>
</file>

<file path=xl/comments2.xml><?xml version="1.0" encoding="utf-8"?>
<comments xmlns="http://schemas.openxmlformats.org/spreadsheetml/2006/main">
  <authors>
    <author>joanp</author>
  </authors>
  <commentList>
    <comment ref="I1" authorId="0">
      <text>
        <r>
          <rPr>
            <b/>
            <sz val="9"/>
            <color indexed="81"/>
            <rFont val="Tahoma"/>
            <charset val="1"/>
          </rPr>
          <t xml:space="preserve">Si la compra de referència no és completa, disminueixo el nombre de participacions venudes.
Ej. 
CompraId 29 VendaId 28
</t>
        </r>
      </text>
    </comment>
  </commentList>
</comments>
</file>

<file path=xl/comments3.xml><?xml version="1.0" encoding="utf-8"?>
<comments xmlns="http://schemas.openxmlformats.org/spreadsheetml/2006/main">
  <authors>
    <author>joanp</author>
  </authors>
  <commentList>
    <comment ref="K1" authorId="0">
      <text>
        <r>
          <rPr>
            <b/>
            <sz val="9"/>
            <color indexed="81"/>
            <rFont val="Tahoma"/>
            <family val="2"/>
          </rPr>
          <t>És la equivalència de les part orig i les part del moviment</t>
        </r>
      </text>
    </comment>
  </commentList>
</comments>
</file>

<file path=xl/comments4.xml><?xml version="1.0" encoding="utf-8"?>
<comments xmlns="http://schemas.openxmlformats.org/spreadsheetml/2006/main">
  <authors>
    <author>joanp</author>
  </authors>
  <commentList>
    <comment ref="N26" authorId="0">
      <text>
        <r>
          <rPr>
            <b/>
            <sz val="9"/>
            <color indexed="81"/>
            <rFont val="Tahoma"/>
            <family val="2"/>
          </rPr>
          <t>Preu Orig. Calculat</t>
        </r>
      </text>
    </comment>
    <comment ref="N27" authorId="0">
      <text>
        <r>
          <rPr>
            <b/>
            <sz val="9"/>
            <color indexed="81"/>
            <rFont val="Tahoma"/>
            <family val="2"/>
          </rPr>
          <t>Preu Orig en BD</t>
        </r>
      </text>
    </comment>
  </commentList>
</comments>
</file>

<file path=xl/sharedStrings.xml><?xml version="1.0" encoding="utf-8"?>
<sst xmlns="http://schemas.openxmlformats.org/spreadsheetml/2006/main" count="505" uniqueCount="151">
  <si>
    <t>Compra</t>
  </si>
  <si>
    <t>Venda</t>
  </si>
  <si>
    <t>Traspàs C</t>
  </si>
  <si>
    <t>Biotechnology C USD Acc</t>
  </si>
  <si>
    <t>Traspàs a Asian</t>
  </si>
  <si>
    <t>Traspàs V</t>
  </si>
  <si>
    <t>Id</t>
  </si>
  <si>
    <t>Part</t>
  </si>
  <si>
    <t>Preu U</t>
  </si>
  <si>
    <t>Brut</t>
  </si>
  <si>
    <t>Net</t>
  </si>
  <si>
    <t>Asian Smaller</t>
  </si>
  <si>
    <t>Compra inicial.</t>
  </si>
  <si>
    <t>European Growth N Acc ?</t>
  </si>
  <si>
    <t>Traspàs a Dexia</t>
  </si>
  <si>
    <t>Asian Smaller Companies Fund</t>
  </si>
  <si>
    <t>Compra Inicial.</t>
  </si>
  <si>
    <t>European</t>
  </si>
  <si>
    <t>Optimal Income</t>
  </si>
  <si>
    <t>Deutschland</t>
  </si>
  <si>
    <t>Total Return N Acc €-H1</t>
  </si>
  <si>
    <t>Optimal Income A-H Grs Acc Hdg EUR</t>
  </si>
  <si>
    <t>Deutch</t>
  </si>
  <si>
    <t>Total Return</t>
  </si>
  <si>
    <t>Bolsa Tecnología y Telecomunicaciones FI</t>
  </si>
  <si>
    <t>Traspàs a Templeton Total return</t>
  </si>
  <si>
    <t>De</t>
  </si>
  <si>
    <t>A</t>
  </si>
  <si>
    <t>Ref</t>
  </si>
  <si>
    <t>Id:16</t>
  </si>
  <si>
    <t>Part:2.55901511721861</t>
  </si>
  <si>
    <t>Id:27</t>
  </si>
  <si>
    <t>Part:58.502</t>
  </si>
  <si>
    <t>Part:547.645126</t>
  </si>
  <si>
    <t>Id:17</t>
  </si>
  <si>
    <t>Part:1010.611</t>
  </si>
  <si>
    <t>Id:15</t>
  </si>
  <si>
    <t>Part:583.652733356989</t>
  </si>
  <si>
    <t>Id: 16</t>
  </si>
  <si>
    <t>Part: 2.55901511721861</t>
  </si>
  <si>
    <t>Id: 27</t>
  </si>
  <si>
    <t>Part: 58.502</t>
  </si>
  <si>
    <t>Part: 545.086110882781</t>
  </si>
  <si>
    <t>Id: 17</t>
  </si>
  <si>
    <t>Part: 1010.611</t>
  </si>
  <si>
    <t>Id: 15</t>
  </si>
  <si>
    <t>Part: 583.652733356989</t>
  </si>
  <si>
    <t>Ord</t>
  </si>
  <si>
    <t>2;12</t>
  </si>
  <si>
    <t>3;13</t>
  </si>
  <si>
    <t>4;16</t>
  </si>
  <si>
    <t>5;17</t>
  </si>
  <si>
    <t>6;18</t>
  </si>
  <si>
    <t>Nom</t>
  </si>
  <si>
    <t>Num Part</t>
  </si>
  <si>
    <t>Part: 0</t>
  </si>
  <si>
    <t>Part: 547.645126</t>
  </si>
  <si>
    <t>NumPart</t>
  </si>
  <si>
    <t>Part Op</t>
  </si>
  <si>
    <t>Mov</t>
  </si>
  <si>
    <t>Part: 542.527095765563</t>
  </si>
  <si>
    <t>Part: 595.947402602003</t>
  </si>
  <si>
    <t>Data</t>
  </si>
  <si>
    <t>Resta P</t>
  </si>
  <si>
    <t>NULL</t>
  </si>
  <si>
    <t>2000-11-11 00:00:00.000</t>
  </si>
  <si>
    <t>Data ficticia, son fons que provenien d'Argentaria.</t>
  </si>
  <si>
    <t>2012-09-14 00:00:00.000</t>
  </si>
  <si>
    <t>2013-04-13 00:00:00.000</t>
  </si>
  <si>
    <t>2013-04-19 00:00:00.000</t>
  </si>
  <si>
    <t>2013-04-19 00:00:01.000</t>
  </si>
  <si>
    <t>qwe</t>
  </si>
  <si>
    <t>2013-06-14 00:00:00.000</t>
  </si>
  <si>
    <t>Traspàs total a DWS Deutschland</t>
  </si>
  <si>
    <t>2013-06-14 00:00:01.000</t>
  </si>
  <si>
    <t>2013-09-04 00:00:00.000</t>
  </si>
  <si>
    <t>2014-06-04 00:00:00.000</t>
  </si>
  <si>
    <t>Traspàs a M&amp;G Optimal Income</t>
  </si>
  <si>
    <t>2014-06-04 00:00:01.000</t>
  </si>
  <si>
    <t>2014-11-28 00:00:00.000</t>
  </si>
  <si>
    <t>Traspàs a DWS Deuschland</t>
  </si>
  <si>
    <t>2014-12-03 00:00:00.000</t>
  </si>
  <si>
    <t>2015-07-16 17:15:31.000</t>
  </si>
  <si>
    <t>Usu</t>
  </si>
  <si>
    <t>Prod</t>
  </si>
  <si>
    <t>TipusMov</t>
  </si>
  <si>
    <t>Pro trasp</t>
  </si>
  <si>
    <t>MovRefVenda</t>
  </si>
  <si>
    <t>Preu U Orig</t>
  </si>
  <si>
    <t>C</t>
  </si>
  <si>
    <t>VT</t>
  </si>
  <si>
    <t>CT</t>
  </si>
  <si>
    <t>Preu U Or</t>
  </si>
  <si>
    <t>Preu U Ori</t>
  </si>
  <si>
    <t>UsuariId</t>
  </si>
  <si>
    <t>ProdId</t>
  </si>
  <si>
    <t>Participacions</t>
  </si>
  <si>
    <t>Despeses</t>
  </si>
  <si>
    <t>Descripcio</t>
  </si>
  <si>
    <t>Traspàs a: DWS AKTIEN STRAT DEUTSCHLAND.</t>
  </si>
  <si>
    <t>ContraSplit. Factor conversor: 3. Preu operació: 7,6.</t>
  </si>
  <si>
    <t>Ampliació de capital de Santander.</t>
  </si>
  <si>
    <t>He sumat varies despesses anteriors.</t>
  </si>
  <si>
    <t>Acumulades despeses antigues.</t>
  </si>
  <si>
    <t>Acumulo despeses antigues. Son tres accions que no tenen cost.</t>
  </si>
  <si>
    <t>Primera compra a SelfBank.</t>
  </si>
  <si>
    <t>Venda ActivoBank.</t>
  </si>
  <si>
    <t>Ampliació de capital de Telefònica.</t>
  </si>
  <si>
    <t>Import net: 1.491,84 €</t>
  </si>
  <si>
    <t>Traspasat a: Fidelity Funds - Indonesia Fund Y-Acc-USD</t>
  </si>
  <si>
    <t>Venda total</t>
  </si>
  <si>
    <t>Compra inicial</t>
  </si>
  <si>
    <t>ContraSplit. Factor conversor: 3. Preu operació: 7,3.</t>
  </si>
  <si>
    <t>Dividendo en acciones.</t>
  </si>
  <si>
    <t>Interessos lloguer accions.</t>
  </si>
  <si>
    <t>Preu Participacio</t>
  </si>
  <si>
    <t>Part acum</t>
  </si>
  <si>
    <t>Trasp</t>
  </si>
  <si>
    <t>Prod Id Traspas</t>
  </si>
  <si>
    <t>Mov Id Venda</t>
  </si>
  <si>
    <t>Ordre orig</t>
  </si>
  <si>
    <t>Ordre flux</t>
  </si>
  <si>
    <t>Preu Part Origen</t>
  </si>
  <si>
    <t>Preu Parti Origen</t>
  </si>
  <si>
    <t>Compres</t>
  </si>
  <si>
    <t>Compres Origen</t>
  </si>
  <si>
    <t>Vendes</t>
  </si>
  <si>
    <t>Part venudes</t>
  </si>
  <si>
    <t>Venda, inici flux</t>
  </si>
  <si>
    <t>Cost total origen. A partir de les compres originals.</t>
  </si>
  <si>
    <t>Cost total origen. A partir de "Preu Part Origen"</t>
  </si>
  <si>
    <t>Part venudes2</t>
  </si>
  <si>
    <t xml:space="preserve">Diferència </t>
  </si>
  <si>
    <t>Cost total origen. A partir de les compres originals amb "Part venudes2".</t>
  </si>
  <si>
    <t>Preu part orig calc</t>
  </si>
  <si>
    <t>S'han venut parcialment</t>
  </si>
  <si>
    <t>Fons A comprat 10 part dia 1</t>
  </si>
  <si>
    <t>Fons B comprat 10 part dia 2</t>
  </si>
  <si>
    <t>Traspàs 5 part de fons B a fons C dia 3</t>
  </si>
  <si>
    <t>Traspàs 5 part de fons A a fons C dia 4</t>
  </si>
  <si>
    <t>Venda 5 part de fons C. Haurien de ser les part del fons A, però en les compres del fons C és més antic el traspas des del fons B.</t>
  </si>
  <si>
    <t>Part ponderad</t>
  </si>
  <si>
    <t>Moviment parcial</t>
  </si>
  <si>
    <t>No</t>
  </si>
  <si>
    <t>Si</t>
  </si>
  <si>
    <t>Ref. Id.</t>
  </si>
  <si>
    <t>Prod Id</t>
  </si>
  <si>
    <t>Mov Id</t>
  </si>
  <si>
    <t>Part. restants</t>
  </si>
  <si>
    <t>Part. Restants orig</t>
  </si>
  <si>
    <t>Ref Venda</t>
  </si>
</sst>
</file>

<file path=xl/styles.xml><?xml version="1.0" encoding="utf-8"?>
<styleSheet xmlns="http://schemas.openxmlformats.org/spreadsheetml/2006/main">
  <numFmts count="13">
    <numFmt numFmtId="8" formatCode="#,##0.00\ &quot;€&quot;;[Red]\-#,##0.00\ &quot;€&quot;"/>
    <numFmt numFmtId="164" formatCode="#,##0.00\ &quot;€&quot;"/>
    <numFmt numFmtId="165" formatCode="#,##0.000"/>
    <numFmt numFmtId="166" formatCode="0.00000"/>
    <numFmt numFmtId="167" formatCode="#,##0.000\ &quot;€&quot;"/>
    <numFmt numFmtId="168" formatCode="0.0000"/>
    <numFmt numFmtId="169" formatCode="#,##0.0000\ &quot;€&quot;"/>
    <numFmt numFmtId="170" formatCode="#,##0.000\ &quot;€&quot;;[Red]\-#,##0.000\ &quot;€&quot;"/>
    <numFmt numFmtId="171" formatCode="#,##0.0000\ &quot;€&quot;;[Red]\-#,##0.0000\ &quot;€&quot;"/>
    <numFmt numFmtId="172" formatCode="#,##0.000_ ;[Red]\-#,##0.000\ "/>
    <numFmt numFmtId="173" formatCode="0.000_ ;[Red]\-0.000\ "/>
    <numFmt numFmtId="174" formatCode="#,##0.0000_ ;[Red]\-#,##0.0000\ "/>
    <numFmt numFmtId="175" formatCode="#,##0.0000"/>
  </numFmts>
  <fonts count="10">
    <font>
      <sz val="11"/>
      <color theme="1"/>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b/>
      <sz val="11"/>
      <color theme="1"/>
      <name val="Calibri"/>
      <family val="2"/>
      <scheme val="minor"/>
    </font>
    <font>
      <b/>
      <sz val="9"/>
      <color indexed="81"/>
      <name val="Tahoma"/>
      <family val="2"/>
    </font>
    <font>
      <sz val="11"/>
      <color rgb="FF3F3F76"/>
      <name val="Calibri"/>
      <family val="2"/>
      <scheme val="minor"/>
    </font>
    <font>
      <sz val="11"/>
      <color rgb="FF9C0006"/>
      <name val="Calibri"/>
      <family val="2"/>
      <scheme val="minor"/>
    </font>
    <font>
      <sz val="11"/>
      <color theme="0"/>
      <name val="Calibri"/>
      <family val="2"/>
      <scheme val="minor"/>
    </font>
    <font>
      <b/>
      <sz val="9"/>
      <color indexed="81"/>
      <name val="Tahoma"/>
      <charset val="1"/>
    </font>
  </fonts>
  <fills count="9">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rgb="FFFFCC99"/>
      </patternFill>
    </fill>
    <fill>
      <patternFill patternType="solid">
        <fgColor rgb="FFFFC7CE"/>
      </patternFill>
    </fill>
    <fill>
      <patternFill patternType="solid">
        <fgColor theme="4" tint="0.39997558519241921"/>
        <bgColor indexed="65"/>
      </patternFill>
    </fill>
    <fill>
      <patternFill patternType="solid">
        <fgColor theme="7"/>
      </patternFill>
    </fill>
  </fills>
  <borders count="16">
    <border>
      <left/>
      <right/>
      <top/>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6" fillId="5" borderId="1" applyNumberFormat="0" applyAlignment="0" applyProtection="0"/>
    <xf numFmtId="0" fontId="7"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cellStyleXfs>
  <cellXfs count="126">
    <xf numFmtId="0" fontId="0" fillId="0" borderId="0" xfId="0"/>
    <xf numFmtId="14" fontId="0" fillId="0" borderId="0" xfId="0" applyNumberFormat="1"/>
    <xf numFmtId="4" fontId="0" fillId="0" borderId="0" xfId="0" applyNumberFormat="1"/>
    <xf numFmtId="8" fontId="0" fillId="0" borderId="0" xfId="0" applyNumberFormat="1"/>
    <xf numFmtId="0" fontId="4" fillId="0" borderId="0" xfId="0" applyFont="1"/>
    <xf numFmtId="0" fontId="4" fillId="0" borderId="0" xfId="0" applyFont="1" applyAlignment="1">
      <alignment horizontal="center"/>
    </xf>
    <xf numFmtId="0" fontId="1" fillId="2" borderId="0" xfId="1"/>
    <xf numFmtId="14" fontId="1" fillId="2" borderId="0" xfId="1" applyNumberFormat="1"/>
    <xf numFmtId="8" fontId="1" fillId="2" borderId="0" xfId="1" applyNumberFormat="1"/>
    <xf numFmtId="4" fontId="1" fillId="2" borderId="0" xfId="1" applyNumberFormat="1"/>
    <xf numFmtId="0" fontId="2" fillId="3" borderId="0" xfId="2"/>
    <xf numFmtId="14" fontId="2" fillId="3" borderId="0" xfId="2" applyNumberFormat="1"/>
    <xf numFmtId="164" fontId="0" fillId="0" borderId="0" xfId="0" applyNumberFormat="1"/>
    <xf numFmtId="164" fontId="2" fillId="3" borderId="0" xfId="2" applyNumberFormat="1"/>
    <xf numFmtId="164" fontId="1" fillId="2" borderId="0" xfId="1" applyNumberFormat="1"/>
    <xf numFmtId="165" fontId="3" fillId="4" borderId="1" xfId="3" applyNumberFormat="1"/>
    <xf numFmtId="166" fontId="0" fillId="0" borderId="0" xfId="0" applyNumberFormat="1"/>
    <xf numFmtId="166" fontId="2" fillId="3" borderId="0" xfId="2" applyNumberFormat="1"/>
    <xf numFmtId="0" fontId="4" fillId="0" borderId="2" xfId="0" applyFont="1" applyBorder="1"/>
    <xf numFmtId="167" fontId="0" fillId="0" borderId="0" xfId="0" applyNumberFormat="1"/>
    <xf numFmtId="0" fontId="0" fillId="0" borderId="0" xfId="0" applyBorder="1"/>
    <xf numFmtId="0" fontId="6" fillId="5" borderId="1" xfId="4"/>
    <xf numFmtId="14" fontId="6" fillId="5" borderId="1" xfId="4" applyNumberFormat="1"/>
    <xf numFmtId="164" fontId="6" fillId="5" borderId="1" xfId="4" applyNumberFormat="1"/>
    <xf numFmtId="168" fontId="0" fillId="0" borderId="0" xfId="0" applyNumberFormat="1"/>
    <xf numFmtId="168" fontId="6" fillId="5" borderId="1" xfId="4" applyNumberFormat="1"/>
    <xf numFmtId="168" fontId="1" fillId="2" borderId="0" xfId="1" applyNumberFormat="1"/>
    <xf numFmtId="3" fontId="0" fillId="0" borderId="0" xfId="0" applyNumberFormat="1"/>
    <xf numFmtId="0" fontId="0" fillId="0" borderId="0" xfId="0"/>
    <xf numFmtId="14" fontId="0" fillId="0" borderId="0" xfId="0" applyNumberFormat="1"/>
    <xf numFmtId="0" fontId="1" fillId="2" borderId="0" xfId="1"/>
    <xf numFmtId="14" fontId="1" fillId="2" borderId="0" xfId="1" applyNumberFormat="1"/>
    <xf numFmtId="164" fontId="0" fillId="0" borderId="0" xfId="0" applyNumberFormat="1"/>
    <xf numFmtId="164" fontId="1" fillId="2" borderId="0" xfId="1" applyNumberFormat="1"/>
    <xf numFmtId="0" fontId="4" fillId="0" borderId="2" xfId="0" applyFont="1" applyBorder="1"/>
    <xf numFmtId="167" fontId="7" fillId="6" borderId="0" xfId="5" applyNumberFormat="1"/>
    <xf numFmtId="169" fontId="0" fillId="0" borderId="0" xfId="0" applyNumberFormat="1"/>
    <xf numFmtId="0" fontId="0" fillId="0" borderId="0" xfId="0"/>
    <xf numFmtId="0" fontId="4" fillId="0" borderId="0" xfId="0" applyFont="1" applyAlignment="1">
      <alignment horizontal="center"/>
    </xf>
    <xf numFmtId="0" fontId="1" fillId="2" borderId="0" xfId="1"/>
    <xf numFmtId="0" fontId="0" fillId="0" borderId="0" xfId="0"/>
    <xf numFmtId="0" fontId="4" fillId="0" borderId="0" xfId="0" applyFont="1" applyAlignment="1">
      <alignment horizontal="center"/>
    </xf>
    <xf numFmtId="0" fontId="1" fillId="2" borderId="0" xfId="1"/>
    <xf numFmtId="0" fontId="0" fillId="0" borderId="0" xfId="0"/>
    <xf numFmtId="0" fontId="0" fillId="0" borderId="0" xfId="0"/>
    <xf numFmtId="0" fontId="0" fillId="0" borderId="0" xfId="0"/>
    <xf numFmtId="0" fontId="0" fillId="0" borderId="0" xfId="0"/>
    <xf numFmtId="0" fontId="1" fillId="2" borderId="0" xfId="1"/>
    <xf numFmtId="0" fontId="0" fillId="0" borderId="0" xfId="0"/>
    <xf numFmtId="0" fontId="0" fillId="0" borderId="0" xfId="0"/>
    <xf numFmtId="0" fontId="1" fillId="2" borderId="0" xfId="1"/>
    <xf numFmtId="0" fontId="0" fillId="0" borderId="0" xfId="0"/>
    <xf numFmtId="0" fontId="0" fillId="0" borderId="0" xfId="0"/>
    <xf numFmtId="0" fontId="0" fillId="0" borderId="0" xfId="0"/>
    <xf numFmtId="0" fontId="0" fillId="0" borderId="0" xfId="0"/>
    <xf numFmtId="0" fontId="1" fillId="2" borderId="0" xfId="1"/>
    <xf numFmtId="0" fontId="1" fillId="2" borderId="0" xfId="1"/>
    <xf numFmtId="0" fontId="0" fillId="0" borderId="0" xfId="0"/>
    <xf numFmtId="0" fontId="0" fillId="0" borderId="0" xfId="0"/>
    <xf numFmtId="0" fontId="0" fillId="0" borderId="0" xfId="0"/>
    <xf numFmtId="8" fontId="0" fillId="0" borderId="0" xfId="0" applyNumberFormat="1"/>
    <xf numFmtId="0" fontId="1" fillId="2" borderId="0" xfId="1"/>
    <xf numFmtId="167" fontId="0" fillId="0" borderId="0" xfId="0" applyNumberFormat="1"/>
    <xf numFmtId="164" fontId="6" fillId="5" borderId="1" xfId="4" applyNumberFormat="1"/>
    <xf numFmtId="164" fontId="0" fillId="0" borderId="0" xfId="0" applyNumberFormat="1"/>
    <xf numFmtId="164" fontId="2" fillId="3" borderId="0" xfId="2" applyNumberFormat="1"/>
    <xf numFmtId="164" fontId="1" fillId="2" borderId="0" xfId="1" applyNumberFormat="1"/>
    <xf numFmtId="164" fontId="1" fillId="2" borderId="1" xfId="1" applyNumberFormat="1" applyBorder="1"/>
    <xf numFmtId="22" fontId="0" fillId="0" borderId="0" xfId="0" applyNumberFormat="1"/>
    <xf numFmtId="0" fontId="4" fillId="0" borderId="0" xfId="0" applyFont="1" applyAlignment="1">
      <alignment horizontal="center" wrapText="1"/>
    </xf>
    <xf numFmtId="170" fontId="4" fillId="0" borderId="0" xfId="0" applyNumberFormat="1" applyFont="1" applyAlignment="1">
      <alignment horizontal="center" wrapText="1"/>
    </xf>
    <xf numFmtId="170" fontId="0" fillId="0" borderId="0" xfId="0" applyNumberFormat="1"/>
    <xf numFmtId="171" fontId="4" fillId="0" borderId="0" xfId="0" applyNumberFormat="1" applyFont="1" applyAlignment="1">
      <alignment horizontal="center" wrapText="1"/>
    </xf>
    <xf numFmtId="171" fontId="0" fillId="0" borderId="0" xfId="0" applyNumberFormat="1"/>
    <xf numFmtId="172" fontId="4" fillId="0" borderId="0" xfId="0" applyNumberFormat="1" applyFont="1" applyAlignment="1">
      <alignment horizontal="center" wrapText="1"/>
    </xf>
    <xf numFmtId="172" fontId="0" fillId="0" borderId="0" xfId="0" applyNumberFormat="1"/>
    <xf numFmtId="0" fontId="0" fillId="0" borderId="0" xfId="0" applyAlignment="1">
      <alignment horizontal="center"/>
    </xf>
    <xf numFmtId="0" fontId="8" fillId="7" borderId="0" xfId="6"/>
    <xf numFmtId="0" fontId="1" fillId="2" borderId="1" xfId="1" applyBorder="1"/>
    <xf numFmtId="0" fontId="2" fillId="3" borderId="0" xfId="2" applyBorder="1"/>
    <xf numFmtId="0" fontId="3" fillId="4" borderId="0" xfId="3" applyBorder="1"/>
    <xf numFmtId="0" fontId="8" fillId="7" borderId="1" xfId="6" applyBorder="1"/>
    <xf numFmtId="0" fontId="0" fillId="0" borderId="0" xfId="0" applyNumberFormat="1"/>
    <xf numFmtId="8" fontId="7" fillId="6" borderId="0" xfId="5" applyNumberFormat="1"/>
    <xf numFmtId="172" fontId="7" fillId="6" borderId="0" xfId="5" applyNumberFormat="1"/>
    <xf numFmtId="173" fontId="0" fillId="0" borderId="0" xfId="0" applyNumberFormat="1"/>
    <xf numFmtId="165" fontId="0" fillId="0" borderId="0" xfId="0" applyNumberFormat="1"/>
    <xf numFmtId="174" fontId="0" fillId="0" borderId="0" xfId="0" applyNumberFormat="1"/>
    <xf numFmtId="172" fontId="8" fillId="8" borderId="0" xfId="7" applyNumberFormat="1"/>
    <xf numFmtId="0" fontId="8" fillId="8" borderId="0" xfId="7"/>
    <xf numFmtId="164" fontId="4" fillId="0" borderId="0" xfId="0" applyNumberFormat="1" applyFont="1" applyAlignment="1">
      <alignment horizontal="center" wrapText="1"/>
    </xf>
    <xf numFmtId="175" fontId="0" fillId="0" borderId="0" xfId="0" applyNumberFormat="1"/>
    <xf numFmtId="175" fontId="4" fillId="0" borderId="0" xfId="0" applyNumberFormat="1" applyFont="1" applyAlignment="1">
      <alignment horizontal="center" wrapText="1"/>
    </xf>
    <xf numFmtId="175" fontId="0" fillId="0" borderId="0" xfId="0" applyNumberFormat="1" applyAlignment="1"/>
    <xf numFmtId="0" fontId="0" fillId="0" borderId="3" xfId="0" applyBorder="1"/>
    <xf numFmtId="0" fontId="0" fillId="0" borderId="4" xfId="0" applyBorder="1"/>
    <xf numFmtId="0" fontId="0" fillId="0" borderId="4" xfId="0" applyBorder="1" applyAlignment="1">
      <alignment horizontal="center"/>
    </xf>
    <xf numFmtId="175" fontId="0" fillId="0" borderId="4" xfId="0" applyNumberFormat="1" applyBorder="1" applyAlignment="1"/>
    <xf numFmtId="164" fontId="0" fillId="0" borderId="4" xfId="0" applyNumberFormat="1" applyBorder="1"/>
    <xf numFmtId="175" fontId="0" fillId="0" borderId="5" xfId="0" applyNumberFormat="1" applyBorder="1"/>
    <xf numFmtId="0" fontId="0" fillId="0" borderId="6" xfId="0" applyBorder="1"/>
    <xf numFmtId="0" fontId="0" fillId="0" borderId="0" xfId="0" applyBorder="1" applyAlignment="1">
      <alignment horizontal="center"/>
    </xf>
    <xf numFmtId="175" fontId="0" fillId="0" borderId="0" xfId="0" applyNumberFormat="1" applyBorder="1" applyAlignment="1"/>
    <xf numFmtId="164" fontId="0" fillId="0" borderId="0" xfId="0" applyNumberFormat="1" applyBorder="1"/>
    <xf numFmtId="175" fontId="0" fillId="0" borderId="2" xfId="0" applyNumberFormat="1" applyBorder="1"/>
    <xf numFmtId="0" fontId="0" fillId="0" borderId="7" xfId="0" applyBorder="1"/>
    <xf numFmtId="0" fontId="0" fillId="0" borderId="8" xfId="0" applyBorder="1"/>
    <xf numFmtId="0" fontId="0" fillId="0" borderId="8" xfId="0" applyBorder="1" applyAlignment="1">
      <alignment horizontal="center"/>
    </xf>
    <xf numFmtId="175" fontId="0" fillId="0" borderId="8" xfId="0" applyNumberFormat="1" applyBorder="1" applyAlignment="1"/>
    <xf numFmtId="164" fontId="0" fillId="0" borderId="8" xfId="0" applyNumberFormat="1" applyBorder="1"/>
    <xf numFmtId="175" fontId="0" fillId="0" borderId="9" xfId="0" applyNumberFormat="1" applyBorder="1"/>
    <xf numFmtId="0" fontId="0" fillId="0" borderId="10" xfId="0" applyBorder="1"/>
    <xf numFmtId="0" fontId="0" fillId="0" borderId="11" xfId="0" applyBorder="1"/>
    <xf numFmtId="0" fontId="0" fillId="0" borderId="11" xfId="0" applyBorder="1" applyAlignment="1">
      <alignment horizontal="center"/>
    </xf>
    <xf numFmtId="175" fontId="0" fillId="0" borderId="11" xfId="0" applyNumberFormat="1" applyBorder="1" applyAlignment="1"/>
    <xf numFmtId="164" fontId="0" fillId="0" borderId="11" xfId="0" applyNumberFormat="1" applyBorder="1"/>
    <xf numFmtId="175" fontId="0" fillId="0" borderId="12" xfId="0" applyNumberFormat="1" applyBorder="1"/>
    <xf numFmtId="0" fontId="4" fillId="0" borderId="0" xfId="0" applyFont="1" applyAlignment="1">
      <alignment horizontal="center" vertical="center"/>
    </xf>
    <xf numFmtId="175" fontId="0" fillId="0" borderId="8" xfId="0" applyNumberFormat="1" applyBorder="1"/>
    <xf numFmtId="0" fontId="1" fillId="2" borderId="0" xfId="1" applyAlignment="1">
      <alignment horizontal="center"/>
    </xf>
    <xf numFmtId="175" fontId="0" fillId="0" borderId="4" xfId="0" applyNumberFormat="1" applyBorder="1"/>
    <xf numFmtId="0" fontId="1" fillId="2" borderId="8" xfId="1" applyBorder="1" applyAlignment="1">
      <alignment horizontal="center"/>
    </xf>
    <xf numFmtId="0" fontId="4" fillId="0" borderId="13" xfId="0" applyFont="1" applyBorder="1" applyAlignment="1">
      <alignment horizontal="center" wrapText="1"/>
    </xf>
    <xf numFmtId="0" fontId="4" fillId="0" borderId="14" xfId="0" applyFont="1" applyBorder="1" applyAlignment="1">
      <alignment horizontal="center" wrapText="1"/>
    </xf>
    <xf numFmtId="175" fontId="4" fillId="0" borderId="14" xfId="0" applyNumberFormat="1" applyFont="1" applyBorder="1" applyAlignment="1">
      <alignment horizontal="center" wrapText="1"/>
    </xf>
    <xf numFmtId="175" fontId="4" fillId="0" borderId="15" xfId="0" applyNumberFormat="1" applyFont="1" applyBorder="1" applyAlignment="1">
      <alignment horizontal="center" wrapText="1"/>
    </xf>
  </cellXfs>
  <cellStyles count="8">
    <cellStyle name="60% - Accent1" xfId="6" builtinId="32"/>
    <cellStyle name="Accent4" xfId="7" builtinId="41"/>
    <cellStyle name="Bad" xfId="5" builtinId="27"/>
    <cellStyle name="Calculation" xfId="3" builtinId="22"/>
    <cellStyle name="Good" xfId="1" builtinId="26"/>
    <cellStyle name="Input" xfId="4" builtinId="20"/>
    <cellStyle name="Neutral" xfId="2" builtinId="2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94973</xdr:colOff>
      <xdr:row>2</xdr:row>
      <xdr:rowOff>101047</xdr:rowOff>
    </xdr:from>
    <xdr:to>
      <xdr:col>2</xdr:col>
      <xdr:colOff>662885</xdr:colOff>
      <xdr:row>12</xdr:row>
      <xdr:rowOff>158750</xdr:rowOff>
    </xdr:to>
    <xdr:sp macro="" textlink="">
      <xdr:nvSpPr>
        <xdr:cNvPr id="2" name="Curved Left Arrow 1"/>
        <xdr:cNvSpPr/>
      </xdr:nvSpPr>
      <xdr:spPr>
        <a:xfrm>
          <a:off x="1314173" y="469347"/>
          <a:ext cx="567912" cy="1899203"/>
        </a:xfrm>
        <a:prstGeom prst="curvedLeftArrow">
          <a:avLst>
            <a:gd name="adj1" fmla="val 0"/>
            <a:gd name="adj2" fmla="val 15392"/>
            <a:gd name="adj3" fmla="val 14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83102</xdr:colOff>
      <xdr:row>3</xdr:row>
      <xdr:rowOff>104913</xdr:rowOff>
    </xdr:from>
    <xdr:to>
      <xdr:col>2</xdr:col>
      <xdr:colOff>653774</xdr:colOff>
      <xdr:row>13</xdr:row>
      <xdr:rowOff>146050</xdr:rowOff>
    </xdr:to>
    <xdr:sp macro="" textlink="">
      <xdr:nvSpPr>
        <xdr:cNvPr id="3" name="Curved Left Arrow 2"/>
        <xdr:cNvSpPr/>
      </xdr:nvSpPr>
      <xdr:spPr>
        <a:xfrm>
          <a:off x="1302302" y="657363"/>
          <a:ext cx="570672" cy="1882637"/>
        </a:xfrm>
        <a:prstGeom prst="curvedLeftArrow">
          <a:avLst>
            <a:gd name="adj1" fmla="val 0"/>
            <a:gd name="adj2" fmla="val 15392"/>
            <a:gd name="adj3" fmla="val 14743"/>
          </a:avLst>
        </a:prstGeom>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83930</xdr:colOff>
      <xdr:row>4</xdr:row>
      <xdr:rowOff>112091</xdr:rowOff>
    </xdr:from>
    <xdr:to>
      <xdr:col>2</xdr:col>
      <xdr:colOff>660124</xdr:colOff>
      <xdr:row>16</xdr:row>
      <xdr:rowOff>133351</xdr:rowOff>
    </xdr:to>
    <xdr:sp macro="" textlink="">
      <xdr:nvSpPr>
        <xdr:cNvPr id="4" name="Curved Left Arrow 3"/>
        <xdr:cNvSpPr/>
      </xdr:nvSpPr>
      <xdr:spPr>
        <a:xfrm>
          <a:off x="1303130" y="848691"/>
          <a:ext cx="576194" cy="2231060"/>
        </a:xfrm>
        <a:prstGeom prst="curvedLeftArrow">
          <a:avLst>
            <a:gd name="adj1" fmla="val 0"/>
            <a:gd name="adj2" fmla="val 15392"/>
            <a:gd name="adj3" fmla="val 14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72887</xdr:colOff>
      <xdr:row>5</xdr:row>
      <xdr:rowOff>74821</xdr:rowOff>
    </xdr:from>
    <xdr:to>
      <xdr:col>2</xdr:col>
      <xdr:colOff>614017</xdr:colOff>
      <xdr:row>17</xdr:row>
      <xdr:rowOff>152401</xdr:rowOff>
    </xdr:to>
    <xdr:sp macro="" textlink="">
      <xdr:nvSpPr>
        <xdr:cNvPr id="5" name="Curved Left Arrow 4"/>
        <xdr:cNvSpPr/>
      </xdr:nvSpPr>
      <xdr:spPr>
        <a:xfrm>
          <a:off x="1292087" y="995571"/>
          <a:ext cx="541130" cy="2287380"/>
        </a:xfrm>
        <a:prstGeom prst="curvedLeftArrow">
          <a:avLst>
            <a:gd name="adj1" fmla="val 0"/>
            <a:gd name="adj2" fmla="val 15392"/>
            <a:gd name="adj3" fmla="val 14743"/>
          </a:avLst>
        </a:prstGeom>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79236</xdr:colOff>
      <xdr:row>6</xdr:row>
      <xdr:rowOff>104083</xdr:rowOff>
    </xdr:from>
    <xdr:to>
      <xdr:col>2</xdr:col>
      <xdr:colOff>493367</xdr:colOff>
      <xdr:row>18</xdr:row>
      <xdr:rowOff>148259</xdr:rowOff>
    </xdr:to>
    <xdr:sp macro="" textlink="">
      <xdr:nvSpPr>
        <xdr:cNvPr id="6" name="Curved Left Arrow 5"/>
        <xdr:cNvSpPr/>
      </xdr:nvSpPr>
      <xdr:spPr>
        <a:xfrm>
          <a:off x="1298436" y="1208983"/>
          <a:ext cx="414131" cy="2253976"/>
        </a:xfrm>
        <a:prstGeom prst="curvedLeftArrow">
          <a:avLst>
            <a:gd name="adj1" fmla="val 0"/>
            <a:gd name="adj2" fmla="val 15392"/>
            <a:gd name="adj3" fmla="val 14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44173</xdr:colOff>
      <xdr:row>2</xdr:row>
      <xdr:rowOff>88347</xdr:rowOff>
    </xdr:from>
    <xdr:to>
      <xdr:col>2</xdr:col>
      <xdr:colOff>745435</xdr:colOff>
      <xdr:row>12</xdr:row>
      <xdr:rowOff>176695</xdr:rowOff>
    </xdr:to>
    <xdr:sp macro="" textlink="">
      <xdr:nvSpPr>
        <xdr:cNvPr id="24" name="Curved Left Arrow 23"/>
        <xdr:cNvSpPr/>
      </xdr:nvSpPr>
      <xdr:spPr>
        <a:xfrm>
          <a:off x="1678608" y="452782"/>
          <a:ext cx="701262" cy="1910522"/>
        </a:xfrm>
        <a:prstGeom prst="curvedLeftArrow">
          <a:avLst>
            <a:gd name="adj1" fmla="val 0"/>
            <a:gd name="adj2" fmla="val 15392"/>
            <a:gd name="adj3" fmla="val 14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38652</xdr:colOff>
      <xdr:row>3</xdr:row>
      <xdr:rowOff>104913</xdr:rowOff>
    </xdr:from>
    <xdr:to>
      <xdr:col>2</xdr:col>
      <xdr:colOff>806174</xdr:colOff>
      <xdr:row>13</xdr:row>
      <xdr:rowOff>165329</xdr:rowOff>
    </xdr:to>
    <xdr:sp macro="" textlink="">
      <xdr:nvSpPr>
        <xdr:cNvPr id="25" name="Curved Left Arrow 24"/>
        <xdr:cNvSpPr/>
      </xdr:nvSpPr>
      <xdr:spPr>
        <a:xfrm>
          <a:off x="1673087" y="651565"/>
          <a:ext cx="767522" cy="1882590"/>
        </a:xfrm>
        <a:prstGeom prst="curvedLeftArrow">
          <a:avLst>
            <a:gd name="adj1" fmla="val 0"/>
            <a:gd name="adj2" fmla="val 15392"/>
            <a:gd name="adj3" fmla="val 14743"/>
          </a:avLst>
        </a:prstGeom>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33130</xdr:colOff>
      <xdr:row>4</xdr:row>
      <xdr:rowOff>99390</xdr:rowOff>
    </xdr:from>
    <xdr:to>
      <xdr:col>2</xdr:col>
      <xdr:colOff>679174</xdr:colOff>
      <xdr:row>16</xdr:row>
      <xdr:rowOff>180829</xdr:rowOff>
    </xdr:to>
    <xdr:sp macro="" textlink="">
      <xdr:nvSpPr>
        <xdr:cNvPr id="27" name="Curved Left Arrow 26"/>
        <xdr:cNvSpPr/>
      </xdr:nvSpPr>
      <xdr:spPr>
        <a:xfrm>
          <a:off x="1667565" y="828260"/>
          <a:ext cx="646044" cy="2268047"/>
        </a:xfrm>
        <a:prstGeom prst="curvedLeftArrow">
          <a:avLst>
            <a:gd name="adj1" fmla="val 0"/>
            <a:gd name="adj2" fmla="val 15392"/>
            <a:gd name="adj3" fmla="val 14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22087</xdr:colOff>
      <xdr:row>5</xdr:row>
      <xdr:rowOff>93870</xdr:rowOff>
    </xdr:from>
    <xdr:to>
      <xdr:col>2</xdr:col>
      <xdr:colOff>563217</xdr:colOff>
      <xdr:row>17</xdr:row>
      <xdr:rowOff>158547</xdr:rowOff>
    </xdr:to>
    <xdr:sp macro="" textlink="">
      <xdr:nvSpPr>
        <xdr:cNvPr id="28" name="Curved Left Arrow 27"/>
        <xdr:cNvSpPr/>
      </xdr:nvSpPr>
      <xdr:spPr>
        <a:xfrm>
          <a:off x="1656522" y="1004957"/>
          <a:ext cx="541130" cy="2251286"/>
        </a:xfrm>
        <a:prstGeom prst="curvedLeftArrow">
          <a:avLst>
            <a:gd name="adj1" fmla="val 0"/>
            <a:gd name="adj2" fmla="val 15392"/>
            <a:gd name="adj3" fmla="val 14743"/>
          </a:avLst>
        </a:prstGeom>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twoCellAnchor>
    <xdr:from>
      <xdr:col>2</xdr:col>
      <xdr:colOff>22086</xdr:colOff>
      <xdr:row>6</xdr:row>
      <xdr:rowOff>110433</xdr:rowOff>
    </xdr:from>
    <xdr:to>
      <xdr:col>2</xdr:col>
      <xdr:colOff>436217</xdr:colOff>
      <xdr:row>18</xdr:row>
      <xdr:rowOff>154609</xdr:rowOff>
    </xdr:to>
    <xdr:sp macro="" textlink="">
      <xdr:nvSpPr>
        <xdr:cNvPr id="29" name="Curved Left Arrow 28"/>
        <xdr:cNvSpPr/>
      </xdr:nvSpPr>
      <xdr:spPr>
        <a:xfrm>
          <a:off x="1656521" y="1203737"/>
          <a:ext cx="414131" cy="2230785"/>
        </a:xfrm>
        <a:prstGeom prst="curvedLeftArrow">
          <a:avLst>
            <a:gd name="adj1" fmla="val 0"/>
            <a:gd name="adj2" fmla="val 15392"/>
            <a:gd name="adj3" fmla="val 147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ca-E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O145"/>
  <sheetViews>
    <sheetView workbookViewId="0">
      <pane ySplit="1" topLeftCell="A2" activePane="bottomLeft" state="frozen"/>
      <selection pane="bottomLeft" activeCell="I7" sqref="I7"/>
    </sheetView>
  </sheetViews>
  <sheetFormatPr defaultRowHeight="14.5"/>
  <cols>
    <col min="1" max="1" width="8.54296875" style="59" customWidth="1"/>
    <col min="2" max="2" width="7.90625" style="59" customWidth="1"/>
    <col min="3" max="3" width="5.7265625" style="59" customWidth="1"/>
    <col min="4" max="4" width="0" style="59" hidden="1" customWidth="1"/>
    <col min="5" max="5" width="7.08984375" style="59" customWidth="1"/>
    <col min="6" max="6" width="8.7265625" style="59"/>
    <col min="7" max="8" width="10.08984375" style="75" customWidth="1"/>
    <col min="9" max="10" width="8.7265625" style="59"/>
    <col min="11" max="11" width="16.1796875" style="59" customWidth="1"/>
    <col min="12" max="13" width="11.26953125" style="73" bestFit="1" customWidth="1"/>
    <col min="14" max="14" width="8.7265625" style="71"/>
    <col min="15" max="15" width="47" style="59" customWidth="1"/>
    <col min="16" max="16384" width="8.7265625" style="59"/>
  </cols>
  <sheetData>
    <row r="1" spans="1:15" ht="29">
      <c r="A1" s="69" t="s">
        <v>94</v>
      </c>
      <c r="B1" s="69" t="s">
        <v>95</v>
      </c>
      <c r="C1" s="69" t="s">
        <v>6</v>
      </c>
      <c r="D1" s="69" t="s">
        <v>59</v>
      </c>
      <c r="E1" s="69" t="s">
        <v>117</v>
      </c>
      <c r="F1" s="69" t="s">
        <v>59</v>
      </c>
      <c r="G1" s="74" t="s">
        <v>96</v>
      </c>
      <c r="H1" s="74" t="s">
        <v>116</v>
      </c>
      <c r="I1" s="69" t="s">
        <v>119</v>
      </c>
      <c r="J1" s="69" t="s">
        <v>118</v>
      </c>
      <c r="K1" s="69" t="s">
        <v>62</v>
      </c>
      <c r="L1" s="72" t="s">
        <v>123</v>
      </c>
      <c r="M1" s="72" t="s">
        <v>115</v>
      </c>
      <c r="N1" s="70" t="s">
        <v>97</v>
      </c>
      <c r="O1" s="69" t="s">
        <v>98</v>
      </c>
    </row>
    <row r="2" spans="1:15">
      <c r="A2" s="59">
        <v>1</v>
      </c>
      <c r="B2" s="59">
        <v>1</v>
      </c>
      <c r="C2" s="59">
        <v>27</v>
      </c>
      <c r="D2" s="59">
        <v>0</v>
      </c>
      <c r="E2" s="59" t="str">
        <f>IF(J2&gt;0,"Si","")</f>
        <v/>
      </c>
      <c r="F2" s="59" t="str">
        <f>IF(D2=0,"Compra","Venda")</f>
        <v>Compra</v>
      </c>
      <c r="G2" s="75">
        <v>58.502000000000002</v>
      </c>
      <c r="H2" s="75">
        <f>G2</f>
        <v>58.502000000000002</v>
      </c>
      <c r="K2" s="68">
        <v>41521</v>
      </c>
      <c r="L2" s="73">
        <v>17.093299999999999</v>
      </c>
      <c r="M2" s="73">
        <v>17.093261768828398</v>
      </c>
      <c r="O2" s="59" t="s">
        <v>12</v>
      </c>
    </row>
    <row r="3" spans="1:15">
      <c r="A3" s="59">
        <v>1</v>
      </c>
      <c r="B3" s="59">
        <v>1</v>
      </c>
      <c r="C3" s="59">
        <v>29</v>
      </c>
      <c r="D3" s="59">
        <v>0</v>
      </c>
      <c r="E3" s="59" t="str">
        <f>IF(J3&gt;0,"Si","")</f>
        <v>Si</v>
      </c>
      <c r="F3" s="59" t="str">
        <f>IF(D3=0,"Compra","Venda")</f>
        <v>Compra</v>
      </c>
      <c r="G3" s="75">
        <v>2347.326</v>
      </c>
      <c r="H3" s="75">
        <f t="shared" ref="H3:H6" si="0">ROUND(H2+IF(D3=0,G3,-G3),3)</f>
        <v>2405.828</v>
      </c>
      <c r="I3" s="59">
        <v>28</v>
      </c>
      <c r="J3" s="59">
        <v>5</v>
      </c>
      <c r="K3" s="68">
        <v>41794.000011574077</v>
      </c>
      <c r="L3" s="73">
        <v>19.410499999999999</v>
      </c>
      <c r="M3" s="73">
        <v>18.249684960674401</v>
      </c>
      <c r="O3" s="59" t="s">
        <v>77</v>
      </c>
    </row>
    <row r="4" spans="1:15">
      <c r="A4" s="59">
        <v>1</v>
      </c>
      <c r="B4" s="59">
        <v>1</v>
      </c>
      <c r="C4" s="59">
        <v>30</v>
      </c>
      <c r="D4" s="59">
        <v>1</v>
      </c>
      <c r="E4" s="59" t="str">
        <f>IF(J4&gt;0,"Si","")</f>
        <v>Si</v>
      </c>
      <c r="F4" s="59" t="str">
        <f>IF(D4=0,"Compra","Venda")</f>
        <v>Venda</v>
      </c>
      <c r="G4" s="75">
        <v>2404</v>
      </c>
      <c r="H4" s="75">
        <f t="shared" si="0"/>
        <v>1.8280000000000001</v>
      </c>
      <c r="J4" s="59">
        <v>5</v>
      </c>
      <c r="K4" s="68">
        <v>41971</v>
      </c>
      <c r="L4" s="73">
        <v>19.354099999999999</v>
      </c>
      <c r="M4" s="73">
        <v>18.524504991680502</v>
      </c>
      <c r="O4" s="59" t="s">
        <v>80</v>
      </c>
    </row>
    <row r="5" spans="1:15">
      <c r="A5" s="59">
        <v>1</v>
      </c>
      <c r="B5" s="59">
        <v>1</v>
      </c>
      <c r="C5" s="59">
        <v>92</v>
      </c>
      <c r="D5" s="59">
        <v>0</v>
      </c>
      <c r="E5" s="59" t="str">
        <f>IF(J5&gt;0,"Si","")</f>
        <v>Si</v>
      </c>
      <c r="F5" s="59" t="str">
        <f t="shared" ref="F5:F69" si="1">IF(D5=0,"Compra","Venda")</f>
        <v>Compra</v>
      </c>
      <c r="G5" s="75">
        <v>2922.36</v>
      </c>
      <c r="H5" s="75">
        <f t="shared" si="0"/>
        <v>2924.1880000000001</v>
      </c>
      <c r="I5" s="59">
        <v>91</v>
      </c>
      <c r="J5" s="59">
        <v>5</v>
      </c>
      <c r="K5" s="68">
        <v>42202.719108796293</v>
      </c>
      <c r="L5" s="73">
        <v>15.6417</v>
      </c>
      <c r="M5" s="73">
        <v>18.393100097181701</v>
      </c>
    </row>
    <row r="6" spans="1:15">
      <c r="A6" s="59">
        <v>1</v>
      </c>
      <c r="B6" s="59">
        <v>1</v>
      </c>
      <c r="C6" s="59">
        <v>100</v>
      </c>
      <c r="D6" s="59">
        <v>1</v>
      </c>
      <c r="E6" s="59" t="str">
        <f>IF(J6&gt;0,"Si","")</f>
        <v>Si</v>
      </c>
      <c r="F6" s="59" t="str">
        <f t="shared" si="1"/>
        <v>Venda</v>
      </c>
      <c r="G6" s="75">
        <v>2879.2429999999999</v>
      </c>
      <c r="H6" s="75">
        <f t="shared" si="0"/>
        <v>44.945</v>
      </c>
      <c r="J6" s="59">
        <v>16</v>
      </c>
      <c r="K6" s="68">
        <v>42279.463796296295</v>
      </c>
      <c r="L6" s="73">
        <v>15.6441</v>
      </c>
      <c r="M6" s="73">
        <v>18.063202723771401</v>
      </c>
      <c r="O6" s="59" t="s">
        <v>99</v>
      </c>
    </row>
    <row r="7" spans="1:15">
      <c r="K7" s="68"/>
    </row>
    <row r="8" spans="1:15">
      <c r="A8" s="59">
        <v>1</v>
      </c>
      <c r="B8" s="59">
        <v>2</v>
      </c>
      <c r="C8" s="59">
        <v>37</v>
      </c>
      <c r="D8" s="59">
        <v>0</v>
      </c>
      <c r="F8" s="59" t="str">
        <f t="shared" si="1"/>
        <v>Compra</v>
      </c>
      <c r="G8" s="75">
        <v>76.745999999999995</v>
      </c>
      <c r="H8" s="75">
        <f>G8</f>
        <v>76.745999999999995</v>
      </c>
      <c r="K8" s="68">
        <v>41534</v>
      </c>
      <c r="L8" s="73">
        <v>13.03</v>
      </c>
      <c r="M8" s="73">
        <v>13.029995048601799</v>
      </c>
      <c r="O8" s="59" t="s">
        <v>16</v>
      </c>
    </row>
    <row r="9" spans="1:15">
      <c r="A9" s="59">
        <v>1</v>
      </c>
      <c r="B9" s="59">
        <v>2</v>
      </c>
      <c r="C9" s="59">
        <v>38</v>
      </c>
      <c r="D9" s="59">
        <v>1</v>
      </c>
      <c r="F9" s="59" t="str">
        <f t="shared" si="1"/>
        <v>Venda</v>
      </c>
      <c r="G9" s="75">
        <v>75</v>
      </c>
      <c r="H9" s="75">
        <f>ROUND(H8+IF(D9=0,G9,-G9),3)</f>
        <v>1.746</v>
      </c>
      <c r="J9" s="59">
        <v>6</v>
      </c>
      <c r="K9" s="68">
        <v>41673</v>
      </c>
      <c r="L9" s="73">
        <v>13.03</v>
      </c>
      <c r="M9" s="73">
        <v>12.78</v>
      </c>
      <c r="O9" s="59" t="s">
        <v>14</v>
      </c>
    </row>
    <row r="10" spans="1:15">
      <c r="A10" s="59">
        <v>1</v>
      </c>
      <c r="B10" s="59">
        <v>2</v>
      </c>
      <c r="C10" s="59">
        <v>103</v>
      </c>
      <c r="D10" s="59">
        <v>1</v>
      </c>
      <c r="F10" s="59" t="str">
        <f t="shared" si="1"/>
        <v>Venda</v>
      </c>
      <c r="G10" s="75">
        <v>1.746</v>
      </c>
      <c r="H10" s="75">
        <f>ROUND(H9+IF(D10=0,G10,-G10),3)</f>
        <v>0</v>
      </c>
      <c r="J10" s="59">
        <v>6</v>
      </c>
      <c r="K10" s="68">
        <v>42310.831203703703</v>
      </c>
      <c r="L10" s="73">
        <v>13.03</v>
      </c>
      <c r="M10" s="73">
        <v>13.6483390607101</v>
      </c>
    </row>
    <row r="11" spans="1:15">
      <c r="A11" s="59">
        <v>1</v>
      </c>
      <c r="B11" s="59">
        <v>3</v>
      </c>
      <c r="C11" s="59">
        <v>1</v>
      </c>
      <c r="D11" s="59">
        <v>0</v>
      </c>
      <c r="F11" s="59" t="str">
        <f t="shared" si="1"/>
        <v>Compra</v>
      </c>
      <c r="G11" s="75">
        <v>325.52199999999999</v>
      </c>
      <c r="H11" s="75">
        <f t="shared" ref="H11:H23" si="2">ROUND(H10+IF(D11=0,G11,-G11),3)</f>
        <v>325.52199999999999</v>
      </c>
      <c r="K11" s="68">
        <v>41172</v>
      </c>
      <c r="L11" s="73">
        <v>30.719899999999999</v>
      </c>
      <c r="M11" s="73">
        <v>30.719859180024699</v>
      </c>
    </row>
    <row r="12" spans="1:15">
      <c r="A12" s="59">
        <v>1</v>
      </c>
      <c r="B12" s="59">
        <v>3</v>
      </c>
      <c r="C12" s="59">
        <v>2</v>
      </c>
      <c r="D12" s="59">
        <v>0</v>
      </c>
      <c r="F12" s="59" t="str">
        <f t="shared" si="1"/>
        <v>Compra</v>
      </c>
      <c r="G12" s="75">
        <v>1267.6880000000001</v>
      </c>
      <c r="H12" s="75">
        <f t="shared" si="2"/>
        <v>1593.21</v>
      </c>
      <c r="K12" s="68">
        <v>41187</v>
      </c>
      <c r="L12" s="73">
        <v>31.5535</v>
      </c>
      <c r="M12" s="73">
        <v>31.5534895021487</v>
      </c>
    </row>
    <row r="13" spans="1:15">
      <c r="A13" s="59">
        <v>1</v>
      </c>
      <c r="B13" s="59">
        <v>3</v>
      </c>
      <c r="C13" s="59">
        <v>3</v>
      </c>
      <c r="D13" s="59">
        <v>0</v>
      </c>
      <c r="F13" s="59" t="str">
        <f t="shared" si="1"/>
        <v>Compra</v>
      </c>
      <c r="G13" s="75">
        <v>522.37400000000002</v>
      </c>
      <c r="H13" s="75">
        <f t="shared" si="2"/>
        <v>2115.5839999999998</v>
      </c>
      <c r="K13" s="68">
        <v>41410</v>
      </c>
      <c r="L13" s="73">
        <v>38.286799999999999</v>
      </c>
      <c r="M13" s="73">
        <v>38.286783032846103</v>
      </c>
    </row>
    <row r="14" spans="1:15">
      <c r="A14" s="59">
        <v>1</v>
      </c>
      <c r="B14" s="59">
        <v>3</v>
      </c>
      <c r="C14" s="59">
        <v>4</v>
      </c>
      <c r="D14" s="59">
        <v>1</v>
      </c>
      <c r="F14" s="59" t="str">
        <f t="shared" si="1"/>
        <v>Venda</v>
      </c>
      <c r="G14" s="75">
        <v>1415.5820000000001</v>
      </c>
      <c r="H14" s="75">
        <f t="shared" si="2"/>
        <v>700.00199999999995</v>
      </c>
      <c r="K14" s="68">
        <v>41438</v>
      </c>
      <c r="L14" s="73">
        <v>31.361799999999999</v>
      </c>
      <c r="M14" s="73">
        <v>33.983393402854702</v>
      </c>
    </row>
    <row r="15" spans="1:15">
      <c r="A15" s="59">
        <v>1</v>
      </c>
      <c r="B15" s="59">
        <v>3</v>
      </c>
      <c r="C15" s="59">
        <v>5</v>
      </c>
      <c r="D15" s="59">
        <v>1</v>
      </c>
      <c r="F15" s="59" t="str">
        <f t="shared" si="1"/>
        <v>Venda</v>
      </c>
      <c r="G15" s="75">
        <v>178</v>
      </c>
      <c r="H15" s="75">
        <f t="shared" si="2"/>
        <v>522.00199999999995</v>
      </c>
      <c r="K15" s="68">
        <v>41492</v>
      </c>
      <c r="L15" s="73">
        <v>31.567599999999999</v>
      </c>
      <c r="M15" s="73">
        <v>33.896398876404497</v>
      </c>
    </row>
    <row r="16" spans="1:15">
      <c r="A16" s="59">
        <v>1</v>
      </c>
      <c r="B16" s="59">
        <v>3</v>
      </c>
      <c r="C16" s="59">
        <v>6</v>
      </c>
      <c r="D16" s="59">
        <v>1</v>
      </c>
      <c r="F16" s="59" t="str">
        <f t="shared" si="1"/>
        <v>Venda</v>
      </c>
      <c r="G16" s="75">
        <v>522.00199999999995</v>
      </c>
      <c r="H16" s="75">
        <f t="shared" si="2"/>
        <v>0</v>
      </c>
      <c r="K16" s="68">
        <v>41506</v>
      </c>
      <c r="L16" s="73">
        <v>38.286799999999999</v>
      </c>
      <c r="M16" s="73">
        <v>32.470297048670297</v>
      </c>
    </row>
    <row r="17" spans="1:15">
      <c r="A17" s="59">
        <v>1</v>
      </c>
      <c r="B17" s="59">
        <v>3</v>
      </c>
      <c r="C17" s="59">
        <v>41</v>
      </c>
      <c r="D17" s="59">
        <v>0</v>
      </c>
      <c r="F17" s="59" t="str">
        <f t="shared" si="1"/>
        <v>Compra</v>
      </c>
      <c r="G17" s="75">
        <v>174.22900000000001</v>
      </c>
      <c r="H17" s="75">
        <f t="shared" si="2"/>
        <v>174.22900000000001</v>
      </c>
      <c r="I17" s="59">
        <v>40</v>
      </c>
      <c r="J17" s="59">
        <v>6</v>
      </c>
      <c r="K17" s="68">
        <v>42047.000011574077</v>
      </c>
      <c r="L17" s="73">
        <v>21.561399999999999</v>
      </c>
      <c r="M17" s="73">
        <v>39.4291363665061</v>
      </c>
      <c r="O17" s="59" t="s">
        <v>4</v>
      </c>
    </row>
    <row r="18" spans="1:15">
      <c r="A18" s="59">
        <v>1</v>
      </c>
      <c r="B18" s="59">
        <v>3</v>
      </c>
      <c r="C18" s="59">
        <v>95</v>
      </c>
      <c r="D18" s="59">
        <v>1</v>
      </c>
      <c r="F18" s="59" t="str">
        <f t="shared" si="1"/>
        <v>Venda</v>
      </c>
      <c r="G18" s="75">
        <v>150</v>
      </c>
      <c r="H18" s="75">
        <f t="shared" si="2"/>
        <v>24.228999999999999</v>
      </c>
      <c r="J18" s="59">
        <v>6</v>
      </c>
      <c r="K18" s="68">
        <v>42207.759375000001</v>
      </c>
      <c r="L18" s="73">
        <v>21.561399999999999</v>
      </c>
      <c r="M18" s="73">
        <v>39.577666666666602</v>
      </c>
    </row>
    <row r="19" spans="1:15">
      <c r="A19" s="59">
        <v>1</v>
      </c>
      <c r="B19" s="59">
        <v>4</v>
      </c>
      <c r="C19" s="59">
        <v>11</v>
      </c>
      <c r="D19" s="59">
        <v>0</v>
      </c>
      <c r="F19" s="59" t="str">
        <f t="shared" si="1"/>
        <v>Compra</v>
      </c>
      <c r="G19" s="75">
        <v>28.28</v>
      </c>
      <c r="H19" s="75">
        <f t="shared" si="2"/>
        <v>52.509</v>
      </c>
      <c r="K19" s="68">
        <v>41554</v>
      </c>
      <c r="L19" s="73">
        <v>35.357100000000003</v>
      </c>
      <c r="M19" s="73">
        <v>35.357142857142797</v>
      </c>
      <c r="O19" s="59" t="s">
        <v>12</v>
      </c>
    </row>
    <row r="20" spans="1:15">
      <c r="A20" s="59">
        <v>1</v>
      </c>
      <c r="B20" s="59">
        <v>4</v>
      </c>
      <c r="C20" s="59">
        <v>12</v>
      </c>
      <c r="D20" s="59">
        <v>0</v>
      </c>
      <c r="F20" s="59" t="str">
        <f t="shared" si="1"/>
        <v>Compra</v>
      </c>
      <c r="G20" s="75">
        <v>134.86000000000001</v>
      </c>
      <c r="H20" s="75">
        <f t="shared" si="2"/>
        <v>187.369</v>
      </c>
      <c r="K20" s="68">
        <v>41565</v>
      </c>
      <c r="L20" s="73">
        <v>37.076300000000003</v>
      </c>
      <c r="M20" s="73">
        <v>37.076301349547599</v>
      </c>
    </row>
    <row r="21" spans="1:15">
      <c r="A21" s="59">
        <v>1</v>
      </c>
      <c r="B21" s="59">
        <v>4</v>
      </c>
      <c r="C21" s="59">
        <v>13</v>
      </c>
      <c r="D21" s="59">
        <v>1</v>
      </c>
      <c r="F21" s="59" t="str">
        <f t="shared" si="1"/>
        <v>Venda</v>
      </c>
      <c r="G21" s="75">
        <v>160</v>
      </c>
      <c r="H21" s="75">
        <f t="shared" si="2"/>
        <v>27.369</v>
      </c>
      <c r="K21" s="68">
        <v>41639</v>
      </c>
      <c r="L21" s="73">
        <v>36.772399999999998</v>
      </c>
      <c r="M21" s="73">
        <v>30.947749999999999</v>
      </c>
    </row>
    <row r="22" spans="1:15">
      <c r="A22" s="59">
        <v>1</v>
      </c>
      <c r="B22" s="59">
        <v>5</v>
      </c>
      <c r="C22" s="59">
        <v>26</v>
      </c>
      <c r="D22" s="59">
        <v>0</v>
      </c>
      <c r="F22" s="59" t="str">
        <f t="shared" si="1"/>
        <v>Compra</v>
      </c>
      <c r="G22" s="75">
        <v>249.34710000000001</v>
      </c>
      <c r="H22" s="75">
        <f t="shared" si="2"/>
        <v>276.71600000000001</v>
      </c>
      <c r="I22" s="59">
        <v>25</v>
      </c>
      <c r="J22" s="59">
        <v>11</v>
      </c>
      <c r="K22" s="68">
        <v>41439.000011574077</v>
      </c>
      <c r="L22" s="73">
        <v>182.98320000000001</v>
      </c>
      <c r="M22" s="73">
        <v>139.70998660100699</v>
      </c>
      <c r="O22" s="59" t="s">
        <v>73</v>
      </c>
    </row>
    <row r="23" spans="1:15">
      <c r="A23" s="59">
        <v>1</v>
      </c>
      <c r="B23" s="59">
        <v>5</v>
      </c>
      <c r="C23" s="59">
        <v>28</v>
      </c>
      <c r="D23" s="59">
        <v>1</v>
      </c>
      <c r="F23" s="59" t="str">
        <f t="shared" si="1"/>
        <v>Venda</v>
      </c>
      <c r="G23" s="75">
        <v>249</v>
      </c>
      <c r="H23" s="75">
        <f t="shared" si="2"/>
        <v>27.716000000000001</v>
      </c>
      <c r="J23" s="59">
        <v>1</v>
      </c>
      <c r="K23" s="68">
        <v>41794</v>
      </c>
      <c r="L23" s="73">
        <v>182.98320000000001</v>
      </c>
      <c r="M23" s="73">
        <v>172.04</v>
      </c>
      <c r="N23" s="75"/>
      <c r="O23" s="59" t="s">
        <v>77</v>
      </c>
    </row>
    <row r="24" spans="1:15">
      <c r="A24" s="59">
        <v>1</v>
      </c>
      <c r="B24" s="59">
        <v>5</v>
      </c>
      <c r="C24" s="59">
        <v>31</v>
      </c>
      <c r="D24" s="59">
        <v>0</v>
      </c>
      <c r="F24" s="59" t="str">
        <f t="shared" si="1"/>
        <v>Compra</v>
      </c>
      <c r="G24" s="75">
        <v>264.18049999999999</v>
      </c>
      <c r="I24" s="59">
        <v>30</v>
      </c>
      <c r="J24" s="59">
        <v>1</v>
      </c>
      <c r="K24" s="68">
        <v>41976</v>
      </c>
      <c r="L24" s="73">
        <v>176.11920000000001</v>
      </c>
      <c r="M24" s="59">
        <v>168.57001179118001</v>
      </c>
      <c r="O24" s="59" t="s">
        <v>80</v>
      </c>
    </row>
    <row r="25" spans="1:15">
      <c r="A25" s="59">
        <v>1</v>
      </c>
      <c r="B25" s="59">
        <v>5</v>
      </c>
      <c r="C25" s="59">
        <v>91</v>
      </c>
      <c r="D25" s="59">
        <v>1</v>
      </c>
      <c r="F25" s="59" t="str">
        <f t="shared" si="1"/>
        <v>Venda</v>
      </c>
      <c r="G25" s="75">
        <v>259.52999999999997</v>
      </c>
      <c r="J25" s="59">
        <v>1</v>
      </c>
      <c r="K25" s="68">
        <v>42201.719108796293</v>
      </c>
      <c r="L25" s="73">
        <v>176.1284</v>
      </c>
      <c r="M25" s="59">
        <v>207.11000655030199</v>
      </c>
    </row>
    <row r="26" spans="1:15">
      <c r="A26" s="59">
        <v>1</v>
      </c>
      <c r="B26" s="59">
        <v>6</v>
      </c>
      <c r="C26" s="59">
        <v>7</v>
      </c>
      <c r="D26" s="59">
        <v>0</v>
      </c>
      <c r="F26" s="59" t="str">
        <f t="shared" si="1"/>
        <v>Compra</v>
      </c>
      <c r="G26" s="75">
        <v>24.091999999999999</v>
      </c>
      <c r="K26" s="68">
        <v>41492.000011574077</v>
      </c>
      <c r="L26" s="73">
        <v>250.44120000000001</v>
      </c>
      <c r="M26" s="73">
        <v>250.44122530300501</v>
      </c>
      <c r="O26" s="59" t="s">
        <v>12</v>
      </c>
    </row>
    <row r="27" spans="1:15">
      <c r="A27" s="59">
        <v>1</v>
      </c>
      <c r="B27" s="59">
        <v>6</v>
      </c>
      <c r="C27" s="59">
        <v>39</v>
      </c>
      <c r="D27" s="59">
        <v>0</v>
      </c>
      <c r="F27" s="59" t="str">
        <f t="shared" si="1"/>
        <v>Compra</v>
      </c>
      <c r="G27" s="75">
        <v>3.1440000000000001</v>
      </c>
      <c r="I27" s="59">
        <v>38</v>
      </c>
      <c r="J27" s="59">
        <v>2</v>
      </c>
      <c r="K27" s="68">
        <v>41673.000011574077</v>
      </c>
      <c r="L27" s="73">
        <v>310.83019999999999</v>
      </c>
      <c r="M27" s="73">
        <v>304.86641221373998</v>
      </c>
      <c r="O27" s="59" t="s">
        <v>14</v>
      </c>
    </row>
    <row r="28" spans="1:15">
      <c r="A28" s="59">
        <v>1</v>
      </c>
      <c r="B28" s="59">
        <v>6</v>
      </c>
      <c r="C28" s="59">
        <v>40</v>
      </c>
      <c r="D28" s="59">
        <v>1</v>
      </c>
      <c r="F28" s="59" t="str">
        <f t="shared" si="1"/>
        <v>Venda</v>
      </c>
      <c r="G28" s="75">
        <v>15</v>
      </c>
      <c r="J28" s="59">
        <v>3</v>
      </c>
      <c r="K28" s="68">
        <v>42047</v>
      </c>
      <c r="L28" s="73">
        <v>250.44120000000001</v>
      </c>
      <c r="M28" s="73">
        <v>457.97993333333301</v>
      </c>
      <c r="O28" s="59" t="s">
        <v>4</v>
      </c>
    </row>
    <row r="29" spans="1:15">
      <c r="A29" s="59">
        <v>1</v>
      </c>
      <c r="B29" s="59">
        <v>6</v>
      </c>
      <c r="C29" s="59">
        <v>96</v>
      </c>
      <c r="D29" s="59">
        <v>0</v>
      </c>
      <c r="F29" s="59" t="str">
        <f t="shared" si="1"/>
        <v>Compra</v>
      </c>
      <c r="G29" s="75">
        <v>10.042999999999999</v>
      </c>
      <c r="I29" s="59">
        <v>95</v>
      </c>
      <c r="J29" s="59">
        <v>3</v>
      </c>
      <c r="K29" s="68">
        <v>42208.759375000001</v>
      </c>
      <c r="L29" s="73">
        <v>322.03620000000001</v>
      </c>
      <c r="M29" s="73">
        <v>591.12317036742002</v>
      </c>
    </row>
    <row r="30" spans="1:15">
      <c r="A30" s="59">
        <v>1</v>
      </c>
      <c r="B30" s="59">
        <v>6</v>
      </c>
      <c r="C30" s="59">
        <v>104</v>
      </c>
      <c r="D30" s="59">
        <v>0</v>
      </c>
      <c r="F30" s="59" t="str">
        <f t="shared" si="1"/>
        <v>Compra</v>
      </c>
      <c r="G30" s="75">
        <v>4.7E-2</v>
      </c>
      <c r="I30" s="59">
        <v>103</v>
      </c>
      <c r="J30" s="59">
        <v>2</v>
      </c>
      <c r="K30" s="68">
        <v>42311.831203703703</v>
      </c>
      <c r="L30" s="73">
        <v>484.05059999999997</v>
      </c>
      <c r="M30" s="73">
        <v>507.02127659574398</v>
      </c>
    </row>
    <row r="31" spans="1:15">
      <c r="A31" s="59">
        <v>1</v>
      </c>
      <c r="B31" s="59">
        <v>7</v>
      </c>
      <c r="C31" s="59">
        <v>79</v>
      </c>
      <c r="D31" s="59">
        <v>0</v>
      </c>
      <c r="F31" s="59" t="str">
        <f t="shared" si="1"/>
        <v>Compra</v>
      </c>
      <c r="G31" s="75">
        <v>925</v>
      </c>
      <c r="K31" s="68">
        <v>41711</v>
      </c>
      <c r="L31" s="73">
        <v>10.824999999999999</v>
      </c>
      <c r="M31" s="73">
        <v>10.824999999999999</v>
      </c>
      <c r="N31" s="71">
        <v>15.06</v>
      </c>
    </row>
    <row r="32" spans="1:15">
      <c r="A32" s="59">
        <v>1</v>
      </c>
      <c r="B32" s="59">
        <v>7</v>
      </c>
      <c r="C32" s="59">
        <v>80</v>
      </c>
      <c r="D32" s="59">
        <v>1</v>
      </c>
      <c r="F32" s="59" t="str">
        <f t="shared" si="1"/>
        <v>Venda</v>
      </c>
      <c r="G32" s="75">
        <v>925</v>
      </c>
      <c r="K32" s="68">
        <v>41717</v>
      </c>
      <c r="L32" s="73">
        <v>10.824999999999999</v>
      </c>
      <c r="M32" s="73">
        <v>11.05</v>
      </c>
      <c r="N32" s="71">
        <v>25.32</v>
      </c>
    </row>
    <row r="33" spans="1:15">
      <c r="A33" s="59">
        <v>1</v>
      </c>
      <c r="B33" s="59">
        <v>7</v>
      </c>
      <c r="C33" s="59">
        <v>81</v>
      </c>
      <c r="D33" s="59">
        <v>0</v>
      </c>
      <c r="F33" s="59" t="str">
        <f t="shared" si="1"/>
        <v>Compra</v>
      </c>
      <c r="G33" s="75">
        <v>929</v>
      </c>
      <c r="K33" s="68">
        <v>41830</v>
      </c>
      <c r="L33" s="73">
        <v>10.74</v>
      </c>
      <c r="M33" s="73">
        <v>10.739999999999901</v>
      </c>
      <c r="N33" s="71">
        <v>15.06</v>
      </c>
    </row>
    <row r="34" spans="1:15">
      <c r="A34" s="59">
        <v>1</v>
      </c>
      <c r="B34" s="59">
        <v>7</v>
      </c>
      <c r="C34" s="59">
        <v>82</v>
      </c>
      <c r="D34" s="59">
        <v>1</v>
      </c>
      <c r="F34" s="59" t="str">
        <f t="shared" si="1"/>
        <v>Venda</v>
      </c>
      <c r="G34" s="75">
        <v>929</v>
      </c>
      <c r="K34" s="68">
        <v>41877</v>
      </c>
      <c r="L34" s="73">
        <v>10.74</v>
      </c>
      <c r="M34" s="73">
        <v>10.98</v>
      </c>
      <c r="N34" s="71">
        <v>15.09</v>
      </c>
    </row>
    <row r="35" spans="1:15">
      <c r="A35" s="59">
        <v>1</v>
      </c>
      <c r="B35" s="59">
        <v>7</v>
      </c>
      <c r="C35" s="59">
        <v>83</v>
      </c>
      <c r="D35" s="59">
        <v>0</v>
      </c>
      <c r="F35" s="59" t="str">
        <f t="shared" si="1"/>
        <v>Compra</v>
      </c>
      <c r="G35" s="75">
        <v>5386</v>
      </c>
      <c r="K35" s="68">
        <v>41984</v>
      </c>
      <c r="L35" s="73">
        <v>9.2676999999999996</v>
      </c>
      <c r="M35" s="73">
        <v>9.2677385815076097</v>
      </c>
      <c r="N35" s="71">
        <v>20.14</v>
      </c>
    </row>
    <row r="36" spans="1:15">
      <c r="A36" s="59">
        <v>1</v>
      </c>
      <c r="B36" s="59">
        <v>7</v>
      </c>
      <c r="C36" s="59">
        <v>84</v>
      </c>
      <c r="D36" s="59">
        <v>1</v>
      </c>
      <c r="F36" s="59" t="str">
        <f t="shared" si="1"/>
        <v>Venda</v>
      </c>
      <c r="G36" s="75">
        <v>5386</v>
      </c>
      <c r="K36" s="68">
        <v>42047.000023148146</v>
      </c>
      <c r="L36" s="73">
        <v>9.2676999999999996</v>
      </c>
      <c r="M36" s="73">
        <v>9.0449999999999999</v>
      </c>
      <c r="N36" s="71">
        <v>20.03</v>
      </c>
    </row>
    <row r="37" spans="1:15">
      <c r="A37" s="59">
        <v>1</v>
      </c>
      <c r="B37" s="59">
        <v>7</v>
      </c>
      <c r="C37" s="59">
        <v>94</v>
      </c>
      <c r="D37" s="59">
        <v>0</v>
      </c>
      <c r="F37" s="59" t="str">
        <f t="shared" si="1"/>
        <v>Compra</v>
      </c>
      <c r="G37" s="75">
        <v>6415</v>
      </c>
      <c r="K37" s="68">
        <v>42212.556203703702</v>
      </c>
      <c r="L37" s="73">
        <v>7.7939999999999996</v>
      </c>
      <c r="M37" s="73">
        <v>7.7939999999999996</v>
      </c>
      <c r="N37" s="71">
        <v>20.149999999999999</v>
      </c>
    </row>
    <row r="38" spans="1:15">
      <c r="A38" s="59">
        <v>1</v>
      </c>
      <c r="B38" s="59">
        <v>7</v>
      </c>
      <c r="C38" s="59">
        <v>97</v>
      </c>
      <c r="D38" s="59">
        <v>1</v>
      </c>
      <c r="F38" s="59" t="str">
        <f t="shared" si="1"/>
        <v>Venda</v>
      </c>
      <c r="G38" s="75">
        <v>6415</v>
      </c>
      <c r="K38" s="68">
        <v>42214.282905092594</v>
      </c>
      <c r="L38" s="73">
        <v>7.7939999999999996</v>
      </c>
      <c r="M38" s="73">
        <v>8.19</v>
      </c>
      <c r="N38" s="71">
        <v>20.399999999999999</v>
      </c>
    </row>
    <row r="39" spans="1:15">
      <c r="A39" s="59">
        <v>1</v>
      </c>
      <c r="B39" s="59">
        <v>7</v>
      </c>
      <c r="C39" s="59">
        <v>138</v>
      </c>
      <c r="D39" s="59">
        <v>5</v>
      </c>
      <c r="F39" s="59" t="str">
        <f t="shared" si="1"/>
        <v>Venda</v>
      </c>
      <c r="G39" s="75">
        <v>1581</v>
      </c>
      <c r="K39" s="68">
        <v>42822.416643518518</v>
      </c>
      <c r="L39" s="73">
        <v>7.5910000000000002</v>
      </c>
      <c r="M39" s="73">
        <v>7.5910000000000002</v>
      </c>
      <c r="N39" s="71">
        <v>15.15</v>
      </c>
      <c r="O39" s="59" t="s">
        <v>100</v>
      </c>
    </row>
    <row r="40" spans="1:15">
      <c r="A40" s="59">
        <v>1</v>
      </c>
      <c r="B40" s="59">
        <v>7</v>
      </c>
      <c r="C40" s="59">
        <v>151</v>
      </c>
      <c r="D40" s="59">
        <v>0</v>
      </c>
      <c r="F40" s="59" t="str">
        <f t="shared" si="1"/>
        <v>Compra</v>
      </c>
      <c r="G40" s="75">
        <v>527</v>
      </c>
      <c r="K40" s="68">
        <v>42822.416655092595</v>
      </c>
      <c r="L40" s="73">
        <v>22.773</v>
      </c>
      <c r="M40" s="73">
        <v>22.773</v>
      </c>
      <c r="N40" s="71">
        <v>15.15</v>
      </c>
      <c r="O40" s="59" t="s">
        <v>100</v>
      </c>
    </row>
    <row r="41" spans="1:15">
      <c r="A41" s="59">
        <v>1</v>
      </c>
      <c r="B41" s="59">
        <v>7</v>
      </c>
      <c r="C41" s="59">
        <v>165</v>
      </c>
      <c r="D41" s="59">
        <v>1</v>
      </c>
      <c r="F41" s="59" t="str">
        <f t="shared" si="1"/>
        <v>Venda</v>
      </c>
      <c r="G41" s="75">
        <v>527</v>
      </c>
      <c r="K41" s="68">
        <v>43236.344560185185</v>
      </c>
      <c r="L41" s="73">
        <v>22.773</v>
      </c>
      <c r="M41" s="73">
        <v>30.416039999999999</v>
      </c>
      <c r="N41" s="71">
        <v>27.45</v>
      </c>
    </row>
    <row r="42" spans="1:15">
      <c r="A42" s="59">
        <v>1</v>
      </c>
      <c r="B42" s="59">
        <v>8</v>
      </c>
      <c r="C42" s="59">
        <v>78</v>
      </c>
      <c r="D42" s="59">
        <v>0</v>
      </c>
      <c r="F42" s="59" t="str">
        <f t="shared" si="1"/>
        <v>Compra</v>
      </c>
      <c r="G42" s="75">
        <v>7743</v>
      </c>
      <c r="K42" s="68">
        <v>42058</v>
      </c>
      <c r="L42" s="73">
        <v>6.4550000000000001</v>
      </c>
      <c r="M42" s="73">
        <v>6.4550000000000001</v>
      </c>
      <c r="N42" s="71">
        <v>20.18</v>
      </c>
    </row>
    <row r="43" spans="1:15">
      <c r="A43" s="59">
        <v>1</v>
      </c>
      <c r="B43" s="59">
        <v>8</v>
      </c>
      <c r="C43" s="59">
        <v>86</v>
      </c>
      <c r="D43" s="59">
        <v>0</v>
      </c>
      <c r="F43" s="59" t="str">
        <f t="shared" si="1"/>
        <v>Compra</v>
      </c>
      <c r="G43" s="75">
        <v>168</v>
      </c>
      <c r="K43" s="68">
        <v>42123.703634259262</v>
      </c>
      <c r="L43" s="73">
        <v>0</v>
      </c>
      <c r="M43" s="73">
        <v>0</v>
      </c>
      <c r="O43" s="59" t="s">
        <v>101</v>
      </c>
    </row>
    <row r="44" spans="1:15">
      <c r="A44" s="59">
        <v>1</v>
      </c>
      <c r="B44" s="59">
        <v>8</v>
      </c>
      <c r="C44" s="59">
        <v>88</v>
      </c>
      <c r="D44" s="59">
        <v>2</v>
      </c>
      <c r="F44" s="59" t="str">
        <f t="shared" si="1"/>
        <v>Venda</v>
      </c>
      <c r="G44" s="75">
        <v>0</v>
      </c>
      <c r="K44" s="68">
        <v>42117.864814814813</v>
      </c>
      <c r="M44" s="73">
        <v>2.27</v>
      </c>
    </row>
    <row r="45" spans="1:15">
      <c r="A45" s="59">
        <v>1</v>
      </c>
      <c r="B45" s="59">
        <v>8</v>
      </c>
      <c r="C45" s="59">
        <v>89</v>
      </c>
      <c r="D45" s="59">
        <v>1</v>
      </c>
      <c r="F45" s="59" t="str">
        <f t="shared" si="1"/>
        <v>Venda</v>
      </c>
      <c r="G45" s="75">
        <v>7911</v>
      </c>
      <c r="K45" s="68">
        <v>42200.864814814813</v>
      </c>
      <c r="L45" s="73">
        <v>6.3178999999999998</v>
      </c>
      <c r="M45" s="73">
        <v>6.63</v>
      </c>
      <c r="N45" s="71">
        <v>20.38</v>
      </c>
    </row>
    <row r="46" spans="1:15">
      <c r="A46" s="59">
        <v>1</v>
      </c>
      <c r="B46" s="59">
        <v>9</v>
      </c>
      <c r="C46" s="59">
        <v>43</v>
      </c>
      <c r="D46" s="59">
        <v>0</v>
      </c>
      <c r="F46" s="59" t="str">
        <f t="shared" si="1"/>
        <v>Compra</v>
      </c>
      <c r="G46" s="75">
        <v>60</v>
      </c>
      <c r="K46" s="68">
        <v>36850</v>
      </c>
      <c r="L46" s="73">
        <v>20.100000000000001</v>
      </c>
      <c r="M46" s="73">
        <v>20.100000000000001</v>
      </c>
      <c r="N46" s="71">
        <v>2.5299999999999998</v>
      </c>
    </row>
    <row r="47" spans="1:15">
      <c r="A47" s="59">
        <v>1</v>
      </c>
      <c r="B47" s="59">
        <v>9</v>
      </c>
      <c r="C47" s="59">
        <v>45</v>
      </c>
      <c r="D47" s="59">
        <v>2</v>
      </c>
      <c r="F47" s="59" t="str">
        <f t="shared" si="1"/>
        <v>Venda</v>
      </c>
      <c r="G47" s="75">
        <v>0</v>
      </c>
      <c r="K47" s="68">
        <v>36909</v>
      </c>
      <c r="M47" s="73">
        <v>3.54</v>
      </c>
    </row>
    <row r="48" spans="1:15">
      <c r="A48" s="59">
        <v>1</v>
      </c>
      <c r="B48" s="59">
        <v>9</v>
      </c>
      <c r="C48" s="59">
        <v>46</v>
      </c>
      <c r="D48" s="59">
        <v>0</v>
      </c>
      <c r="F48" s="59" t="str">
        <f t="shared" si="1"/>
        <v>Compra</v>
      </c>
      <c r="G48" s="75">
        <v>1</v>
      </c>
      <c r="K48" s="68">
        <v>36910</v>
      </c>
      <c r="L48" s="73">
        <v>3.25</v>
      </c>
      <c r="M48" s="73">
        <v>3.25</v>
      </c>
    </row>
    <row r="49" spans="1:15">
      <c r="A49" s="59">
        <v>1</v>
      </c>
      <c r="B49" s="59">
        <v>9</v>
      </c>
      <c r="C49" s="59">
        <v>47</v>
      </c>
      <c r="D49" s="59">
        <v>2</v>
      </c>
      <c r="F49" s="59" t="str">
        <f t="shared" si="1"/>
        <v>Venda</v>
      </c>
      <c r="G49" s="75">
        <v>0</v>
      </c>
      <c r="K49" s="68">
        <v>36969</v>
      </c>
      <c r="M49" s="73">
        <v>3.61</v>
      </c>
    </row>
    <row r="50" spans="1:15">
      <c r="A50" s="59">
        <v>1</v>
      </c>
      <c r="B50" s="59">
        <v>9</v>
      </c>
      <c r="C50" s="59">
        <v>48</v>
      </c>
      <c r="D50" s="59">
        <v>2</v>
      </c>
      <c r="F50" s="59" t="str">
        <f t="shared" si="1"/>
        <v>Venda</v>
      </c>
      <c r="G50" s="75">
        <v>0</v>
      </c>
      <c r="K50" s="68">
        <v>36970</v>
      </c>
      <c r="M50" s="73">
        <v>17.91</v>
      </c>
    </row>
    <row r="51" spans="1:15">
      <c r="A51" s="59">
        <v>1</v>
      </c>
      <c r="B51" s="59">
        <v>9</v>
      </c>
      <c r="C51" s="59">
        <v>49</v>
      </c>
      <c r="D51" s="59">
        <v>0</v>
      </c>
      <c r="F51" s="59" t="str">
        <f t="shared" si="1"/>
        <v>Compra</v>
      </c>
      <c r="G51" s="75">
        <v>1</v>
      </c>
      <c r="K51" s="68">
        <v>36970.000011574077</v>
      </c>
      <c r="L51" s="73">
        <v>3.25</v>
      </c>
      <c r="M51" s="73">
        <v>3.25</v>
      </c>
    </row>
    <row r="52" spans="1:15">
      <c r="A52" s="59">
        <v>1</v>
      </c>
      <c r="B52" s="59">
        <v>9</v>
      </c>
      <c r="C52" s="59">
        <v>50</v>
      </c>
      <c r="D52" s="59">
        <v>2</v>
      </c>
      <c r="F52" s="59" t="str">
        <f t="shared" si="1"/>
        <v>Venda</v>
      </c>
      <c r="G52" s="75">
        <v>0</v>
      </c>
      <c r="K52" s="68">
        <v>37294</v>
      </c>
      <c r="M52" s="73">
        <v>2.31</v>
      </c>
    </row>
    <row r="53" spans="1:15">
      <c r="A53" s="59">
        <v>1</v>
      </c>
      <c r="B53" s="59">
        <v>9</v>
      </c>
      <c r="C53" s="59">
        <v>51</v>
      </c>
      <c r="D53" s="59">
        <v>0</v>
      </c>
      <c r="F53" s="59" t="str">
        <f t="shared" si="1"/>
        <v>Compra</v>
      </c>
      <c r="G53" s="75">
        <v>1</v>
      </c>
      <c r="K53" s="68">
        <v>37295</v>
      </c>
      <c r="L53" s="73">
        <v>3.25</v>
      </c>
      <c r="M53" s="73">
        <v>3.25</v>
      </c>
      <c r="N53" s="71">
        <v>9.07</v>
      </c>
      <c r="O53" s="59" t="s">
        <v>102</v>
      </c>
    </row>
    <row r="54" spans="1:15">
      <c r="A54" s="59">
        <v>1</v>
      </c>
      <c r="B54" s="59">
        <v>9</v>
      </c>
      <c r="C54" s="59">
        <v>52</v>
      </c>
      <c r="D54" s="59">
        <v>2</v>
      </c>
      <c r="F54" s="59" t="str">
        <f t="shared" si="1"/>
        <v>Venda</v>
      </c>
      <c r="G54" s="75">
        <v>0</v>
      </c>
      <c r="K54" s="68">
        <v>37302</v>
      </c>
      <c r="M54" s="73">
        <v>16.02</v>
      </c>
    </row>
    <row r="55" spans="1:15">
      <c r="A55" s="59">
        <v>1</v>
      </c>
      <c r="B55" s="59">
        <v>9</v>
      </c>
      <c r="C55" s="59">
        <v>53</v>
      </c>
      <c r="D55" s="59">
        <v>0</v>
      </c>
      <c r="F55" s="59" t="str">
        <f t="shared" si="1"/>
        <v>Compra</v>
      </c>
      <c r="G55" s="75">
        <v>1</v>
      </c>
      <c r="K55" s="68">
        <v>37351</v>
      </c>
      <c r="L55" s="73">
        <v>3.25</v>
      </c>
      <c r="M55" s="73">
        <v>3.25</v>
      </c>
    </row>
    <row r="56" spans="1:15">
      <c r="A56" s="59">
        <v>1</v>
      </c>
      <c r="B56" s="59">
        <v>9</v>
      </c>
      <c r="C56" s="59">
        <v>54</v>
      </c>
      <c r="D56" s="59">
        <v>2</v>
      </c>
      <c r="F56" s="59" t="str">
        <f t="shared" si="1"/>
        <v>Venda</v>
      </c>
      <c r="G56" s="75">
        <v>0</v>
      </c>
      <c r="K56" s="68">
        <v>37662</v>
      </c>
      <c r="M56" s="73">
        <v>0.94</v>
      </c>
    </row>
    <row r="57" spans="1:15">
      <c r="A57" s="59">
        <v>1</v>
      </c>
      <c r="B57" s="59">
        <v>9</v>
      </c>
      <c r="C57" s="59">
        <v>55</v>
      </c>
      <c r="D57" s="59">
        <v>0</v>
      </c>
      <c r="F57" s="59" t="str">
        <f t="shared" si="1"/>
        <v>Compra</v>
      </c>
      <c r="G57" s="75">
        <v>1</v>
      </c>
      <c r="K57" s="68">
        <v>37667</v>
      </c>
      <c r="L57" s="73">
        <v>3.25</v>
      </c>
      <c r="M57" s="73">
        <v>3.25</v>
      </c>
      <c r="N57" s="71">
        <v>9.2799999999999994</v>
      </c>
      <c r="O57" s="59" t="s">
        <v>103</v>
      </c>
    </row>
    <row r="58" spans="1:15">
      <c r="A58" s="59">
        <v>1</v>
      </c>
      <c r="B58" s="59">
        <v>9</v>
      </c>
      <c r="C58" s="59">
        <v>56</v>
      </c>
      <c r="D58" s="59">
        <v>2</v>
      </c>
      <c r="F58" s="59" t="str">
        <f t="shared" si="1"/>
        <v>Venda</v>
      </c>
      <c r="G58" s="75">
        <v>0</v>
      </c>
      <c r="K58" s="68">
        <v>37705</v>
      </c>
      <c r="M58" s="73">
        <v>1.1100000000000001</v>
      </c>
    </row>
    <row r="59" spans="1:15">
      <c r="A59" s="59">
        <v>1</v>
      </c>
      <c r="B59" s="59">
        <v>9</v>
      </c>
      <c r="C59" s="59">
        <v>57</v>
      </c>
      <c r="D59" s="59">
        <v>2</v>
      </c>
      <c r="F59" s="59" t="str">
        <f t="shared" si="1"/>
        <v>Venda</v>
      </c>
      <c r="G59" s="75">
        <v>0</v>
      </c>
      <c r="K59" s="68">
        <v>37805</v>
      </c>
      <c r="M59" s="73">
        <v>7.68</v>
      </c>
    </row>
    <row r="60" spans="1:15">
      <c r="A60" s="59">
        <v>1</v>
      </c>
      <c r="B60" s="59">
        <v>9</v>
      </c>
      <c r="C60" s="59">
        <v>58</v>
      </c>
      <c r="D60" s="59">
        <v>0</v>
      </c>
      <c r="F60" s="59" t="str">
        <f t="shared" si="1"/>
        <v>Compra</v>
      </c>
      <c r="G60" s="75">
        <v>1</v>
      </c>
      <c r="K60" s="68">
        <v>37712</v>
      </c>
      <c r="L60" s="73">
        <v>3</v>
      </c>
      <c r="M60" s="73">
        <v>3</v>
      </c>
      <c r="N60" s="71">
        <v>4.6399999999999997</v>
      </c>
    </row>
    <row r="61" spans="1:15">
      <c r="A61" s="59">
        <v>1</v>
      </c>
      <c r="B61" s="59">
        <v>9</v>
      </c>
      <c r="C61" s="59">
        <v>59</v>
      </c>
      <c r="D61" s="59">
        <v>2</v>
      </c>
      <c r="F61" s="59" t="str">
        <f t="shared" si="1"/>
        <v>Venda</v>
      </c>
      <c r="G61" s="75">
        <v>0</v>
      </c>
      <c r="K61" s="68">
        <v>37909</v>
      </c>
      <c r="M61" s="73">
        <v>7.02</v>
      </c>
    </row>
    <row r="62" spans="1:15">
      <c r="A62" s="59">
        <v>1</v>
      </c>
      <c r="B62" s="59">
        <v>9</v>
      </c>
      <c r="C62" s="59">
        <v>60</v>
      </c>
      <c r="D62" s="59">
        <v>2</v>
      </c>
      <c r="F62" s="59" t="str">
        <f t="shared" si="1"/>
        <v>Venda</v>
      </c>
      <c r="G62" s="75">
        <v>0</v>
      </c>
      <c r="K62" s="68">
        <v>38303</v>
      </c>
      <c r="M62" s="73">
        <v>12.04</v>
      </c>
    </row>
    <row r="63" spans="1:15">
      <c r="A63" s="59">
        <v>1</v>
      </c>
      <c r="B63" s="59">
        <v>9</v>
      </c>
      <c r="C63" s="59">
        <v>61</v>
      </c>
      <c r="D63" s="59">
        <v>2</v>
      </c>
      <c r="F63" s="59" t="str">
        <f t="shared" si="1"/>
        <v>Venda</v>
      </c>
      <c r="G63" s="75">
        <v>0</v>
      </c>
      <c r="K63" s="68">
        <v>38485</v>
      </c>
      <c r="M63" s="73">
        <v>11.74</v>
      </c>
    </row>
    <row r="64" spans="1:15">
      <c r="A64" s="59">
        <v>1</v>
      </c>
      <c r="B64" s="59">
        <v>9</v>
      </c>
      <c r="C64" s="59">
        <v>62</v>
      </c>
      <c r="D64" s="59">
        <v>2</v>
      </c>
      <c r="F64" s="59" t="str">
        <f t="shared" si="1"/>
        <v>Venda</v>
      </c>
      <c r="G64" s="75">
        <v>0</v>
      </c>
      <c r="K64" s="68">
        <v>38531</v>
      </c>
      <c r="M64" s="73">
        <v>8.6300000000000008</v>
      </c>
    </row>
    <row r="65" spans="1:15">
      <c r="A65" s="59">
        <v>1</v>
      </c>
      <c r="B65" s="59">
        <v>9</v>
      </c>
      <c r="C65" s="59">
        <v>63</v>
      </c>
      <c r="D65" s="59">
        <v>0</v>
      </c>
      <c r="F65" s="59" t="str">
        <f t="shared" si="1"/>
        <v>Compra</v>
      </c>
      <c r="G65" s="75">
        <v>3</v>
      </c>
      <c r="K65" s="68">
        <v>38531.000011574077</v>
      </c>
      <c r="L65" s="73">
        <v>3.3E-3</v>
      </c>
      <c r="M65" s="73">
        <v>3.3333333333333301E-3</v>
      </c>
      <c r="N65" s="71">
        <v>19.05</v>
      </c>
      <c r="O65" s="59" t="s">
        <v>104</v>
      </c>
    </row>
    <row r="66" spans="1:15">
      <c r="A66" s="59">
        <v>1</v>
      </c>
      <c r="B66" s="59">
        <v>9</v>
      </c>
      <c r="C66" s="59">
        <v>64</v>
      </c>
      <c r="D66" s="59">
        <v>0</v>
      </c>
      <c r="F66" s="59" t="str">
        <f t="shared" si="1"/>
        <v>Compra</v>
      </c>
      <c r="G66" s="75">
        <v>1006</v>
      </c>
      <c r="K66" s="68">
        <v>41222</v>
      </c>
      <c r="L66" s="73">
        <v>9.92</v>
      </c>
      <c r="M66" s="73">
        <v>9.92</v>
      </c>
      <c r="N66" s="71">
        <v>14.06</v>
      </c>
      <c r="O66" s="59" t="s">
        <v>105</v>
      </c>
    </row>
    <row r="67" spans="1:15">
      <c r="A67" s="59">
        <v>1</v>
      </c>
      <c r="B67" s="59">
        <v>9</v>
      </c>
      <c r="C67" s="59">
        <v>65</v>
      </c>
      <c r="D67" s="59">
        <v>1</v>
      </c>
      <c r="F67" s="59" t="str">
        <f t="shared" si="1"/>
        <v>Venda</v>
      </c>
      <c r="G67" s="75">
        <v>69</v>
      </c>
      <c r="K67" s="68">
        <v>41289</v>
      </c>
      <c r="L67" s="73">
        <v>17.757400000000001</v>
      </c>
      <c r="M67" s="73">
        <v>10.96</v>
      </c>
      <c r="N67" s="71">
        <v>13.58</v>
      </c>
      <c r="O67" s="59" t="s">
        <v>106</v>
      </c>
    </row>
    <row r="68" spans="1:15">
      <c r="A68" s="59">
        <v>1</v>
      </c>
      <c r="B68" s="59">
        <v>9</v>
      </c>
      <c r="C68" s="59">
        <v>66</v>
      </c>
      <c r="D68" s="59">
        <v>1</v>
      </c>
      <c r="F68" s="59" t="str">
        <f t="shared" si="1"/>
        <v>Venda</v>
      </c>
      <c r="G68" s="75">
        <v>1006</v>
      </c>
      <c r="K68" s="68">
        <v>41289.000011574077</v>
      </c>
      <c r="L68" s="73">
        <v>9.92</v>
      </c>
      <c r="M68" s="73">
        <v>10.96</v>
      </c>
      <c r="N68" s="71">
        <v>16.21</v>
      </c>
    </row>
    <row r="69" spans="1:15">
      <c r="A69" s="59">
        <v>1</v>
      </c>
      <c r="B69" s="59">
        <v>9</v>
      </c>
      <c r="C69" s="59">
        <v>67</v>
      </c>
      <c r="D69" s="59">
        <v>0</v>
      </c>
      <c r="F69" s="59" t="str">
        <f t="shared" si="1"/>
        <v>Compra</v>
      </c>
      <c r="G69" s="75">
        <v>920</v>
      </c>
      <c r="K69" s="68">
        <v>41317</v>
      </c>
      <c r="L69" s="73">
        <v>9.8949999999999996</v>
      </c>
      <c r="M69" s="73">
        <v>9.8949999999999996</v>
      </c>
      <c r="N69" s="71">
        <v>13.93</v>
      </c>
    </row>
    <row r="70" spans="1:15">
      <c r="A70" s="59">
        <v>1</v>
      </c>
      <c r="B70" s="59">
        <v>9</v>
      </c>
      <c r="C70" s="59">
        <v>68</v>
      </c>
      <c r="D70" s="59">
        <v>0</v>
      </c>
      <c r="F70" s="59" t="str">
        <f t="shared" ref="F70:F135" si="3">IF(D70=0,"Compra","Venda")</f>
        <v>Compra</v>
      </c>
      <c r="G70" s="75">
        <v>90</v>
      </c>
      <c r="K70" s="68">
        <v>41317.000011574077</v>
      </c>
      <c r="L70" s="73">
        <v>9.8960000000000008</v>
      </c>
      <c r="M70" s="73">
        <v>9.8959999999999901</v>
      </c>
      <c r="N70" s="71">
        <v>5.71</v>
      </c>
    </row>
    <row r="71" spans="1:15">
      <c r="A71" s="59">
        <v>1</v>
      </c>
      <c r="B71" s="59">
        <v>9</v>
      </c>
      <c r="C71" s="59">
        <v>69</v>
      </c>
      <c r="D71" s="59">
        <v>1</v>
      </c>
      <c r="F71" s="59" t="str">
        <f t="shared" si="3"/>
        <v>Venda</v>
      </c>
      <c r="G71" s="75">
        <v>1010</v>
      </c>
      <c r="K71" s="68">
        <v>41351</v>
      </c>
      <c r="L71" s="73">
        <v>9.8950999999999993</v>
      </c>
      <c r="M71" s="73">
        <v>11.2</v>
      </c>
      <c r="N71" s="71">
        <v>16.25</v>
      </c>
    </row>
    <row r="72" spans="1:15">
      <c r="A72" s="59">
        <v>1</v>
      </c>
      <c r="B72" s="59">
        <v>9</v>
      </c>
      <c r="C72" s="59">
        <v>70</v>
      </c>
      <c r="D72" s="59">
        <v>0</v>
      </c>
      <c r="F72" s="59" t="str">
        <f t="shared" si="3"/>
        <v>Compra</v>
      </c>
      <c r="G72" s="75">
        <v>2008</v>
      </c>
      <c r="K72" s="68">
        <v>41445</v>
      </c>
      <c r="L72" s="73">
        <v>9.9209999999999994</v>
      </c>
      <c r="M72" s="73">
        <v>9.9210009960159304</v>
      </c>
      <c r="N72" s="71">
        <v>15.51</v>
      </c>
    </row>
    <row r="73" spans="1:15">
      <c r="A73" s="59">
        <v>1</v>
      </c>
      <c r="B73" s="59">
        <v>9</v>
      </c>
      <c r="C73" s="59">
        <v>71</v>
      </c>
      <c r="D73" s="59">
        <v>0</v>
      </c>
      <c r="F73" s="59" t="str">
        <f t="shared" si="3"/>
        <v>Compra</v>
      </c>
      <c r="G73" s="75">
        <v>806</v>
      </c>
      <c r="K73" s="68">
        <v>41458</v>
      </c>
      <c r="L73" s="73">
        <v>9.5739999999999998</v>
      </c>
      <c r="M73" s="73">
        <v>9.5739950372208398</v>
      </c>
      <c r="N73" s="71">
        <v>13.73</v>
      </c>
    </row>
    <row r="74" spans="1:15">
      <c r="A74" s="59">
        <v>1</v>
      </c>
      <c r="B74" s="59">
        <v>9</v>
      </c>
      <c r="C74" s="59">
        <v>72</v>
      </c>
      <c r="D74" s="59">
        <v>0</v>
      </c>
      <c r="F74" s="59" t="str">
        <f t="shared" si="3"/>
        <v>Compra</v>
      </c>
      <c r="G74" s="75">
        <v>1276</v>
      </c>
      <c r="K74" s="68">
        <v>41458.000011574077</v>
      </c>
      <c r="L74" s="73">
        <v>9.5730000000000004</v>
      </c>
      <c r="M74" s="73">
        <v>9.5730015673981192</v>
      </c>
      <c r="N74" s="71">
        <v>14.39</v>
      </c>
    </row>
    <row r="75" spans="1:15">
      <c r="A75" s="59">
        <v>1</v>
      </c>
      <c r="B75" s="59">
        <v>9</v>
      </c>
      <c r="C75" s="59">
        <v>73</v>
      </c>
      <c r="D75" s="59">
        <v>2</v>
      </c>
      <c r="F75" s="59" t="str">
        <f t="shared" si="3"/>
        <v>Venda</v>
      </c>
      <c r="G75" s="75">
        <v>0</v>
      </c>
      <c r="K75" s="68">
        <v>41584</v>
      </c>
      <c r="M75" s="73">
        <v>1431.5</v>
      </c>
    </row>
    <row r="76" spans="1:15">
      <c r="A76" s="59">
        <v>1</v>
      </c>
      <c r="B76" s="59">
        <v>9</v>
      </c>
      <c r="C76" s="59">
        <v>74</v>
      </c>
      <c r="D76" s="59">
        <v>0</v>
      </c>
      <c r="F76" s="59" t="str">
        <f t="shared" si="3"/>
        <v>Compra</v>
      </c>
      <c r="G76" s="75">
        <v>1755</v>
      </c>
      <c r="K76" s="68">
        <v>41667</v>
      </c>
      <c r="L76" s="73">
        <v>11.35</v>
      </c>
      <c r="M76" s="73">
        <v>11.35</v>
      </c>
      <c r="N76" s="71">
        <v>16.510000000000002</v>
      </c>
    </row>
    <row r="77" spans="1:15">
      <c r="A77" s="59">
        <v>1</v>
      </c>
      <c r="B77" s="59">
        <v>9</v>
      </c>
      <c r="C77" s="59">
        <v>75</v>
      </c>
      <c r="D77" s="59">
        <v>2</v>
      </c>
      <c r="F77" s="59" t="str">
        <f t="shared" si="3"/>
        <v>Venda</v>
      </c>
      <c r="G77" s="75">
        <v>0</v>
      </c>
      <c r="K77" s="68">
        <v>41766</v>
      </c>
      <c r="M77" s="73">
        <v>2338</v>
      </c>
    </row>
    <row r="78" spans="1:15">
      <c r="A78" s="59">
        <v>1</v>
      </c>
      <c r="B78" s="59">
        <v>9</v>
      </c>
      <c r="C78" s="59">
        <v>76</v>
      </c>
      <c r="D78" s="59">
        <v>1</v>
      </c>
      <c r="F78" s="59" t="str">
        <f t="shared" si="3"/>
        <v>Venda</v>
      </c>
      <c r="G78" s="75">
        <v>5845</v>
      </c>
      <c r="K78" s="68">
        <v>41792</v>
      </c>
      <c r="L78" s="73">
        <v>10.2262</v>
      </c>
      <c r="M78" s="73">
        <v>12.395000855431899</v>
      </c>
      <c r="N78" s="71">
        <v>63.96</v>
      </c>
    </row>
    <row r="79" spans="1:15">
      <c r="A79" s="59">
        <v>1</v>
      </c>
      <c r="B79" s="59">
        <v>9</v>
      </c>
      <c r="C79" s="59">
        <v>77</v>
      </c>
      <c r="D79" s="59">
        <v>0</v>
      </c>
      <c r="F79" s="59" t="str">
        <f t="shared" si="3"/>
        <v>Compra</v>
      </c>
      <c r="G79" s="75">
        <v>4388</v>
      </c>
      <c r="K79" s="68">
        <v>42010</v>
      </c>
      <c r="L79" s="73">
        <v>11.45</v>
      </c>
      <c r="M79" s="73">
        <v>11.45</v>
      </c>
      <c r="N79" s="71">
        <v>20.18</v>
      </c>
    </row>
    <row r="80" spans="1:15">
      <c r="A80" s="59">
        <v>1</v>
      </c>
      <c r="B80" s="59">
        <v>9</v>
      </c>
      <c r="C80" s="59">
        <v>85</v>
      </c>
      <c r="D80" s="59">
        <v>0</v>
      </c>
      <c r="F80" s="59" t="str">
        <f t="shared" si="3"/>
        <v>Compra</v>
      </c>
      <c r="G80" s="75">
        <v>274</v>
      </c>
      <c r="K80" s="68">
        <v>42115.562974537039</v>
      </c>
      <c r="L80" s="73">
        <v>10.84</v>
      </c>
      <c r="M80" s="73">
        <v>10.84</v>
      </c>
      <c r="O80" s="59" t="s">
        <v>107</v>
      </c>
    </row>
    <row r="81" spans="1:15">
      <c r="A81" s="59">
        <v>1</v>
      </c>
      <c r="B81" s="59">
        <v>9</v>
      </c>
      <c r="C81" s="59">
        <v>87</v>
      </c>
      <c r="D81" s="59">
        <v>2</v>
      </c>
      <c r="F81" s="59" t="str">
        <f t="shared" si="3"/>
        <v>Venda</v>
      </c>
      <c r="G81" s="75">
        <v>0</v>
      </c>
      <c r="K81" s="68">
        <v>42136.837407407409</v>
      </c>
      <c r="M81" s="73">
        <v>1864.8</v>
      </c>
      <c r="O81" s="59" t="s">
        <v>108</v>
      </c>
    </row>
    <row r="82" spans="1:15">
      <c r="A82" s="59">
        <v>1</v>
      </c>
      <c r="B82" s="59">
        <v>9</v>
      </c>
      <c r="C82" s="59">
        <v>90</v>
      </c>
      <c r="D82" s="59">
        <v>1</v>
      </c>
      <c r="F82" s="59" t="str">
        <f t="shared" si="3"/>
        <v>Venda</v>
      </c>
      <c r="G82" s="75">
        <v>4262</v>
      </c>
      <c r="K82" s="68">
        <v>42200.86482638889</v>
      </c>
      <c r="L82" s="73">
        <v>11.45</v>
      </c>
      <c r="M82" s="73">
        <v>13.6</v>
      </c>
      <c r="N82" s="71">
        <v>20.92</v>
      </c>
    </row>
    <row r="83" spans="1:15">
      <c r="A83" s="59">
        <v>1</v>
      </c>
      <c r="B83" s="59">
        <v>9</v>
      </c>
      <c r="C83" s="59">
        <v>93</v>
      </c>
      <c r="D83" s="59">
        <v>1</v>
      </c>
      <c r="F83" s="59" t="str">
        <f t="shared" si="3"/>
        <v>Venda</v>
      </c>
      <c r="G83" s="75">
        <v>400</v>
      </c>
      <c r="K83" s="68">
        <v>42201.88890046296</v>
      </c>
      <c r="L83" s="73">
        <v>11.0322</v>
      </c>
      <c r="M83" s="73">
        <v>13.78</v>
      </c>
      <c r="N83" s="71">
        <v>12.4</v>
      </c>
    </row>
    <row r="84" spans="1:15">
      <c r="A84" s="59">
        <v>1</v>
      </c>
      <c r="B84" s="59">
        <v>9</v>
      </c>
      <c r="C84" s="59">
        <v>99</v>
      </c>
      <c r="D84" s="59">
        <v>0</v>
      </c>
      <c r="F84" s="59" t="str">
        <f t="shared" si="3"/>
        <v>Compra</v>
      </c>
      <c r="G84" s="75">
        <v>4570</v>
      </c>
      <c r="K84" s="68">
        <v>42278.440972222219</v>
      </c>
      <c r="L84" s="73">
        <v>10.91</v>
      </c>
      <c r="M84" s="73">
        <v>10.91</v>
      </c>
      <c r="N84" s="71">
        <v>20.14</v>
      </c>
    </row>
    <row r="85" spans="1:15">
      <c r="A85" s="59">
        <v>1</v>
      </c>
      <c r="B85" s="59">
        <v>9</v>
      </c>
      <c r="C85" s="59">
        <v>102</v>
      </c>
      <c r="D85" s="59">
        <v>1</v>
      </c>
      <c r="F85" s="59" t="str">
        <f t="shared" si="3"/>
        <v>Venda</v>
      </c>
      <c r="G85" s="75">
        <v>4570</v>
      </c>
      <c r="K85" s="68">
        <v>42289.284166666665</v>
      </c>
      <c r="L85" s="73">
        <v>10.91</v>
      </c>
      <c r="M85" s="73">
        <v>11.595000000000001</v>
      </c>
      <c r="N85" s="71">
        <v>20.440000000000001</v>
      </c>
    </row>
    <row r="86" spans="1:15">
      <c r="A86" s="59">
        <v>1</v>
      </c>
      <c r="B86" s="59">
        <v>9</v>
      </c>
      <c r="C86" s="59">
        <v>106</v>
      </c>
      <c r="D86" s="59">
        <v>0</v>
      </c>
      <c r="F86" s="59" t="str">
        <f t="shared" si="3"/>
        <v>Compra</v>
      </c>
      <c r="G86" s="75">
        <v>4492</v>
      </c>
      <c r="K86" s="68">
        <v>42342.482824074075</v>
      </c>
      <c r="L86" s="73">
        <v>11.13</v>
      </c>
      <c r="M86" s="73">
        <v>11.13</v>
      </c>
      <c r="N86" s="71">
        <v>20.149999999999999</v>
      </c>
    </row>
    <row r="87" spans="1:15">
      <c r="A87" s="59">
        <v>1</v>
      </c>
      <c r="B87" s="59">
        <v>9</v>
      </c>
      <c r="C87" s="59">
        <v>107</v>
      </c>
      <c r="D87" s="59">
        <v>1</v>
      </c>
      <c r="F87" s="59" t="str">
        <f t="shared" si="3"/>
        <v>Venda</v>
      </c>
      <c r="G87" s="75">
        <v>4492</v>
      </c>
      <c r="K87" s="68">
        <v>42369.818796296298</v>
      </c>
      <c r="L87" s="73">
        <v>11.13</v>
      </c>
      <c r="M87" s="73">
        <v>10.275</v>
      </c>
      <c r="N87" s="71">
        <v>19.78</v>
      </c>
    </row>
    <row r="88" spans="1:15">
      <c r="A88" s="59">
        <v>1</v>
      </c>
      <c r="B88" s="59">
        <v>10</v>
      </c>
      <c r="C88" s="59">
        <v>15</v>
      </c>
      <c r="D88" s="59">
        <v>0</v>
      </c>
      <c r="F88" s="59" t="str">
        <f t="shared" si="3"/>
        <v>Compra</v>
      </c>
      <c r="G88" s="75">
        <v>679.64</v>
      </c>
      <c r="K88" s="68">
        <v>36841</v>
      </c>
      <c r="L88" s="73">
        <v>22.992000000000001</v>
      </c>
      <c r="M88" s="73">
        <v>22.9920399034783</v>
      </c>
      <c r="O88" s="59" t="s">
        <v>66</v>
      </c>
    </row>
    <row r="89" spans="1:15">
      <c r="A89" s="59">
        <v>1</v>
      </c>
      <c r="B89" s="59">
        <v>10</v>
      </c>
      <c r="C89" s="59">
        <v>23</v>
      </c>
      <c r="D89" s="59">
        <v>1</v>
      </c>
      <c r="F89" s="59" t="str">
        <f t="shared" si="3"/>
        <v>Venda</v>
      </c>
      <c r="G89" s="75">
        <v>679.64</v>
      </c>
      <c r="J89" s="59">
        <v>11</v>
      </c>
      <c r="K89" s="68">
        <v>41383</v>
      </c>
      <c r="L89" s="73">
        <v>22.992000000000001</v>
      </c>
      <c r="M89" s="73">
        <v>8.1098375610617399</v>
      </c>
      <c r="O89" s="59" t="s">
        <v>25</v>
      </c>
    </row>
    <row r="90" spans="1:15">
      <c r="A90" s="59">
        <v>1</v>
      </c>
      <c r="B90" s="59">
        <v>11</v>
      </c>
      <c r="C90" s="59">
        <v>16</v>
      </c>
      <c r="D90" s="59">
        <v>0</v>
      </c>
      <c r="F90" s="59" t="str">
        <f t="shared" si="3"/>
        <v>Compra</v>
      </c>
      <c r="G90" s="75">
        <v>547.645126</v>
      </c>
      <c r="K90" s="68">
        <v>41166</v>
      </c>
      <c r="L90" s="73">
        <v>18.260000000000002</v>
      </c>
      <c r="M90" s="73">
        <v>18.259999998612201</v>
      </c>
      <c r="O90" s="59" t="s">
        <v>12</v>
      </c>
    </row>
    <row r="91" spans="1:15">
      <c r="A91" s="59">
        <v>1</v>
      </c>
      <c r="B91" s="59">
        <v>11</v>
      </c>
      <c r="C91" s="59">
        <v>17</v>
      </c>
      <c r="D91" s="59">
        <v>0</v>
      </c>
      <c r="F91" s="59" t="str">
        <f t="shared" si="3"/>
        <v>Compra</v>
      </c>
      <c r="G91" s="75">
        <v>1010.611</v>
      </c>
      <c r="K91" s="68">
        <v>41377</v>
      </c>
      <c r="L91" s="73">
        <v>19.79</v>
      </c>
      <c r="M91" s="73">
        <v>19.7899983277443</v>
      </c>
    </row>
    <row r="92" spans="1:15">
      <c r="A92" s="59">
        <v>1</v>
      </c>
      <c r="B92" s="59">
        <v>11</v>
      </c>
      <c r="C92" s="59">
        <v>24</v>
      </c>
      <c r="D92" s="59">
        <v>0</v>
      </c>
      <c r="F92" s="59" t="str">
        <f t="shared" si="3"/>
        <v>Compra</v>
      </c>
      <c r="G92" s="75">
        <v>280.07</v>
      </c>
      <c r="I92" s="59">
        <v>23</v>
      </c>
      <c r="J92" s="59">
        <v>10</v>
      </c>
      <c r="K92" s="68">
        <v>41383.000011574077</v>
      </c>
      <c r="L92" s="73">
        <v>55.794199999999996</v>
      </c>
      <c r="M92" s="73">
        <v>19.6799728639268</v>
      </c>
      <c r="O92" s="59" t="s">
        <v>71</v>
      </c>
    </row>
    <row r="93" spans="1:15">
      <c r="A93" s="59">
        <v>1</v>
      </c>
      <c r="B93" s="59">
        <v>11</v>
      </c>
      <c r="C93" s="59">
        <v>25</v>
      </c>
      <c r="D93" s="59">
        <v>1</v>
      </c>
      <c r="F93" s="59" t="str">
        <f t="shared" si="3"/>
        <v>Venda</v>
      </c>
      <c r="G93" s="75">
        <v>1838.3261259999999</v>
      </c>
      <c r="J93" s="59">
        <v>5</v>
      </c>
      <c r="K93" s="68">
        <v>41439</v>
      </c>
      <c r="L93" s="73">
        <v>24.819500000000001</v>
      </c>
      <c r="M93" s="73">
        <v>18.949999952293499</v>
      </c>
      <c r="O93" s="59" t="s">
        <v>73</v>
      </c>
    </row>
    <row r="94" spans="1:15">
      <c r="A94" s="59">
        <v>1</v>
      </c>
      <c r="B94" s="59">
        <v>12</v>
      </c>
      <c r="C94" s="59">
        <v>32</v>
      </c>
      <c r="D94" s="59">
        <v>0</v>
      </c>
      <c r="F94" s="59" t="str">
        <f t="shared" si="3"/>
        <v>Compra</v>
      </c>
      <c r="G94" s="75">
        <v>5006.5078999999996</v>
      </c>
      <c r="K94" s="68">
        <v>41166.000011574077</v>
      </c>
      <c r="L94" s="73">
        <v>1.9974000000000001</v>
      </c>
      <c r="M94" s="73">
        <v>1.9974000000000001</v>
      </c>
      <c r="O94" s="59" t="s">
        <v>12</v>
      </c>
    </row>
    <row r="95" spans="1:15">
      <c r="A95" s="59">
        <v>1</v>
      </c>
      <c r="B95" s="59">
        <v>12</v>
      </c>
      <c r="C95" s="59">
        <v>33</v>
      </c>
      <c r="D95" s="59">
        <v>1</v>
      </c>
      <c r="F95" s="59" t="str">
        <f t="shared" si="3"/>
        <v>Venda</v>
      </c>
      <c r="G95" s="75">
        <v>5006.5078999999996</v>
      </c>
      <c r="J95" s="59">
        <v>13</v>
      </c>
      <c r="K95" s="68">
        <v>41385</v>
      </c>
      <c r="L95" s="73">
        <v>1.9974000000000001</v>
      </c>
      <c r="M95" s="73">
        <v>2.0725623942389002</v>
      </c>
      <c r="O95" s="59" t="s">
        <v>109</v>
      </c>
    </row>
    <row r="96" spans="1:15">
      <c r="A96" s="59">
        <v>1</v>
      </c>
      <c r="B96" s="59">
        <v>13</v>
      </c>
      <c r="C96" s="59">
        <v>34</v>
      </c>
      <c r="D96" s="59">
        <v>0</v>
      </c>
      <c r="F96" s="59" t="str">
        <f t="shared" si="3"/>
        <v>Compra</v>
      </c>
      <c r="G96" s="75">
        <v>394.85</v>
      </c>
      <c r="I96" s="59">
        <v>33</v>
      </c>
      <c r="J96" s="59">
        <v>12</v>
      </c>
      <c r="K96" s="68">
        <v>41385.000011574077</v>
      </c>
      <c r="L96" s="73">
        <v>25.3261</v>
      </c>
      <c r="M96" s="73">
        <v>26.279093326579702</v>
      </c>
      <c r="O96" s="59" t="s">
        <v>109</v>
      </c>
    </row>
    <row r="97" spans="1:15">
      <c r="A97" s="59">
        <v>1</v>
      </c>
      <c r="B97" s="59">
        <v>13</v>
      </c>
      <c r="C97" s="59">
        <v>42</v>
      </c>
      <c r="D97" s="59">
        <v>1</v>
      </c>
      <c r="F97" s="59" t="str">
        <f t="shared" si="3"/>
        <v>Venda</v>
      </c>
      <c r="G97" s="75">
        <v>394.85</v>
      </c>
      <c r="K97" s="68">
        <v>41436.000011574077</v>
      </c>
      <c r="L97" s="73">
        <v>25.3261</v>
      </c>
      <c r="M97" s="73">
        <v>24.609000886412499</v>
      </c>
      <c r="O97" s="59" t="s">
        <v>110</v>
      </c>
    </row>
    <row r="98" spans="1:15">
      <c r="A98" s="59">
        <v>1</v>
      </c>
      <c r="B98" s="59">
        <v>14</v>
      </c>
      <c r="C98" s="59">
        <v>35</v>
      </c>
      <c r="D98" s="59">
        <v>0</v>
      </c>
      <c r="F98" s="59" t="str">
        <f t="shared" si="3"/>
        <v>Compra</v>
      </c>
      <c r="G98" s="75">
        <v>21.84</v>
      </c>
      <c r="K98" s="68">
        <v>41201</v>
      </c>
      <c r="L98" s="73">
        <v>549.56460000000004</v>
      </c>
      <c r="M98" s="73">
        <v>549.56456043955995</v>
      </c>
      <c r="O98" s="59" t="s">
        <v>111</v>
      </c>
    </row>
    <row r="99" spans="1:15">
      <c r="A99" s="59">
        <v>1</v>
      </c>
      <c r="B99" s="59">
        <v>14</v>
      </c>
      <c r="C99" s="59">
        <v>36</v>
      </c>
      <c r="D99" s="59">
        <v>1</v>
      </c>
      <c r="F99" s="59" t="str">
        <f t="shared" si="3"/>
        <v>Venda</v>
      </c>
      <c r="G99" s="75">
        <v>21.84</v>
      </c>
      <c r="K99" s="68">
        <v>41436</v>
      </c>
      <c r="L99" s="73">
        <v>549.56460000000004</v>
      </c>
      <c r="M99" s="73">
        <v>547.44001831501805</v>
      </c>
      <c r="O99" s="59" t="s">
        <v>110</v>
      </c>
    </row>
    <row r="100" spans="1:15">
      <c r="A100" s="59">
        <v>1</v>
      </c>
      <c r="B100" s="59">
        <v>15</v>
      </c>
      <c r="C100" s="59">
        <v>98</v>
      </c>
      <c r="D100" s="59">
        <v>0</v>
      </c>
      <c r="F100" s="59" t="str">
        <f t="shared" si="3"/>
        <v>Compra</v>
      </c>
      <c r="G100" s="75">
        <v>112.246</v>
      </c>
      <c r="K100" s="68">
        <v>42219.795451388891</v>
      </c>
      <c r="L100" s="73">
        <v>8.9090000000000007</v>
      </c>
      <c r="M100" s="73">
        <v>8.9090034388753203</v>
      </c>
    </row>
    <row r="101" spans="1:15">
      <c r="A101" s="59">
        <v>1</v>
      </c>
      <c r="B101" s="59">
        <v>15</v>
      </c>
      <c r="C101" s="59">
        <v>122</v>
      </c>
      <c r="D101" s="59">
        <v>0</v>
      </c>
      <c r="F101" s="59" t="str">
        <f t="shared" si="3"/>
        <v>Compra</v>
      </c>
      <c r="G101" s="75">
        <v>5585.1589999999997</v>
      </c>
      <c r="K101" s="68">
        <v>42635.715057870373</v>
      </c>
      <c r="L101" s="73">
        <v>8.952</v>
      </c>
      <c r="M101" s="73">
        <v>8.952</v>
      </c>
      <c r="N101" s="71">
        <v>0</v>
      </c>
    </row>
    <row r="102" spans="1:15">
      <c r="A102" s="59">
        <v>1</v>
      </c>
      <c r="B102" s="59">
        <v>16</v>
      </c>
      <c r="C102" s="59">
        <v>101</v>
      </c>
      <c r="D102" s="59">
        <v>0</v>
      </c>
      <c r="F102" s="59" t="str">
        <f t="shared" si="3"/>
        <v>Compra</v>
      </c>
      <c r="G102" s="75">
        <v>160.75280000000001</v>
      </c>
      <c r="I102" s="59">
        <v>100</v>
      </c>
      <c r="J102" s="59">
        <v>1</v>
      </c>
      <c r="K102" s="68">
        <v>42279.463807870372</v>
      </c>
      <c r="L102" s="73">
        <v>280.20139999999998</v>
      </c>
      <c r="M102" s="73">
        <v>323.52997894904399</v>
      </c>
      <c r="O102" s="59" t="s">
        <v>99</v>
      </c>
    </row>
    <row r="103" spans="1:15">
      <c r="A103" s="59">
        <v>1</v>
      </c>
      <c r="B103" s="59">
        <v>17</v>
      </c>
      <c r="C103" s="59">
        <v>105</v>
      </c>
      <c r="D103" s="59">
        <v>0</v>
      </c>
      <c r="F103" s="59" t="str">
        <f t="shared" si="3"/>
        <v>Compra</v>
      </c>
      <c r="G103" s="75">
        <v>15</v>
      </c>
      <c r="K103" s="68">
        <v>42325.618148148147</v>
      </c>
      <c r="L103" s="73">
        <v>63.64</v>
      </c>
      <c r="M103" s="73">
        <v>63.64</v>
      </c>
      <c r="N103" s="71">
        <v>14.95</v>
      </c>
    </row>
    <row r="104" spans="1:15">
      <c r="A104" s="59">
        <v>1</v>
      </c>
      <c r="B104" s="59">
        <v>17</v>
      </c>
      <c r="C104" s="59">
        <v>125</v>
      </c>
      <c r="D104" s="59">
        <v>1</v>
      </c>
      <c r="F104" s="59" t="str">
        <f t="shared" si="3"/>
        <v>Venda</v>
      </c>
      <c r="G104" s="75">
        <v>15</v>
      </c>
      <c r="K104" s="68">
        <v>42731.461006944446</v>
      </c>
      <c r="L104" s="73">
        <v>63.64</v>
      </c>
      <c r="M104" s="73">
        <v>40.207000000000001</v>
      </c>
      <c r="N104" s="71">
        <v>14.95</v>
      </c>
    </row>
    <row r="105" spans="1:15">
      <c r="A105" s="59">
        <v>1</v>
      </c>
      <c r="B105" s="59">
        <v>18</v>
      </c>
      <c r="C105" s="59">
        <v>109</v>
      </c>
      <c r="D105" s="59">
        <v>0</v>
      </c>
      <c r="F105" s="59" t="str">
        <f t="shared" si="3"/>
        <v>Compra</v>
      </c>
      <c r="G105" s="75">
        <v>235</v>
      </c>
      <c r="K105" s="68">
        <v>42394.669849537036</v>
      </c>
      <c r="L105" s="73">
        <v>170</v>
      </c>
      <c r="M105" s="73">
        <v>170</v>
      </c>
      <c r="N105" s="71">
        <v>79.900000000000006</v>
      </c>
    </row>
    <row r="106" spans="1:15">
      <c r="A106" s="59">
        <v>1</v>
      </c>
      <c r="B106" s="59">
        <v>18</v>
      </c>
      <c r="C106" s="59">
        <v>110</v>
      </c>
      <c r="D106" s="59">
        <v>0</v>
      </c>
      <c r="F106" s="59" t="str">
        <f t="shared" si="3"/>
        <v>Compra</v>
      </c>
      <c r="G106" s="75">
        <v>55</v>
      </c>
      <c r="K106" s="68">
        <v>42394.669861111113</v>
      </c>
      <c r="L106" s="73">
        <v>169.97</v>
      </c>
      <c r="M106" s="73">
        <v>169.97</v>
      </c>
      <c r="N106" s="71">
        <v>14.95</v>
      </c>
    </row>
    <row r="107" spans="1:15">
      <c r="A107" s="59">
        <v>1</v>
      </c>
      <c r="B107" s="59">
        <v>18</v>
      </c>
      <c r="C107" s="59">
        <v>111</v>
      </c>
      <c r="D107" s="59">
        <v>1</v>
      </c>
      <c r="F107" s="59" t="str">
        <f t="shared" si="3"/>
        <v>Venda</v>
      </c>
      <c r="G107" s="75">
        <v>290</v>
      </c>
      <c r="K107" s="68">
        <v>42544.806469907409</v>
      </c>
      <c r="L107" s="73">
        <v>169.99430000000001</v>
      </c>
      <c r="M107" s="73">
        <v>181.5</v>
      </c>
      <c r="N107" s="71">
        <v>105.27</v>
      </c>
    </row>
    <row r="108" spans="1:15">
      <c r="A108" s="59">
        <v>1</v>
      </c>
      <c r="B108" s="59">
        <v>19</v>
      </c>
      <c r="C108" s="59">
        <v>108</v>
      </c>
      <c r="D108" s="59">
        <v>0</v>
      </c>
      <c r="F108" s="59" t="str">
        <f t="shared" si="3"/>
        <v>Compra</v>
      </c>
      <c r="G108" s="75">
        <v>0.53749999999999998</v>
      </c>
      <c r="K108" s="68">
        <v>42387.492534722223</v>
      </c>
      <c r="L108" s="73">
        <v>1860.4650999999999</v>
      </c>
      <c r="M108" s="73">
        <v>1860.4651162790699</v>
      </c>
    </row>
    <row r="109" spans="1:15">
      <c r="A109" s="59">
        <v>1</v>
      </c>
      <c r="B109" s="59">
        <v>23</v>
      </c>
      <c r="C109" s="59">
        <v>123</v>
      </c>
      <c r="D109" s="59">
        <v>0</v>
      </c>
      <c r="F109" s="59" t="str">
        <f t="shared" si="3"/>
        <v>Compra</v>
      </c>
      <c r="G109" s="75">
        <v>175</v>
      </c>
      <c r="K109" s="68">
        <v>42642.772696759261</v>
      </c>
      <c r="L109" s="73">
        <v>33.215000000000003</v>
      </c>
      <c r="M109" s="73">
        <v>33.215000000000003</v>
      </c>
      <c r="N109" s="71">
        <v>12.41</v>
      </c>
    </row>
    <row r="110" spans="1:15">
      <c r="A110" s="59">
        <v>1</v>
      </c>
      <c r="B110" s="59">
        <v>23</v>
      </c>
      <c r="C110" s="59">
        <v>131</v>
      </c>
      <c r="D110" s="59">
        <v>0</v>
      </c>
      <c r="F110" s="59" t="str">
        <f t="shared" si="3"/>
        <v>Compra</v>
      </c>
      <c r="G110" s="75">
        <v>200</v>
      </c>
      <c r="K110" s="68">
        <v>42752.496111111112</v>
      </c>
      <c r="L110" s="73">
        <v>31.45</v>
      </c>
      <c r="M110" s="73">
        <v>31.45</v>
      </c>
      <c r="N110" s="71">
        <v>14.57</v>
      </c>
    </row>
    <row r="111" spans="1:15">
      <c r="A111" s="59">
        <v>1</v>
      </c>
      <c r="B111" s="59">
        <v>23</v>
      </c>
      <c r="C111" s="59">
        <v>134</v>
      </c>
      <c r="D111" s="59">
        <v>2</v>
      </c>
      <c r="F111" s="59" t="str">
        <f t="shared" si="3"/>
        <v>Venda</v>
      </c>
      <c r="G111" s="75">
        <v>0</v>
      </c>
      <c r="K111" s="68">
        <v>42676.715624999997</v>
      </c>
      <c r="M111" s="73">
        <v>52.5</v>
      </c>
      <c r="N111" s="71">
        <v>0</v>
      </c>
    </row>
    <row r="112" spans="1:15">
      <c r="A112" s="59">
        <v>1</v>
      </c>
      <c r="B112" s="59">
        <v>23</v>
      </c>
      <c r="C112" s="59">
        <v>140</v>
      </c>
      <c r="D112" s="59">
        <v>1</v>
      </c>
      <c r="F112" s="59" t="str">
        <f t="shared" si="3"/>
        <v>Venda</v>
      </c>
      <c r="G112" s="75">
        <v>375</v>
      </c>
      <c r="K112" s="68">
        <v>42835.43141203704</v>
      </c>
      <c r="L112" s="73">
        <v>32.273699999999998</v>
      </c>
      <c r="M112" s="73">
        <v>33.799999999999997</v>
      </c>
      <c r="N112" s="71">
        <v>15.34</v>
      </c>
    </row>
    <row r="113" spans="1:15">
      <c r="A113" s="59">
        <v>1</v>
      </c>
      <c r="B113" s="59">
        <v>24</v>
      </c>
      <c r="C113" s="59">
        <v>137</v>
      </c>
      <c r="D113" s="59">
        <v>0</v>
      </c>
      <c r="F113" s="59" t="str">
        <f t="shared" si="3"/>
        <v>Compra</v>
      </c>
      <c r="G113" s="75">
        <v>25</v>
      </c>
      <c r="K113" s="68">
        <v>42814.418206018519</v>
      </c>
      <c r="L113" s="73">
        <v>37.17</v>
      </c>
      <c r="M113" s="73">
        <v>37.17</v>
      </c>
      <c r="N113" s="71">
        <v>14.95</v>
      </c>
    </row>
    <row r="114" spans="1:15">
      <c r="A114" s="59">
        <v>1</v>
      </c>
      <c r="B114" s="59">
        <v>24</v>
      </c>
      <c r="C114" s="59">
        <v>145</v>
      </c>
      <c r="D114" s="59">
        <v>1</v>
      </c>
      <c r="F114" s="59" t="str">
        <f t="shared" si="3"/>
        <v>Venda</v>
      </c>
      <c r="G114" s="75">
        <v>25</v>
      </c>
      <c r="K114" s="68">
        <v>42881.460057870368</v>
      </c>
      <c r="L114" s="73">
        <v>37.17</v>
      </c>
      <c r="M114" s="73">
        <v>37.202488000000002</v>
      </c>
      <c r="N114" s="71">
        <v>14.98</v>
      </c>
    </row>
    <row r="115" spans="1:15">
      <c r="A115" s="59">
        <v>1</v>
      </c>
      <c r="B115" s="59">
        <v>25</v>
      </c>
      <c r="C115" s="59">
        <v>136</v>
      </c>
      <c r="D115" s="59">
        <v>0</v>
      </c>
      <c r="F115" s="59" t="str">
        <f t="shared" si="3"/>
        <v>Compra</v>
      </c>
      <c r="G115" s="75">
        <v>5</v>
      </c>
      <c r="K115" s="68">
        <v>42814.417696759258</v>
      </c>
      <c r="L115" s="73">
        <v>204.52</v>
      </c>
      <c r="M115" s="73">
        <v>204.52</v>
      </c>
      <c r="N115" s="71">
        <v>14.95</v>
      </c>
    </row>
    <row r="116" spans="1:15">
      <c r="A116" s="59">
        <v>1</v>
      </c>
      <c r="B116" s="59">
        <v>25</v>
      </c>
      <c r="C116" s="59">
        <v>146</v>
      </c>
      <c r="D116" s="59">
        <v>1</v>
      </c>
      <c r="F116" s="59" t="str">
        <f t="shared" si="3"/>
        <v>Venda</v>
      </c>
      <c r="G116" s="75">
        <v>5</v>
      </c>
      <c r="K116" s="68">
        <v>42881.463125000002</v>
      </c>
      <c r="L116" s="73">
        <v>204.52</v>
      </c>
      <c r="M116" s="73">
        <v>198.079802</v>
      </c>
      <c r="N116" s="71">
        <v>14.98</v>
      </c>
    </row>
    <row r="117" spans="1:15">
      <c r="K117" s="68"/>
    </row>
    <row r="118" spans="1:15">
      <c r="K118" s="68"/>
    </row>
    <row r="119" spans="1:15">
      <c r="A119" s="59">
        <v>2</v>
      </c>
      <c r="B119" s="59">
        <v>7</v>
      </c>
      <c r="C119" s="59">
        <v>139</v>
      </c>
      <c r="D119" s="59">
        <v>5</v>
      </c>
      <c r="F119" s="59" t="str">
        <f t="shared" si="3"/>
        <v>Venda</v>
      </c>
      <c r="G119" s="75">
        <v>6225</v>
      </c>
      <c r="K119" s="68">
        <v>42822.45480324074</v>
      </c>
      <c r="L119" s="73">
        <v>7.5839999999999996</v>
      </c>
      <c r="M119" s="73">
        <v>7.5839999999999996</v>
      </c>
      <c r="N119" s="71">
        <v>33.31</v>
      </c>
      <c r="O119" s="59" t="s">
        <v>112</v>
      </c>
    </row>
    <row r="120" spans="1:15">
      <c r="A120" s="59">
        <v>2</v>
      </c>
      <c r="B120" s="59">
        <v>7</v>
      </c>
      <c r="C120" s="59">
        <v>142</v>
      </c>
      <c r="D120" s="59">
        <v>5</v>
      </c>
      <c r="F120" s="59" t="str">
        <f t="shared" si="3"/>
        <v>Venda</v>
      </c>
      <c r="G120" s="75">
        <v>1671</v>
      </c>
      <c r="K120" s="68">
        <v>42871.778969907406</v>
      </c>
      <c r="L120" s="73">
        <v>6.7969999999999997</v>
      </c>
      <c r="M120" s="73">
        <v>6.7969999999999997</v>
      </c>
      <c r="N120" s="71">
        <v>15.07</v>
      </c>
      <c r="O120" s="59" t="s">
        <v>112</v>
      </c>
    </row>
    <row r="121" spans="1:15">
      <c r="A121" s="59">
        <v>2</v>
      </c>
      <c r="B121" s="59">
        <v>7</v>
      </c>
      <c r="C121" s="59">
        <v>144</v>
      </c>
      <c r="D121" s="59">
        <v>5</v>
      </c>
      <c r="F121" s="59" t="str">
        <f t="shared" si="3"/>
        <v>Venda</v>
      </c>
      <c r="G121" s="75">
        <v>2001</v>
      </c>
      <c r="K121" s="68">
        <v>42871.788263888891</v>
      </c>
      <c r="L121" s="73">
        <v>6.7960000000000003</v>
      </c>
      <c r="M121" s="73">
        <v>6.7960000000000003</v>
      </c>
      <c r="N121" s="71">
        <v>15.34</v>
      </c>
      <c r="O121" s="59" t="s">
        <v>112</v>
      </c>
    </row>
    <row r="122" spans="1:15">
      <c r="A122" s="59">
        <v>2</v>
      </c>
      <c r="B122" s="59">
        <v>7</v>
      </c>
      <c r="C122" s="59">
        <v>155</v>
      </c>
      <c r="D122" s="59">
        <v>0</v>
      </c>
      <c r="F122" s="59" t="str">
        <f t="shared" si="3"/>
        <v>Compra</v>
      </c>
      <c r="G122" s="75">
        <v>2075</v>
      </c>
      <c r="K122" s="68">
        <v>42822.454814814817</v>
      </c>
      <c r="L122" s="73">
        <v>22.751999999999999</v>
      </c>
      <c r="M122" s="73">
        <v>22.751999999999999</v>
      </c>
      <c r="N122" s="71">
        <v>33.31</v>
      </c>
      <c r="O122" s="59" t="s">
        <v>112</v>
      </c>
    </row>
    <row r="123" spans="1:15">
      <c r="A123" s="59">
        <v>2</v>
      </c>
      <c r="B123" s="59">
        <v>7</v>
      </c>
      <c r="C123" s="59">
        <v>156</v>
      </c>
      <c r="D123" s="59">
        <v>0</v>
      </c>
      <c r="F123" s="59" t="str">
        <f t="shared" si="3"/>
        <v>Compra</v>
      </c>
      <c r="G123" s="75">
        <v>557</v>
      </c>
      <c r="K123" s="68">
        <v>42871.778981481482</v>
      </c>
      <c r="L123" s="73">
        <v>20.390999999999998</v>
      </c>
      <c r="M123" s="73">
        <v>20.390999999999998</v>
      </c>
      <c r="N123" s="71">
        <v>15.07</v>
      </c>
      <c r="O123" s="59" t="s">
        <v>112</v>
      </c>
    </row>
    <row r="124" spans="1:15">
      <c r="A124" s="59">
        <v>2</v>
      </c>
      <c r="B124" s="59">
        <v>7</v>
      </c>
      <c r="C124" s="59">
        <v>157</v>
      </c>
      <c r="D124" s="59">
        <v>0</v>
      </c>
      <c r="F124" s="59" t="str">
        <f t="shared" si="3"/>
        <v>Compra</v>
      </c>
      <c r="G124" s="75">
        <v>667</v>
      </c>
      <c r="K124" s="68">
        <v>42871.788275462961</v>
      </c>
      <c r="L124" s="73">
        <v>20.388000000000002</v>
      </c>
      <c r="M124" s="73">
        <v>20.388000000000002</v>
      </c>
      <c r="N124" s="71">
        <v>15.34</v>
      </c>
      <c r="O124" s="59" t="s">
        <v>112</v>
      </c>
    </row>
    <row r="125" spans="1:15">
      <c r="A125" s="59">
        <v>2</v>
      </c>
      <c r="B125" s="59">
        <v>7</v>
      </c>
      <c r="C125" s="59">
        <v>162</v>
      </c>
      <c r="D125" s="59">
        <v>1</v>
      </c>
      <c r="F125" s="59" t="str">
        <f t="shared" si="3"/>
        <v>Venda</v>
      </c>
      <c r="G125" s="75">
        <v>2642</v>
      </c>
      <c r="K125" s="68">
        <v>43069.39916666667</v>
      </c>
      <c r="L125" s="73">
        <v>22.2453</v>
      </c>
      <c r="M125" s="73">
        <v>25.99</v>
      </c>
      <c r="N125" s="71">
        <v>59.61</v>
      </c>
    </row>
    <row r="126" spans="1:15">
      <c r="A126" s="59">
        <v>2</v>
      </c>
      <c r="B126" s="59">
        <v>7</v>
      </c>
      <c r="C126" s="59">
        <v>163</v>
      </c>
      <c r="D126" s="59">
        <v>1</v>
      </c>
      <c r="F126" s="59" t="str">
        <f t="shared" si="3"/>
        <v>Venda</v>
      </c>
      <c r="G126" s="75">
        <v>657</v>
      </c>
      <c r="K126" s="68">
        <v>43069.400335648148</v>
      </c>
      <c r="L126" s="73">
        <v>20.388000000000002</v>
      </c>
      <c r="M126" s="73">
        <v>25.984999999999999</v>
      </c>
      <c r="N126" s="71">
        <v>15.76</v>
      </c>
    </row>
    <row r="127" spans="1:15">
      <c r="A127" s="59">
        <v>2</v>
      </c>
      <c r="B127" s="59">
        <v>15</v>
      </c>
      <c r="C127" s="59">
        <v>124</v>
      </c>
      <c r="D127" s="59">
        <v>0</v>
      </c>
      <c r="F127" s="59" t="str">
        <f t="shared" si="3"/>
        <v>Compra</v>
      </c>
      <c r="G127" s="75">
        <v>2607.6527000000001</v>
      </c>
      <c r="K127" s="68">
        <v>42696.26803240741</v>
      </c>
      <c r="L127" s="73">
        <v>8.82</v>
      </c>
      <c r="M127" s="73">
        <v>8.82</v>
      </c>
      <c r="N127" s="71">
        <v>0</v>
      </c>
    </row>
    <row r="128" spans="1:15">
      <c r="A128" s="59">
        <v>2</v>
      </c>
      <c r="B128" s="59">
        <v>15</v>
      </c>
      <c r="C128" s="59">
        <v>160</v>
      </c>
      <c r="D128" s="59">
        <v>1</v>
      </c>
      <c r="F128" s="59" t="str">
        <f t="shared" si="3"/>
        <v>Venda</v>
      </c>
      <c r="G128" s="75">
        <v>2500</v>
      </c>
      <c r="J128" s="59">
        <v>16</v>
      </c>
      <c r="K128" s="68">
        <v>43045.551990740743</v>
      </c>
      <c r="L128" s="73">
        <v>8.82</v>
      </c>
      <c r="M128" s="73">
        <v>10.080055</v>
      </c>
    </row>
    <row r="129" spans="1:15">
      <c r="A129" s="59">
        <v>2</v>
      </c>
      <c r="B129" s="59">
        <v>15</v>
      </c>
      <c r="C129" s="59">
        <v>164</v>
      </c>
      <c r="D129" s="59">
        <v>0</v>
      </c>
      <c r="F129" s="59" t="str">
        <f t="shared" si="3"/>
        <v>Compra</v>
      </c>
      <c r="G129" s="75">
        <v>2918.857</v>
      </c>
      <c r="K129" s="68">
        <v>43109.468252314815</v>
      </c>
      <c r="L129" s="73">
        <v>10.2369</v>
      </c>
      <c r="M129" s="73">
        <v>10.236924999999999</v>
      </c>
      <c r="N129" s="71">
        <v>0</v>
      </c>
    </row>
    <row r="130" spans="1:15">
      <c r="A130" s="59">
        <v>2</v>
      </c>
      <c r="B130" s="59">
        <v>16</v>
      </c>
      <c r="C130" s="59">
        <v>161</v>
      </c>
      <c r="D130" s="59">
        <v>0</v>
      </c>
      <c r="F130" s="59" t="str">
        <f t="shared" si="3"/>
        <v>Compra</v>
      </c>
      <c r="G130" s="75">
        <v>57.306899999999999</v>
      </c>
      <c r="I130" s="59">
        <v>160</v>
      </c>
      <c r="K130" s="68">
        <v>43046.552071759259</v>
      </c>
      <c r="L130" s="73">
        <v>384.7704</v>
      </c>
      <c r="M130" s="73">
        <v>439.74</v>
      </c>
    </row>
    <row r="131" spans="1:15">
      <c r="A131" s="59">
        <v>2</v>
      </c>
      <c r="B131" s="59">
        <v>22</v>
      </c>
      <c r="C131" s="59">
        <v>112</v>
      </c>
      <c r="D131" s="59">
        <v>0</v>
      </c>
      <c r="F131" s="59" t="str">
        <f t="shared" si="3"/>
        <v>Compra</v>
      </c>
      <c r="G131" s="75">
        <v>15925</v>
      </c>
      <c r="K131" s="68">
        <v>42328.817766203705</v>
      </c>
      <c r="L131" s="73">
        <v>1.939684873</v>
      </c>
      <c r="M131" s="73">
        <v>1.939684873</v>
      </c>
    </row>
    <row r="132" spans="1:15">
      <c r="A132" s="59">
        <v>2</v>
      </c>
      <c r="B132" s="59">
        <v>22</v>
      </c>
      <c r="C132" s="59">
        <v>113</v>
      </c>
      <c r="D132" s="59">
        <v>0</v>
      </c>
      <c r="F132" s="59" t="str">
        <f t="shared" si="3"/>
        <v>Compra</v>
      </c>
      <c r="G132" s="75">
        <v>191</v>
      </c>
      <c r="K132" s="68">
        <v>42474.688692129632</v>
      </c>
      <c r="L132" s="73">
        <v>0</v>
      </c>
      <c r="M132" s="73">
        <v>0</v>
      </c>
      <c r="N132" s="71">
        <v>0</v>
      </c>
      <c r="O132" s="59" t="s">
        <v>113</v>
      </c>
    </row>
    <row r="133" spans="1:15">
      <c r="A133" s="59">
        <v>2</v>
      </c>
      <c r="B133" s="59">
        <v>22</v>
      </c>
      <c r="C133" s="59">
        <v>114</v>
      </c>
      <c r="D133" s="59">
        <v>0</v>
      </c>
      <c r="F133" s="59" t="str">
        <f t="shared" si="3"/>
        <v>Compra</v>
      </c>
      <c r="G133" s="75">
        <v>468</v>
      </c>
      <c r="K133" s="68">
        <v>42479.69158564815</v>
      </c>
      <c r="L133" s="73">
        <v>0</v>
      </c>
      <c r="M133" s="73">
        <v>0</v>
      </c>
      <c r="N133" s="71">
        <v>0</v>
      </c>
    </row>
    <row r="134" spans="1:15">
      <c r="A134" s="59">
        <v>2</v>
      </c>
      <c r="B134" s="59">
        <v>22</v>
      </c>
      <c r="C134" s="59">
        <v>115</v>
      </c>
      <c r="D134" s="59">
        <v>1</v>
      </c>
      <c r="F134" s="59" t="str">
        <f t="shared" si="3"/>
        <v>Venda</v>
      </c>
      <c r="G134" s="75">
        <v>11484</v>
      </c>
      <c r="K134" s="68">
        <v>42606.428784722222</v>
      </c>
      <c r="L134" s="73">
        <v>1.9397</v>
      </c>
      <c r="M134" s="73">
        <v>1.2090000000000001</v>
      </c>
      <c r="N134" s="71">
        <v>15.27</v>
      </c>
    </row>
    <row r="135" spans="1:15">
      <c r="A135" s="59">
        <v>2</v>
      </c>
      <c r="B135" s="59">
        <v>22</v>
      </c>
      <c r="C135" s="59">
        <v>116</v>
      </c>
      <c r="D135" s="59">
        <v>2</v>
      </c>
      <c r="F135" s="59" t="str">
        <f t="shared" si="3"/>
        <v>Venda</v>
      </c>
      <c r="G135" s="75">
        <v>0</v>
      </c>
      <c r="K135" s="68">
        <v>42370.474548611113</v>
      </c>
      <c r="M135" s="73">
        <v>0.64</v>
      </c>
      <c r="N135" s="71">
        <v>0</v>
      </c>
      <c r="O135" s="59" t="s">
        <v>114</v>
      </c>
    </row>
    <row r="136" spans="1:15">
      <c r="A136" s="59">
        <v>2</v>
      </c>
      <c r="B136" s="59">
        <v>22</v>
      </c>
      <c r="C136" s="59">
        <v>117</v>
      </c>
      <c r="D136" s="59">
        <v>2</v>
      </c>
      <c r="F136" s="59" t="str">
        <f t="shared" ref="F136:F145" si="4">IF(D136=0,"Compra","Venda")</f>
        <v>Venda</v>
      </c>
      <c r="G136" s="75">
        <v>0</v>
      </c>
      <c r="K136" s="68">
        <v>42401.474733796298</v>
      </c>
      <c r="M136" s="73">
        <v>0.32</v>
      </c>
      <c r="N136" s="71">
        <v>0</v>
      </c>
      <c r="O136" s="59" t="s">
        <v>114</v>
      </c>
    </row>
    <row r="137" spans="1:15">
      <c r="A137" s="59">
        <v>2</v>
      </c>
      <c r="B137" s="59">
        <v>22</v>
      </c>
      <c r="C137" s="59">
        <v>118</v>
      </c>
      <c r="D137" s="59">
        <v>2</v>
      </c>
      <c r="F137" s="59" t="str">
        <f t="shared" si="4"/>
        <v>Venda</v>
      </c>
      <c r="G137" s="75">
        <v>0</v>
      </c>
      <c r="K137" s="68">
        <v>42461.474942129629</v>
      </c>
      <c r="M137" s="73">
        <v>12.29</v>
      </c>
      <c r="N137" s="71">
        <v>0</v>
      </c>
      <c r="O137" s="59" t="s">
        <v>114</v>
      </c>
    </row>
    <row r="138" spans="1:15">
      <c r="A138" s="59">
        <v>2</v>
      </c>
      <c r="B138" s="59">
        <v>22</v>
      </c>
      <c r="C138" s="59">
        <v>119</v>
      </c>
      <c r="D138" s="59">
        <v>2</v>
      </c>
      <c r="F138" s="59" t="str">
        <f t="shared" si="4"/>
        <v>Venda</v>
      </c>
      <c r="G138" s="75">
        <v>0</v>
      </c>
      <c r="K138" s="68">
        <v>42491.47515046296</v>
      </c>
      <c r="M138" s="73">
        <v>18.7</v>
      </c>
      <c r="N138" s="71">
        <v>0</v>
      </c>
      <c r="O138" s="59" t="s">
        <v>114</v>
      </c>
    </row>
    <row r="139" spans="1:15">
      <c r="A139" s="59">
        <v>2</v>
      </c>
      <c r="B139" s="59">
        <v>22</v>
      </c>
      <c r="C139" s="59">
        <v>120</v>
      </c>
      <c r="D139" s="59">
        <v>2</v>
      </c>
      <c r="F139" s="59" t="str">
        <f t="shared" si="4"/>
        <v>Venda</v>
      </c>
      <c r="G139" s="75">
        <v>0</v>
      </c>
      <c r="K139" s="68">
        <v>42522.475381944445</v>
      </c>
      <c r="M139" s="73">
        <v>10.94</v>
      </c>
      <c r="N139" s="71">
        <v>0</v>
      </c>
      <c r="O139" s="59" t="s">
        <v>114</v>
      </c>
    </row>
    <row r="140" spans="1:15">
      <c r="A140" s="59">
        <v>2</v>
      </c>
      <c r="B140" s="59">
        <v>22</v>
      </c>
      <c r="C140" s="59">
        <v>121</v>
      </c>
      <c r="D140" s="59">
        <v>2</v>
      </c>
      <c r="F140" s="59" t="str">
        <f t="shared" si="4"/>
        <v>Venda</v>
      </c>
      <c r="G140" s="75">
        <v>0</v>
      </c>
      <c r="K140" s="68">
        <v>42552.475578703707</v>
      </c>
      <c r="M140" s="73">
        <v>1.4</v>
      </c>
      <c r="N140" s="71">
        <v>0</v>
      </c>
      <c r="O140" s="59" t="s">
        <v>114</v>
      </c>
    </row>
    <row r="141" spans="1:15">
      <c r="A141" s="59">
        <v>2</v>
      </c>
      <c r="B141" s="59">
        <v>22</v>
      </c>
      <c r="C141" s="59">
        <v>132</v>
      </c>
      <c r="D141" s="59">
        <v>1</v>
      </c>
      <c r="F141" s="59" t="str">
        <f t="shared" si="4"/>
        <v>Venda</v>
      </c>
      <c r="G141" s="75">
        <v>5100</v>
      </c>
      <c r="K141" s="68">
        <v>42711.564363425925</v>
      </c>
      <c r="L141" s="73">
        <v>1.6890000000000001</v>
      </c>
      <c r="M141" s="73">
        <v>1.3049999999999999</v>
      </c>
      <c r="N141" s="71">
        <v>14.62</v>
      </c>
    </row>
    <row r="142" spans="1:15">
      <c r="A142" s="59">
        <v>2</v>
      </c>
      <c r="B142" s="59">
        <v>23</v>
      </c>
      <c r="C142" s="59">
        <v>133</v>
      </c>
      <c r="D142" s="59">
        <v>0</v>
      </c>
      <c r="F142" s="59" t="str">
        <f t="shared" si="4"/>
        <v>Compra</v>
      </c>
      <c r="G142" s="75">
        <v>470</v>
      </c>
      <c r="K142" s="68">
        <v>42740.566516203704</v>
      </c>
      <c r="L142" s="73">
        <v>31.8</v>
      </c>
      <c r="M142" s="73">
        <v>31.8</v>
      </c>
      <c r="N142" s="71">
        <v>15.5</v>
      </c>
    </row>
    <row r="143" spans="1:15">
      <c r="A143" s="59">
        <v>2</v>
      </c>
      <c r="B143" s="59">
        <v>23</v>
      </c>
      <c r="C143" s="59">
        <v>141</v>
      </c>
      <c r="D143" s="59">
        <v>1</v>
      </c>
      <c r="F143" s="59" t="str">
        <f t="shared" si="4"/>
        <v>Venda</v>
      </c>
      <c r="G143" s="75">
        <v>470</v>
      </c>
      <c r="K143" s="68">
        <v>42835.433761574073</v>
      </c>
      <c r="L143" s="73">
        <v>31.6511</v>
      </c>
      <c r="M143" s="73">
        <v>33.799999999999997</v>
      </c>
      <c r="N143" s="71">
        <v>15.62</v>
      </c>
    </row>
    <row r="144" spans="1:15">
      <c r="A144" s="59">
        <v>2</v>
      </c>
      <c r="B144" s="59">
        <v>26</v>
      </c>
      <c r="C144" s="59">
        <v>158</v>
      </c>
      <c r="D144" s="59">
        <v>0</v>
      </c>
      <c r="F144" s="59" t="str">
        <f t="shared" si="4"/>
        <v>Compra</v>
      </c>
      <c r="G144" s="75">
        <v>365.86865</v>
      </c>
      <c r="K144" s="68">
        <v>41906.903368055559</v>
      </c>
      <c r="L144" s="73">
        <v>12.694599999999999</v>
      </c>
      <c r="M144" s="73">
        <v>12.69455</v>
      </c>
      <c r="N144" s="71">
        <v>0</v>
      </c>
    </row>
    <row r="145" spans="1:14">
      <c r="A145" s="59">
        <v>2</v>
      </c>
      <c r="B145" s="59">
        <v>26</v>
      </c>
      <c r="C145" s="59">
        <v>159</v>
      </c>
      <c r="D145" s="59">
        <v>0</v>
      </c>
      <c r="F145" s="59" t="str">
        <f t="shared" si="4"/>
        <v>Compra</v>
      </c>
      <c r="G145" s="75">
        <v>365.86865</v>
      </c>
      <c r="K145" s="68">
        <v>42662.903900462959</v>
      </c>
      <c r="L145" s="73">
        <v>13.118</v>
      </c>
      <c r="M145" s="73">
        <v>13.118</v>
      </c>
      <c r="N145" s="71">
        <v>0</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1:S30"/>
  <sheetViews>
    <sheetView topLeftCell="B1" workbookViewId="0">
      <pane ySplit="1" topLeftCell="A2" activePane="bottomLeft" state="frozen"/>
      <selection pane="bottomLeft" activeCell="D9" sqref="D9"/>
    </sheetView>
  </sheetViews>
  <sheetFormatPr defaultRowHeight="14.5"/>
  <cols>
    <col min="1" max="1" width="7.08984375" style="59" customWidth="1"/>
    <col min="2" max="2" width="6.90625" style="59" customWidth="1"/>
    <col min="3" max="3" width="7.90625" style="59" customWidth="1"/>
    <col min="4" max="4" width="5.7265625" style="59" customWidth="1"/>
    <col min="5" max="5" width="0" style="59" hidden="1" customWidth="1"/>
    <col min="6" max="6" width="5.7265625" style="59" customWidth="1"/>
    <col min="7" max="7" width="12.26953125" style="59" customWidth="1"/>
    <col min="8" max="12" width="10.08984375" style="75" customWidth="1"/>
    <col min="13" max="13" width="7.81640625" style="59" customWidth="1"/>
    <col min="14" max="14" width="8.08984375" style="59" customWidth="1"/>
    <col min="15" max="15" width="17" style="59" hidden="1" customWidth="1"/>
    <col min="16" max="16" width="10.08984375" style="59" customWidth="1"/>
    <col min="17" max="17" width="10.08984375" style="73" customWidth="1"/>
    <col min="18" max="18" width="10.453125" style="73" customWidth="1"/>
    <col min="19" max="19" width="30.08984375" style="59" customWidth="1"/>
    <col min="20" max="16384" width="8.7265625" style="59"/>
  </cols>
  <sheetData>
    <row r="1" spans="1:19" ht="32" customHeight="1">
      <c r="A1" s="69" t="s">
        <v>120</v>
      </c>
      <c r="B1" s="69" t="s">
        <v>121</v>
      </c>
      <c r="C1" s="69" t="s">
        <v>95</v>
      </c>
      <c r="D1" s="69" t="s">
        <v>6</v>
      </c>
      <c r="E1" s="69" t="s">
        <v>59</v>
      </c>
      <c r="F1" s="69" t="s">
        <v>117</v>
      </c>
      <c r="G1" s="69" t="s">
        <v>59</v>
      </c>
      <c r="H1" s="74" t="s">
        <v>96</v>
      </c>
      <c r="I1" s="74" t="s">
        <v>141</v>
      </c>
      <c r="J1" s="74" t="s">
        <v>131</v>
      </c>
      <c r="K1" s="74" t="s">
        <v>127</v>
      </c>
      <c r="L1" s="74" t="s">
        <v>116</v>
      </c>
      <c r="M1" s="69" t="s">
        <v>119</v>
      </c>
      <c r="N1" s="69" t="s">
        <v>118</v>
      </c>
      <c r="O1" s="69" t="s">
        <v>62</v>
      </c>
      <c r="P1" s="69" t="s">
        <v>134</v>
      </c>
      <c r="Q1" s="72" t="s">
        <v>122</v>
      </c>
      <c r="R1" s="72" t="s">
        <v>115</v>
      </c>
      <c r="S1" s="69" t="s">
        <v>98</v>
      </c>
    </row>
    <row r="2" spans="1:19">
      <c r="A2" s="59">
        <v>3</v>
      </c>
      <c r="B2" s="59">
        <v>1</v>
      </c>
      <c r="C2" s="59">
        <v>1</v>
      </c>
      <c r="D2" s="79">
        <v>30</v>
      </c>
      <c r="E2" s="59">
        <v>1</v>
      </c>
      <c r="F2" s="76"/>
      <c r="G2" s="80" t="str">
        <f>IF(E2=0,"Compra","Venda")</f>
        <v>Venda</v>
      </c>
      <c r="H2" s="75">
        <v>2404</v>
      </c>
      <c r="I2" s="75">
        <f>H2*R2</f>
        <v>44532.909999999923</v>
      </c>
      <c r="J2" s="59"/>
      <c r="L2" s="75">
        <v>1.8280000000000001</v>
      </c>
      <c r="N2" s="59">
        <v>5</v>
      </c>
      <c r="O2" s="68">
        <v>41971</v>
      </c>
      <c r="P2" s="73">
        <f>(K4*P4+K3*P3)/H2</f>
        <v>19.354115710290639</v>
      </c>
      <c r="Q2" s="73">
        <v>19.354099999999999</v>
      </c>
      <c r="R2" s="73">
        <v>18.524504991680502</v>
      </c>
      <c r="S2" s="59" t="s">
        <v>80</v>
      </c>
    </row>
    <row r="3" spans="1:19">
      <c r="A3" s="59">
        <v>2</v>
      </c>
      <c r="B3" s="59">
        <v>2</v>
      </c>
      <c r="C3" s="59">
        <v>1</v>
      </c>
      <c r="D3" s="61">
        <v>29</v>
      </c>
      <c r="E3" s="59">
        <v>0</v>
      </c>
      <c r="F3" s="76" t="str">
        <f>IF(N3&gt;0,"Si","")</f>
        <v>Si</v>
      </c>
      <c r="G3" s="20" t="str">
        <f>IF(E3=0,"Compra","Venda")</f>
        <v>Compra</v>
      </c>
      <c r="H3" s="75">
        <v>2347.326</v>
      </c>
      <c r="I3" s="75">
        <f>H3*R3</f>
        <v>42837.96</v>
      </c>
      <c r="J3" s="59">
        <f>H3</f>
        <v>2347.326</v>
      </c>
      <c r="K3" s="75">
        <v>2345.498</v>
      </c>
      <c r="L3" s="75">
        <v>2405.828</v>
      </c>
      <c r="M3" s="59">
        <v>28</v>
      </c>
      <c r="N3" s="59">
        <v>5</v>
      </c>
      <c r="O3" s="68">
        <v>41794.000011574077</v>
      </c>
      <c r="P3" s="73">
        <f>H6*P6/H3</f>
        <v>19.410506496931013</v>
      </c>
      <c r="Q3" s="73">
        <v>19.410499999999999</v>
      </c>
      <c r="R3" s="73">
        <v>18.249684960674401</v>
      </c>
      <c r="S3" s="59" t="s">
        <v>77</v>
      </c>
    </row>
    <row r="4" spans="1:19">
      <c r="A4" s="59">
        <v>1</v>
      </c>
      <c r="B4" s="59">
        <v>3</v>
      </c>
      <c r="C4" s="59">
        <v>1</v>
      </c>
      <c r="D4" s="78">
        <v>27</v>
      </c>
      <c r="E4" s="59">
        <v>0</v>
      </c>
      <c r="F4" s="76" t="str">
        <f>IF(N4&gt;0,"Si","")</f>
        <v/>
      </c>
      <c r="G4" s="81" t="str">
        <f>IF(E4=0,"Compra","Venda")</f>
        <v>Compra</v>
      </c>
      <c r="H4" s="75">
        <v>58.502000000000002</v>
      </c>
      <c r="I4" s="75">
        <f>H4*R4</f>
        <v>999.98999999999899</v>
      </c>
      <c r="J4" s="88">
        <f>H2-H3</f>
        <v>56.673999999999978</v>
      </c>
      <c r="K4" s="75">
        <v>58.502000000000002</v>
      </c>
      <c r="L4" s="75">
        <v>58.502000000000002</v>
      </c>
      <c r="O4" s="68">
        <v>41521</v>
      </c>
      <c r="P4" s="73">
        <f>R4</f>
        <v>17.093261768828398</v>
      </c>
      <c r="Q4" s="73">
        <v>17.093299999999999</v>
      </c>
      <c r="R4" s="73">
        <v>17.093261768828398</v>
      </c>
      <c r="S4" s="59" t="s">
        <v>12</v>
      </c>
    </row>
    <row r="5" spans="1:19">
      <c r="A5" s="59">
        <v>4</v>
      </c>
      <c r="B5" s="59">
        <v>4</v>
      </c>
      <c r="F5" s="76"/>
      <c r="J5" s="59"/>
      <c r="O5" s="68"/>
      <c r="P5" s="73"/>
    </row>
    <row r="6" spans="1:19">
      <c r="A6" s="59">
        <v>6</v>
      </c>
      <c r="B6" s="59">
        <v>5</v>
      </c>
      <c r="C6" s="59">
        <v>5</v>
      </c>
      <c r="D6" s="10">
        <v>28</v>
      </c>
      <c r="E6" s="59">
        <v>1</v>
      </c>
      <c r="F6" s="76"/>
      <c r="G6" s="59" t="str">
        <f>IF(E6=0,"Compra","Venda")</f>
        <v>Venda</v>
      </c>
      <c r="H6" s="75">
        <v>249</v>
      </c>
      <c r="I6" s="75">
        <f>H6*R6</f>
        <v>42837.96</v>
      </c>
      <c r="J6" s="59"/>
      <c r="L6" s="75">
        <v>0.34699999999999998</v>
      </c>
      <c r="N6" s="59">
        <v>1</v>
      </c>
      <c r="O6" s="68">
        <v>41794</v>
      </c>
      <c r="P6" s="73">
        <f>(K7*P7)/H6</f>
        <v>182.98307860809274</v>
      </c>
      <c r="Q6" s="73">
        <v>182.98320000000001</v>
      </c>
      <c r="R6" s="73">
        <v>172.04</v>
      </c>
      <c r="S6" s="59" t="s">
        <v>77</v>
      </c>
    </row>
    <row r="7" spans="1:19">
      <c r="A7" s="59">
        <v>5</v>
      </c>
      <c r="B7" s="59">
        <v>6</v>
      </c>
      <c r="C7" s="59">
        <v>5</v>
      </c>
      <c r="D7" s="61">
        <v>26</v>
      </c>
      <c r="E7" s="59">
        <v>0</v>
      </c>
      <c r="F7" s="76" t="str">
        <f>IF(N7&gt;0,"Si","")</f>
        <v>Si</v>
      </c>
      <c r="G7" s="59" t="str">
        <f>IF(E7=0,"Compra","Venda")</f>
        <v>Compra</v>
      </c>
      <c r="H7" s="75">
        <v>249.34710000000001</v>
      </c>
      <c r="I7" s="75">
        <f>H7*R7</f>
        <v>34836.279999999948</v>
      </c>
      <c r="J7" s="75">
        <f>H6</f>
        <v>249</v>
      </c>
      <c r="K7" s="75">
        <v>249</v>
      </c>
      <c r="L7" s="75">
        <v>249.34710000000001</v>
      </c>
      <c r="M7" s="59">
        <v>25</v>
      </c>
      <c r="N7" s="59">
        <v>11</v>
      </c>
      <c r="O7" s="68">
        <v>41439.000011574077</v>
      </c>
      <c r="P7" s="73">
        <f>H9*P9/H7</f>
        <v>182.98307860809274</v>
      </c>
      <c r="Q7" s="73">
        <v>182.98320000000001</v>
      </c>
      <c r="R7" s="73">
        <v>139.70998660100699</v>
      </c>
      <c r="S7" s="59" t="s">
        <v>73</v>
      </c>
    </row>
    <row r="8" spans="1:19">
      <c r="A8" s="59">
        <v>10</v>
      </c>
      <c r="B8" s="59">
        <v>7</v>
      </c>
      <c r="F8" s="76" t="str">
        <f>IF(N8&gt;0,"Si","")</f>
        <v/>
      </c>
      <c r="J8" s="59"/>
      <c r="O8" s="68"/>
      <c r="P8" s="73"/>
    </row>
    <row r="9" spans="1:19">
      <c r="A9" s="59">
        <v>14</v>
      </c>
      <c r="B9" s="59">
        <v>8</v>
      </c>
      <c r="C9" s="59">
        <v>11</v>
      </c>
      <c r="D9" s="10">
        <v>25</v>
      </c>
      <c r="E9" s="59">
        <v>1</v>
      </c>
      <c r="F9" s="76"/>
      <c r="G9" s="59" t="str">
        <f>IF(E9=0,"Compra","Venda")</f>
        <v>Venda</v>
      </c>
      <c r="H9" s="75">
        <v>1838.3261259999999</v>
      </c>
      <c r="I9" s="75">
        <f>H9*R9</f>
        <v>34836.27999999989</v>
      </c>
      <c r="J9" s="59"/>
      <c r="L9" s="75">
        <v>0</v>
      </c>
      <c r="N9" s="59">
        <v>5</v>
      </c>
      <c r="O9" s="68">
        <v>41439</v>
      </c>
      <c r="P9" s="73">
        <f>(K12*P12+K11*P11+K10*P10)/H9</f>
        <v>24.819480806312583</v>
      </c>
      <c r="Q9" s="73">
        <v>24.819500000000001</v>
      </c>
      <c r="R9" s="73">
        <v>18.949999952293499</v>
      </c>
      <c r="S9" s="59" t="s">
        <v>73</v>
      </c>
    </row>
    <row r="10" spans="1:19">
      <c r="A10" s="59">
        <v>13</v>
      </c>
      <c r="B10" s="59">
        <v>9</v>
      </c>
      <c r="C10" s="59">
        <v>11</v>
      </c>
      <c r="D10" s="61">
        <v>24</v>
      </c>
      <c r="E10" s="59">
        <v>0</v>
      </c>
      <c r="F10" s="76" t="str">
        <f>IF(N10&gt;0,"Si","")</f>
        <v>Si</v>
      </c>
      <c r="G10" s="59" t="str">
        <f>IF(E10=0,"Compra","Venda")</f>
        <v>Compra</v>
      </c>
      <c r="H10" s="75">
        <v>280.07</v>
      </c>
      <c r="I10" s="75">
        <f>H10*R10</f>
        <v>5511.7699999999786</v>
      </c>
      <c r="J10" s="75">
        <f>H10</f>
        <v>280.07</v>
      </c>
      <c r="K10" s="75">
        <v>280.07</v>
      </c>
      <c r="L10" s="75">
        <v>1838.326</v>
      </c>
      <c r="M10" s="59">
        <v>23</v>
      </c>
      <c r="N10" s="59">
        <v>10</v>
      </c>
      <c r="O10" s="68">
        <v>41383.000011574077</v>
      </c>
      <c r="P10" s="73">
        <f>H14*P14/H10</f>
        <v>55.794301424643812</v>
      </c>
      <c r="Q10" s="73">
        <v>55.794199999999996</v>
      </c>
      <c r="R10" s="73">
        <v>19.6799728639268</v>
      </c>
    </row>
    <row r="11" spans="1:19">
      <c r="A11" s="59">
        <v>12</v>
      </c>
      <c r="B11" s="59">
        <v>10</v>
      </c>
      <c r="C11" s="59">
        <v>11</v>
      </c>
      <c r="D11" s="61">
        <v>17</v>
      </c>
      <c r="E11" s="59">
        <v>0</v>
      </c>
      <c r="F11" s="76" t="str">
        <f>IF(N11&gt;0,"Si","")</f>
        <v/>
      </c>
      <c r="G11" s="77" t="str">
        <f>IF(E11=0,"Compra","Venda")</f>
        <v>Compra</v>
      </c>
      <c r="H11" s="75">
        <v>1010.611</v>
      </c>
      <c r="I11" s="75">
        <f>H11*R11</f>
        <v>19999.989999999994</v>
      </c>
      <c r="J11" s="88">
        <f>H11-H9/H7*L6</f>
        <v>1008.0527221386493</v>
      </c>
      <c r="K11" s="75">
        <v>1010.611</v>
      </c>
      <c r="L11" s="75">
        <v>1558.2560000000001</v>
      </c>
      <c r="O11" s="68">
        <v>41377</v>
      </c>
      <c r="P11" s="73">
        <f>R11</f>
        <v>19.7899983277443</v>
      </c>
      <c r="Q11" s="73">
        <v>19.79</v>
      </c>
      <c r="R11" s="73">
        <v>19.7899983277443</v>
      </c>
    </row>
    <row r="12" spans="1:19">
      <c r="A12" s="59">
        <v>11</v>
      </c>
      <c r="B12" s="59">
        <v>11</v>
      </c>
      <c r="C12" s="59">
        <v>11</v>
      </c>
      <c r="D12" s="61">
        <v>16</v>
      </c>
      <c r="E12" s="59">
        <v>0</v>
      </c>
      <c r="F12" s="76" t="str">
        <f>IF(N12&gt;0,"Si","")</f>
        <v/>
      </c>
      <c r="G12" s="77" t="str">
        <f>IF(E12=0,"Compra","Venda")</f>
        <v>Compra</v>
      </c>
      <c r="H12" s="75">
        <v>547.645126</v>
      </c>
      <c r="I12" s="75">
        <f>H12*R12</f>
        <v>9999.9999999999782</v>
      </c>
      <c r="J12" s="59">
        <f>H12</f>
        <v>547.645126</v>
      </c>
      <c r="K12" s="75">
        <v>547.645126</v>
      </c>
      <c r="L12" s="75">
        <v>547.645126</v>
      </c>
      <c r="O12" s="68">
        <v>41166</v>
      </c>
      <c r="P12" s="73">
        <f>R12</f>
        <v>18.259999998612201</v>
      </c>
      <c r="Q12" s="73">
        <v>18.260000000000002</v>
      </c>
      <c r="R12" s="73">
        <v>18.259999998612201</v>
      </c>
      <c r="S12" s="59" t="s">
        <v>12</v>
      </c>
    </row>
    <row r="13" spans="1:19">
      <c r="A13" s="59">
        <v>7</v>
      </c>
      <c r="B13" s="59">
        <v>12</v>
      </c>
      <c r="F13" s="76" t="str">
        <f>IF(N13&gt;0,"Si","")</f>
        <v/>
      </c>
      <c r="J13" s="59"/>
      <c r="O13" s="68"/>
      <c r="P13" s="73"/>
    </row>
    <row r="14" spans="1:19">
      <c r="A14" s="59">
        <v>9</v>
      </c>
      <c r="B14" s="59">
        <v>13</v>
      </c>
      <c r="C14" s="59">
        <v>10</v>
      </c>
      <c r="D14" s="10">
        <v>23</v>
      </c>
      <c r="E14" s="59">
        <v>1</v>
      </c>
      <c r="F14" s="76"/>
      <c r="G14" s="59" t="str">
        <f>IF(E14=0,"Compra","Venda")</f>
        <v>Venda</v>
      </c>
      <c r="H14" s="75">
        <v>679.64</v>
      </c>
      <c r="I14" s="75">
        <f>H14*R14</f>
        <v>5511.77</v>
      </c>
      <c r="J14" s="59"/>
      <c r="L14" s="75">
        <v>0</v>
      </c>
      <c r="N14" s="59">
        <v>11</v>
      </c>
      <c r="O14" s="68">
        <v>41383</v>
      </c>
      <c r="P14" s="73">
        <f>P15</f>
        <v>22.9920399034783</v>
      </c>
      <c r="Q14" s="73">
        <v>22.992000000000001</v>
      </c>
      <c r="R14" s="73">
        <v>8.1098375610617399</v>
      </c>
      <c r="S14" s="59" t="s">
        <v>25</v>
      </c>
    </row>
    <row r="15" spans="1:19">
      <c r="A15" s="59">
        <v>8</v>
      </c>
      <c r="B15" s="59">
        <v>14</v>
      </c>
      <c r="C15" s="59">
        <v>10</v>
      </c>
      <c r="D15" s="61">
        <v>15</v>
      </c>
      <c r="E15" s="59">
        <v>0</v>
      </c>
      <c r="F15" s="76" t="str">
        <f>IF(N15&gt;0,"Si","")</f>
        <v/>
      </c>
      <c r="G15" s="77" t="str">
        <f>IF(E15=0,"Compra","Venda")</f>
        <v>Compra</v>
      </c>
      <c r="H15" s="75">
        <v>679.64</v>
      </c>
      <c r="I15" s="75">
        <f>H15*R15</f>
        <v>15626.309999999992</v>
      </c>
      <c r="J15" s="75">
        <f>H15</f>
        <v>679.64</v>
      </c>
      <c r="K15" s="75">
        <v>679.64</v>
      </c>
      <c r="L15" s="75">
        <v>679.64</v>
      </c>
      <c r="O15" s="68">
        <v>36841</v>
      </c>
      <c r="P15" s="73">
        <f>R15</f>
        <v>22.9920399034783</v>
      </c>
      <c r="Q15" s="73">
        <v>22.992000000000001</v>
      </c>
      <c r="R15" s="73">
        <v>22.9920399034783</v>
      </c>
      <c r="S15" s="59" t="s">
        <v>66</v>
      </c>
    </row>
    <row r="16" spans="1:19">
      <c r="P16" s="73"/>
    </row>
    <row r="17" spans="6:19">
      <c r="F17" s="59" t="str">
        <f>IF(N16&gt;0,"Si","")</f>
        <v/>
      </c>
      <c r="G17" s="60">
        <f>H2*Q2+L2*Q3</f>
        <v>46562.738793999997</v>
      </c>
      <c r="H17" s="75" t="s">
        <v>130</v>
      </c>
      <c r="K17" s="85"/>
      <c r="Q17" s="87"/>
      <c r="S17" s="80" t="s">
        <v>128</v>
      </c>
    </row>
    <row r="18" spans="6:19">
      <c r="Q18" s="87"/>
      <c r="S18" s="10" t="s">
        <v>126</v>
      </c>
    </row>
    <row r="19" spans="6:19">
      <c r="G19" s="60">
        <f>K4*R4+K12*R12+K11*R11+K15*R15</f>
        <v>46626.289999999964</v>
      </c>
      <c r="H19" s="75" t="s">
        <v>129</v>
      </c>
      <c r="S19" s="61" t="s">
        <v>124</v>
      </c>
    </row>
    <row r="20" spans="6:19">
      <c r="G20" s="83">
        <f>G19-G17</f>
        <v>63.551205999967351</v>
      </c>
      <c r="H20" s="84" t="s">
        <v>132</v>
      </c>
      <c r="I20" s="84"/>
      <c r="S20" s="77" t="s">
        <v>125</v>
      </c>
    </row>
    <row r="21" spans="6:19">
      <c r="L21" s="73"/>
      <c r="N21" s="82"/>
      <c r="S21" s="88" t="s">
        <v>135</v>
      </c>
    </row>
    <row r="22" spans="6:19">
      <c r="G22" s="60">
        <f>J4*R4+J12*R12+J11*R11+J15*R15</f>
        <v>46544.415202888507</v>
      </c>
      <c r="H22" s="75" t="s">
        <v>133</v>
      </c>
    </row>
    <row r="23" spans="6:19">
      <c r="G23" s="83">
        <f>G22-G17</f>
        <v>-18.323591111489804</v>
      </c>
      <c r="H23" s="84" t="s">
        <v>132</v>
      </c>
      <c r="I23" s="84"/>
      <c r="S23" s="60"/>
    </row>
    <row r="25" spans="6:19">
      <c r="G25" s="73"/>
    </row>
    <row r="26" spans="6:19">
      <c r="G26" s="75" t="s">
        <v>136</v>
      </c>
    </row>
    <row r="27" spans="6:19">
      <c r="G27" s="59" t="s">
        <v>137</v>
      </c>
    </row>
    <row r="28" spans="6:19">
      <c r="G28" s="59" t="s">
        <v>138</v>
      </c>
    </row>
    <row r="29" spans="6:19">
      <c r="G29" s="59" t="s">
        <v>139</v>
      </c>
      <c r="K29" s="86"/>
    </row>
    <row r="30" spans="6:19">
      <c r="G30" s="59" t="s">
        <v>140</v>
      </c>
    </row>
  </sheetData>
  <sortState ref="A2:P25">
    <sortCondition ref="B2:B25"/>
  </sortState>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dimension ref="A1:O27"/>
  <sheetViews>
    <sheetView workbookViewId="0">
      <pane ySplit="1" topLeftCell="A2" activePane="bottomLeft" state="frozen"/>
      <selection pane="bottomLeft" sqref="A1:XFD1"/>
    </sheetView>
  </sheetViews>
  <sheetFormatPr defaultRowHeight="14.5"/>
  <cols>
    <col min="1" max="1" width="7.08984375" style="59" customWidth="1"/>
    <col min="2" max="2" width="6.90625" style="59" customWidth="1"/>
    <col min="3" max="3" width="7.90625" style="59" customWidth="1"/>
    <col min="4" max="4" width="5.7265625" style="59" customWidth="1"/>
    <col min="5" max="5" width="0" style="59" hidden="1" customWidth="1"/>
    <col min="6" max="6" width="5.7265625" style="59" customWidth="1"/>
    <col min="7" max="7" width="12.26953125" style="59" customWidth="1"/>
    <col min="8" max="9" width="10.08984375" style="75" customWidth="1"/>
    <col min="10" max="10" width="7.81640625" style="59" customWidth="1"/>
    <col min="11" max="11" width="8.08984375" style="59" customWidth="1"/>
    <col min="12" max="12" width="17" style="59" hidden="1" customWidth="1"/>
    <col min="13" max="13" width="10.08984375" style="73" customWidth="1"/>
    <col min="14" max="14" width="10.453125" style="73" customWidth="1"/>
    <col min="15" max="15" width="30.08984375" style="59" customWidth="1"/>
    <col min="16" max="16384" width="8.7265625" style="59"/>
  </cols>
  <sheetData>
    <row r="1" spans="1:15" ht="32" customHeight="1">
      <c r="A1" s="69" t="s">
        <v>120</v>
      </c>
      <c r="B1" s="69" t="s">
        <v>121</v>
      </c>
      <c r="C1" s="69" t="s">
        <v>95</v>
      </c>
      <c r="D1" s="69" t="s">
        <v>6</v>
      </c>
      <c r="E1" s="69" t="s">
        <v>59</v>
      </c>
      <c r="F1" s="69" t="s">
        <v>117</v>
      </c>
      <c r="G1" s="69" t="s">
        <v>59</v>
      </c>
      <c r="H1" s="74" t="s">
        <v>96</v>
      </c>
      <c r="I1" s="74" t="s">
        <v>127</v>
      </c>
      <c r="J1" s="69" t="s">
        <v>119</v>
      </c>
      <c r="K1" s="69" t="s">
        <v>118</v>
      </c>
      <c r="L1" s="69" t="s">
        <v>62</v>
      </c>
      <c r="M1" s="72" t="s">
        <v>122</v>
      </c>
      <c r="N1" s="72" t="s">
        <v>115</v>
      </c>
      <c r="O1" s="69" t="s">
        <v>98</v>
      </c>
    </row>
    <row r="2" spans="1:15">
      <c r="A2" s="59">
        <v>3</v>
      </c>
      <c r="B2" s="59">
        <v>1</v>
      </c>
      <c r="C2" s="59">
        <v>1</v>
      </c>
      <c r="D2" s="79">
        <v>30</v>
      </c>
      <c r="E2" s="59">
        <v>1</v>
      </c>
      <c r="F2" s="76"/>
      <c r="G2" s="80" t="str">
        <f>IF(E2=0,"Compra","Venda")</f>
        <v>Venda</v>
      </c>
      <c r="H2" s="75">
        <v>2404</v>
      </c>
      <c r="I2" s="75">
        <f>H2</f>
        <v>2404</v>
      </c>
      <c r="K2" s="59">
        <v>5</v>
      </c>
      <c r="L2" s="68">
        <v>41971</v>
      </c>
      <c r="M2" s="73">
        <v>19.354099999999999</v>
      </c>
      <c r="N2" s="73">
        <v>18.524504991680502</v>
      </c>
      <c r="O2" s="59" t="s">
        <v>80</v>
      </c>
    </row>
    <row r="3" spans="1:15">
      <c r="A3" s="59">
        <v>2</v>
      </c>
      <c r="B3" s="59">
        <v>2</v>
      </c>
      <c r="C3" s="59">
        <v>1</v>
      </c>
      <c r="D3" s="61">
        <v>29</v>
      </c>
      <c r="E3" s="59">
        <v>0</v>
      </c>
      <c r="F3" s="76" t="str">
        <f>IF(K3&gt;0,"Si","")</f>
        <v>Si</v>
      </c>
      <c r="G3" s="20" t="str">
        <f>IF(E3=0,"Compra","Venda")</f>
        <v>Compra</v>
      </c>
      <c r="H3" s="75">
        <v>2347.326</v>
      </c>
      <c r="I3" s="75">
        <f>H3</f>
        <v>2347.326</v>
      </c>
      <c r="J3" s="59">
        <v>28</v>
      </c>
      <c r="K3" s="59">
        <v>5</v>
      </c>
      <c r="L3" s="68">
        <v>41794.000011574077</v>
      </c>
      <c r="M3" s="73">
        <v>19.410499999999999</v>
      </c>
      <c r="N3" s="73">
        <v>18.249684960674401</v>
      </c>
      <c r="O3" s="59" t="s">
        <v>77</v>
      </c>
    </row>
    <row r="4" spans="1:15">
      <c r="A4" s="59">
        <v>1</v>
      </c>
      <c r="B4" s="59">
        <v>3</v>
      </c>
      <c r="C4" s="59">
        <v>1</v>
      </c>
      <c r="D4" s="78">
        <v>27</v>
      </c>
      <c r="E4" s="59">
        <v>0</v>
      </c>
      <c r="F4" s="76" t="str">
        <f>IF(K4&gt;0,"Si","")</f>
        <v/>
      </c>
      <c r="G4" s="81" t="str">
        <f>IF(E4=0,"Compra","Venda")</f>
        <v>Compra</v>
      </c>
      <c r="H4" s="75">
        <v>58.502000000000002</v>
      </c>
      <c r="I4" s="88">
        <f>I2-I3</f>
        <v>56.673999999999978</v>
      </c>
      <c r="L4" s="68">
        <v>41521</v>
      </c>
      <c r="M4" s="73">
        <v>17.093299999999999</v>
      </c>
      <c r="N4" s="73">
        <v>17.093261768828398</v>
      </c>
      <c r="O4" s="59" t="s">
        <v>12</v>
      </c>
    </row>
    <row r="5" spans="1:15">
      <c r="A5" s="59">
        <v>4</v>
      </c>
      <c r="B5" s="59">
        <v>4</v>
      </c>
      <c r="F5" s="76"/>
      <c r="I5" s="59"/>
      <c r="L5" s="68"/>
    </row>
    <row r="6" spans="1:15">
      <c r="A6" s="59">
        <v>6</v>
      </c>
      <c r="B6" s="59">
        <v>5</v>
      </c>
      <c r="C6" s="59">
        <v>5</v>
      </c>
      <c r="D6" s="10">
        <v>28</v>
      </c>
      <c r="E6" s="59">
        <v>1</v>
      </c>
      <c r="F6" s="76"/>
      <c r="G6" s="59" t="str">
        <f>IF(E6=0,"Compra","Venda")</f>
        <v>Venda</v>
      </c>
      <c r="H6" s="75">
        <v>249</v>
      </c>
      <c r="I6" s="75">
        <f>I3/H3*H6</f>
        <v>249</v>
      </c>
      <c r="K6" s="59">
        <v>1</v>
      </c>
      <c r="L6" s="68">
        <v>41794</v>
      </c>
      <c r="M6" s="73">
        <v>182.98320000000001</v>
      </c>
      <c r="N6" s="73">
        <v>172.04</v>
      </c>
      <c r="O6" s="59" t="s">
        <v>77</v>
      </c>
    </row>
    <row r="7" spans="1:15">
      <c r="A7" s="59">
        <v>5</v>
      </c>
      <c r="B7" s="59">
        <v>6</v>
      </c>
      <c r="C7" s="59">
        <v>5</v>
      </c>
      <c r="D7" s="61">
        <v>26</v>
      </c>
      <c r="E7" s="59">
        <v>0</v>
      </c>
      <c r="F7" s="76" t="str">
        <f>IF(K7&gt;0,"Si","")</f>
        <v>Si</v>
      </c>
      <c r="G7" s="59" t="str">
        <f>IF(E7=0,"Compra","Venda")</f>
        <v>Compra</v>
      </c>
      <c r="H7" s="75">
        <v>249.34710000000001</v>
      </c>
      <c r="I7" s="88">
        <f>I6</f>
        <v>249</v>
      </c>
      <c r="J7" s="59">
        <v>25</v>
      </c>
      <c r="K7" s="59">
        <v>11</v>
      </c>
      <c r="L7" s="68">
        <v>41439.000011574077</v>
      </c>
      <c r="M7" s="73">
        <v>182.98320000000001</v>
      </c>
      <c r="N7" s="73">
        <v>139.70998660100699</v>
      </c>
      <c r="O7" s="59" t="s">
        <v>73</v>
      </c>
    </row>
    <row r="8" spans="1:15">
      <c r="A8" s="59">
        <v>10</v>
      </c>
      <c r="B8" s="59">
        <v>7</v>
      </c>
      <c r="F8" s="76" t="str">
        <f>IF(K8&gt;0,"Si","")</f>
        <v/>
      </c>
      <c r="I8" s="59"/>
      <c r="L8" s="68"/>
    </row>
    <row r="9" spans="1:15">
      <c r="A9" s="59">
        <v>14</v>
      </c>
      <c r="B9" s="59">
        <v>8</v>
      </c>
      <c r="C9" s="59">
        <v>11</v>
      </c>
      <c r="D9" s="10">
        <v>25</v>
      </c>
      <c r="E9" s="59">
        <v>1</v>
      </c>
      <c r="F9" s="76"/>
      <c r="G9" s="59" t="str">
        <f>IF(E9=0,"Compra","Venda")</f>
        <v>Venda</v>
      </c>
      <c r="H9" s="75">
        <v>1838.3261259999999</v>
      </c>
      <c r="I9" s="89">
        <f>I7/H7*H9</f>
        <v>1835.7671108827813</v>
      </c>
      <c r="K9" s="59">
        <v>5</v>
      </c>
      <c r="L9" s="68">
        <v>41439</v>
      </c>
      <c r="M9" s="73">
        <v>24.819500000000001</v>
      </c>
      <c r="N9" s="73">
        <v>18.949999952293499</v>
      </c>
      <c r="O9" s="59" t="s">
        <v>73</v>
      </c>
    </row>
    <row r="10" spans="1:15">
      <c r="A10" s="59">
        <v>13</v>
      </c>
      <c r="B10" s="59">
        <v>9</v>
      </c>
      <c r="C10" s="59">
        <v>11</v>
      </c>
      <c r="D10" s="61">
        <v>24</v>
      </c>
      <c r="E10" s="59">
        <v>0</v>
      </c>
      <c r="F10" s="76" t="str">
        <f>IF(K10&gt;0,"Si","")</f>
        <v>Si</v>
      </c>
      <c r="G10" s="59" t="str">
        <f>IF(E10=0,"Compra","Venda")</f>
        <v>Compra</v>
      </c>
      <c r="H10" s="75">
        <v>280.07</v>
      </c>
      <c r="I10" s="75">
        <f>H10</f>
        <v>280.07</v>
      </c>
      <c r="J10" s="59">
        <v>23</v>
      </c>
      <c r="K10" s="59">
        <v>10</v>
      </c>
      <c r="L10" s="68">
        <v>41383.000011574077</v>
      </c>
      <c r="M10" s="73">
        <v>55.794199999999996</v>
      </c>
      <c r="N10" s="73">
        <v>19.6799728639268</v>
      </c>
    </row>
    <row r="11" spans="1:15">
      <c r="A11" s="59">
        <v>12</v>
      </c>
      <c r="B11" s="59">
        <v>10</v>
      </c>
      <c r="C11" s="59">
        <v>11</v>
      </c>
      <c r="D11" s="61">
        <v>17</v>
      </c>
      <c r="E11" s="59">
        <v>0</v>
      </c>
      <c r="F11" s="76" t="str">
        <f>IF(K11&gt;0,"Si","")</f>
        <v/>
      </c>
      <c r="G11" s="77" t="str">
        <f>IF(E11=0,"Compra","Venda")</f>
        <v>Compra</v>
      </c>
      <c r="H11" s="75">
        <v>1010.611</v>
      </c>
      <c r="I11" s="88">
        <f>I9-I10-I12</f>
        <v>1008.0519848827813</v>
      </c>
      <c r="L11" s="68">
        <v>41377</v>
      </c>
      <c r="M11" s="73">
        <v>19.79</v>
      </c>
      <c r="N11" s="73">
        <v>19.7899983277443</v>
      </c>
    </row>
    <row r="12" spans="1:15">
      <c r="A12" s="59">
        <v>11</v>
      </c>
      <c r="B12" s="59">
        <v>11</v>
      </c>
      <c r="C12" s="59">
        <v>11</v>
      </c>
      <c r="D12" s="61">
        <v>16</v>
      </c>
      <c r="E12" s="59">
        <v>0</v>
      </c>
      <c r="F12" s="76" t="str">
        <f>IF(K12&gt;0,"Si","")</f>
        <v/>
      </c>
      <c r="G12" s="77" t="str">
        <f>IF(E12=0,"Compra","Venda")</f>
        <v>Compra</v>
      </c>
      <c r="H12" s="75">
        <v>547.645126</v>
      </c>
      <c r="I12" s="75">
        <f>H12</f>
        <v>547.645126</v>
      </c>
      <c r="L12" s="68">
        <v>41166</v>
      </c>
      <c r="M12" s="73">
        <v>18.260000000000002</v>
      </c>
      <c r="N12" s="73">
        <v>18.259999998612201</v>
      </c>
      <c r="O12" s="59" t="s">
        <v>12</v>
      </c>
    </row>
    <row r="13" spans="1:15">
      <c r="A13" s="59">
        <v>7</v>
      </c>
      <c r="B13" s="59">
        <v>12</v>
      </c>
      <c r="F13" s="76" t="str">
        <f>IF(K13&gt;0,"Si","")</f>
        <v/>
      </c>
      <c r="I13" s="59"/>
      <c r="L13" s="68"/>
    </row>
    <row r="14" spans="1:15">
      <c r="A14" s="59">
        <v>9</v>
      </c>
      <c r="B14" s="59">
        <v>13</v>
      </c>
      <c r="C14" s="59">
        <v>10</v>
      </c>
      <c r="D14" s="10">
        <v>23</v>
      </c>
      <c r="E14" s="59">
        <v>1</v>
      </c>
      <c r="F14" s="76"/>
      <c r="G14" s="59" t="str">
        <f>IF(E14=0,"Compra","Venda")</f>
        <v>Venda</v>
      </c>
      <c r="H14" s="75">
        <v>679.64</v>
      </c>
      <c r="I14" s="59">
        <f>I10/H10*H14</f>
        <v>679.64</v>
      </c>
      <c r="K14" s="59">
        <v>11</v>
      </c>
      <c r="L14" s="68">
        <v>41383</v>
      </c>
      <c r="M14" s="73">
        <v>22.992000000000001</v>
      </c>
      <c r="N14" s="73">
        <v>8.1098375610617399</v>
      </c>
      <c r="O14" s="59" t="s">
        <v>25</v>
      </c>
    </row>
    <row r="15" spans="1:15">
      <c r="A15" s="59">
        <v>8</v>
      </c>
      <c r="B15" s="59">
        <v>14</v>
      </c>
      <c r="C15" s="59">
        <v>10</v>
      </c>
      <c r="D15" s="61">
        <v>15</v>
      </c>
      <c r="E15" s="59">
        <v>0</v>
      </c>
      <c r="F15" s="76" t="str">
        <f>IF(K15&gt;0,"Si","")</f>
        <v/>
      </c>
      <c r="G15" s="77" t="str">
        <f>IF(E15=0,"Compra","Venda")</f>
        <v>Compra</v>
      </c>
      <c r="H15" s="75">
        <v>679.64</v>
      </c>
      <c r="I15" s="59">
        <f>I14</f>
        <v>679.64</v>
      </c>
      <c r="L15" s="68">
        <v>36841</v>
      </c>
      <c r="M15" s="73">
        <v>22.992000000000001</v>
      </c>
      <c r="N15" s="73">
        <v>22.9920399034783</v>
      </c>
      <c r="O15" s="59" t="s">
        <v>66</v>
      </c>
    </row>
    <row r="17" spans="6:15">
      <c r="F17" s="59" t="str">
        <f>IF(K16&gt;0,"Si","")</f>
        <v/>
      </c>
      <c r="G17" s="60">
        <f>H2*M2</f>
        <v>46527.256399999998</v>
      </c>
      <c r="H17" s="75" t="s">
        <v>130</v>
      </c>
      <c r="M17" s="87"/>
      <c r="O17" s="80" t="s">
        <v>128</v>
      </c>
    </row>
    <row r="18" spans="6:15">
      <c r="G18" s="60">
        <f>I15*N15+I12*N12+I11*N11+I4*N4</f>
        <v>46544.400612596117</v>
      </c>
      <c r="H18" s="75" t="s">
        <v>129</v>
      </c>
      <c r="M18" s="87"/>
      <c r="O18" s="10" t="s">
        <v>126</v>
      </c>
    </row>
    <row r="19" spans="6:15">
      <c r="G19" s="83">
        <f>G18-G17</f>
        <v>17.14421259611845</v>
      </c>
      <c r="H19" s="84" t="s">
        <v>132</v>
      </c>
      <c r="O19" s="61" t="s">
        <v>124</v>
      </c>
    </row>
    <row r="20" spans="6:15">
      <c r="O20" s="77" t="s">
        <v>125</v>
      </c>
    </row>
    <row r="21" spans="6:15">
      <c r="K21" s="82"/>
      <c r="O21" s="88" t="s">
        <v>142</v>
      </c>
    </row>
    <row r="22" spans="6:15">
      <c r="G22" s="73"/>
    </row>
    <row r="23" spans="6:15">
      <c r="G23" s="75" t="s">
        <v>136</v>
      </c>
    </row>
    <row r="24" spans="6:15">
      <c r="G24" s="59" t="s">
        <v>137</v>
      </c>
    </row>
    <row r="25" spans="6:15">
      <c r="G25" s="59" t="s">
        <v>138</v>
      </c>
    </row>
    <row r="26" spans="6:15">
      <c r="G26" s="59" t="s">
        <v>139</v>
      </c>
    </row>
    <row r="27" spans="6:15">
      <c r="G27" s="59" t="s">
        <v>140</v>
      </c>
    </row>
  </sheetData>
  <pageMargins left="0.7" right="0.7" top="0.75" bottom="0.75" header="0.3" footer="0.3"/>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dimension ref="A1:R16"/>
  <sheetViews>
    <sheetView tabSelected="1" workbookViewId="0">
      <pane ySplit="1" topLeftCell="A2" activePane="bottomLeft" state="frozen"/>
      <selection pane="bottomLeft" activeCell="C18" sqref="C18"/>
    </sheetView>
  </sheetViews>
  <sheetFormatPr defaultRowHeight="14.5"/>
  <cols>
    <col min="1" max="1" width="12.453125" style="64" customWidth="1"/>
    <col min="4" max="4" width="8.7265625" style="76"/>
    <col min="5" max="6" width="7.54296875" style="76" customWidth="1"/>
    <col min="7" max="7" width="8.7265625" style="93"/>
    <col min="8" max="8" width="2.08984375" customWidth="1"/>
    <col min="10" max="10" width="5.08984375" style="59" customWidth="1"/>
    <col min="11" max="12" width="8.7265625" style="91"/>
    <col min="13" max="13" width="2.08984375" style="59" customWidth="1"/>
    <col min="15" max="15" width="5.08984375" style="59" customWidth="1"/>
    <col min="16" max="17" width="8.7265625" style="91"/>
    <col min="20" max="20" width="22.26953125" customWidth="1"/>
  </cols>
  <sheetData>
    <row r="1" spans="1:18" s="59" customFormat="1" ht="46" customHeight="1" thickBot="1">
      <c r="A1" s="90" t="s">
        <v>115</v>
      </c>
      <c r="B1" s="69" t="s">
        <v>146</v>
      </c>
      <c r="C1" s="69" t="s">
        <v>6</v>
      </c>
      <c r="D1" s="69" t="s">
        <v>147</v>
      </c>
      <c r="E1" s="69" t="s">
        <v>117</v>
      </c>
      <c r="F1" s="69" t="s">
        <v>145</v>
      </c>
      <c r="G1" s="92" t="s">
        <v>96</v>
      </c>
      <c r="H1" s="117">
        <v>1</v>
      </c>
      <c r="I1" s="122" t="s">
        <v>147</v>
      </c>
      <c r="J1" s="123" t="s">
        <v>28</v>
      </c>
      <c r="K1" s="124" t="s">
        <v>148</v>
      </c>
      <c r="L1" s="125" t="s">
        <v>149</v>
      </c>
      <c r="M1" s="117">
        <v>2</v>
      </c>
      <c r="N1" s="122" t="s">
        <v>147</v>
      </c>
      <c r="O1" s="123" t="s">
        <v>150</v>
      </c>
      <c r="P1" s="124" t="s">
        <v>148</v>
      </c>
      <c r="Q1" s="125" t="s">
        <v>149</v>
      </c>
    </row>
    <row r="2" spans="1:18">
      <c r="A2" s="115">
        <v>10</v>
      </c>
      <c r="B2" s="111">
        <v>1</v>
      </c>
      <c r="C2" s="112">
        <v>1</v>
      </c>
      <c r="D2" s="113" t="s">
        <v>0</v>
      </c>
      <c r="E2" s="113" t="s">
        <v>143</v>
      </c>
      <c r="F2" s="113"/>
      <c r="G2" s="114">
        <v>2</v>
      </c>
      <c r="H2" s="112"/>
      <c r="I2" s="106">
        <v>1</v>
      </c>
      <c r="J2" s="106"/>
      <c r="K2" s="110">
        <v>2</v>
      </c>
      <c r="L2" s="110">
        <v>2</v>
      </c>
      <c r="M2" s="112"/>
      <c r="N2" s="105">
        <v>1</v>
      </c>
      <c r="O2" s="106">
        <v>3</v>
      </c>
      <c r="P2" s="110">
        <v>0</v>
      </c>
      <c r="Q2" s="110">
        <v>0</v>
      </c>
    </row>
    <row r="3" spans="1:18">
      <c r="A3" s="115">
        <v>15</v>
      </c>
      <c r="B3" s="111">
        <v>1</v>
      </c>
      <c r="C3" s="112">
        <v>2</v>
      </c>
      <c r="D3" s="113" t="s">
        <v>0</v>
      </c>
      <c r="E3" s="113" t="s">
        <v>143</v>
      </c>
      <c r="F3" s="113"/>
      <c r="G3" s="114">
        <v>10</v>
      </c>
      <c r="H3" s="112"/>
      <c r="I3" s="112">
        <v>2</v>
      </c>
      <c r="J3" s="112"/>
      <c r="K3" s="116">
        <v>10</v>
      </c>
      <c r="L3" s="116">
        <v>10</v>
      </c>
      <c r="M3" s="112"/>
      <c r="N3" s="111">
        <v>2</v>
      </c>
      <c r="O3" s="112">
        <v>3</v>
      </c>
      <c r="P3" s="116">
        <v>4</v>
      </c>
      <c r="Q3" s="116">
        <v>4</v>
      </c>
    </row>
    <row r="4" spans="1:18">
      <c r="A4" s="64">
        <v>12</v>
      </c>
      <c r="B4">
        <v>1</v>
      </c>
      <c r="C4">
        <v>3</v>
      </c>
      <c r="D4" s="119" t="s">
        <v>1</v>
      </c>
      <c r="E4" s="76" t="s">
        <v>144</v>
      </c>
      <c r="F4" s="76">
        <f>C7</f>
        <v>5</v>
      </c>
      <c r="G4" s="93">
        <v>8</v>
      </c>
    </row>
    <row r="6" spans="1:18" s="59" customFormat="1">
      <c r="A6" s="98">
        <v>4</v>
      </c>
      <c r="B6" s="94">
        <v>2</v>
      </c>
      <c r="C6" s="95">
        <v>4</v>
      </c>
      <c r="D6" s="96" t="s">
        <v>0</v>
      </c>
      <c r="E6" s="96" t="s">
        <v>143</v>
      </c>
      <c r="F6" s="96"/>
      <c r="G6" s="97">
        <v>5</v>
      </c>
      <c r="H6" s="95"/>
      <c r="I6" s="95">
        <v>4</v>
      </c>
      <c r="J6" s="95"/>
      <c r="K6" s="120">
        <v>5</v>
      </c>
      <c r="L6" s="120">
        <f>G6</f>
        <v>5</v>
      </c>
      <c r="M6" s="95"/>
      <c r="N6" s="95"/>
      <c r="O6" s="95"/>
      <c r="P6" s="99">
        <v>3</v>
      </c>
      <c r="Q6" s="120"/>
    </row>
    <row r="7" spans="1:18">
      <c r="A7" s="98">
        <f>G4*A4/G7</f>
        <v>9.6</v>
      </c>
      <c r="B7" s="94">
        <v>2</v>
      </c>
      <c r="C7" s="95">
        <v>5</v>
      </c>
      <c r="D7" s="96" t="s">
        <v>0</v>
      </c>
      <c r="E7" s="96" t="s">
        <v>144</v>
      </c>
      <c r="F7" s="96">
        <f>C4</f>
        <v>3</v>
      </c>
      <c r="G7" s="97">
        <v>10</v>
      </c>
      <c r="H7" s="95"/>
      <c r="I7" s="95"/>
      <c r="J7" s="95"/>
      <c r="K7" s="99"/>
      <c r="L7" s="99"/>
      <c r="M7" s="95"/>
      <c r="N7" s="95"/>
      <c r="O7" s="95"/>
      <c r="P7" s="99"/>
      <c r="Q7" s="99"/>
    </row>
    <row r="8" spans="1:18">
      <c r="A8" s="103"/>
      <c r="B8" s="100"/>
      <c r="C8" s="20"/>
      <c r="D8" s="101"/>
      <c r="E8" s="101"/>
      <c r="F8" s="101"/>
      <c r="G8" s="102"/>
      <c r="H8" s="20"/>
      <c r="I8" s="20">
        <v>1</v>
      </c>
      <c r="J8" s="20">
        <v>5</v>
      </c>
      <c r="K8" s="104">
        <f>G7/G4*L8</f>
        <v>2.5</v>
      </c>
      <c r="L8" s="104">
        <f>G2</f>
        <v>2</v>
      </c>
      <c r="M8" s="20"/>
      <c r="N8" s="20">
        <v>1</v>
      </c>
      <c r="O8" s="20">
        <v>7</v>
      </c>
      <c r="P8" s="91">
        <v>0</v>
      </c>
      <c r="Q8" s="104">
        <v>0</v>
      </c>
      <c r="R8" s="91"/>
    </row>
    <row r="9" spans="1:18">
      <c r="A9" s="109"/>
      <c r="B9" s="105"/>
      <c r="C9" s="106"/>
      <c r="D9" s="107"/>
      <c r="E9" s="107"/>
      <c r="F9" s="107"/>
      <c r="G9" s="108"/>
      <c r="H9" s="106"/>
      <c r="I9" s="106">
        <v>2</v>
      </c>
      <c r="J9" s="106">
        <v>5</v>
      </c>
      <c r="K9" s="110">
        <f>G7/G4*L9</f>
        <v>7.5</v>
      </c>
      <c r="L9" s="110">
        <f>G4-L8</f>
        <v>6</v>
      </c>
      <c r="M9" s="106"/>
      <c r="N9" s="106">
        <v>2</v>
      </c>
      <c r="O9" s="106">
        <v>7</v>
      </c>
      <c r="P9" s="91">
        <f>K9-(G10-K8)</f>
        <v>2</v>
      </c>
      <c r="Q9" s="110">
        <f>L9/K9*P9</f>
        <v>1.6</v>
      </c>
    </row>
    <row r="10" spans="1:18">
      <c r="A10" s="115">
        <v>7</v>
      </c>
      <c r="B10" s="111">
        <v>2</v>
      </c>
      <c r="C10" s="112">
        <v>6</v>
      </c>
      <c r="D10" s="113" t="s">
        <v>0</v>
      </c>
      <c r="E10" s="113" t="s">
        <v>143</v>
      </c>
      <c r="F10" s="113"/>
      <c r="G10" s="114">
        <v>8</v>
      </c>
      <c r="H10" s="112"/>
      <c r="I10" s="112">
        <v>6</v>
      </c>
      <c r="J10" s="112"/>
      <c r="K10" s="116">
        <v>8</v>
      </c>
      <c r="L10" s="116">
        <f>G10</f>
        <v>8</v>
      </c>
      <c r="M10" s="112"/>
      <c r="N10" s="112"/>
      <c r="O10" s="112"/>
      <c r="Q10" s="116"/>
    </row>
    <row r="11" spans="1:18">
      <c r="A11" s="109">
        <v>10</v>
      </c>
      <c r="B11" s="105">
        <v>2</v>
      </c>
      <c r="C11" s="106">
        <v>7</v>
      </c>
      <c r="D11" s="121" t="s">
        <v>1</v>
      </c>
      <c r="E11" s="107" t="s">
        <v>144</v>
      </c>
      <c r="F11" s="107">
        <f>C13</f>
        <v>8</v>
      </c>
      <c r="G11" s="108">
        <v>8</v>
      </c>
      <c r="H11" s="106"/>
      <c r="K11" s="118"/>
      <c r="L11" s="118"/>
      <c r="M11" s="106"/>
      <c r="N11" s="106"/>
      <c r="P11" s="110"/>
      <c r="Q11" s="118"/>
    </row>
    <row r="13" spans="1:18">
      <c r="A13" s="64">
        <f>A11*G11/G13</f>
        <v>1.6</v>
      </c>
      <c r="B13">
        <v>3</v>
      </c>
      <c r="C13">
        <v>8</v>
      </c>
      <c r="D13" s="76" t="s">
        <v>0</v>
      </c>
      <c r="E13" s="76" t="s">
        <v>144</v>
      </c>
      <c r="F13" s="76">
        <f>C11</f>
        <v>7</v>
      </c>
      <c r="G13" s="93">
        <v>50</v>
      </c>
      <c r="I13" s="59"/>
      <c r="L13" s="59"/>
      <c r="N13" s="59"/>
      <c r="P13" s="59"/>
      <c r="Q13" s="59"/>
    </row>
    <row r="14" spans="1:18">
      <c r="I14" s="20">
        <v>1</v>
      </c>
      <c r="J14" s="20">
        <v>5</v>
      </c>
      <c r="K14" s="59">
        <f>G13/G10*K8</f>
        <v>15.625</v>
      </c>
      <c r="L14" s="104">
        <v>2</v>
      </c>
    </row>
    <row r="15" spans="1:18">
      <c r="I15" s="106">
        <v>2</v>
      </c>
      <c r="J15" s="106">
        <v>5</v>
      </c>
      <c r="K15" s="110">
        <f>G13/G10*(G10-K8)</f>
        <v>34.375</v>
      </c>
      <c r="L15" s="110">
        <f>L9-Q9</f>
        <v>4.4000000000000004</v>
      </c>
    </row>
    <row r="16" spans="1:18">
      <c r="K16" s="91">
        <f>SUM(K14:K15)</f>
        <v>50</v>
      </c>
    </row>
  </sheetData>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dimension ref="A1:M14"/>
  <sheetViews>
    <sheetView workbookViewId="0">
      <pane ySplit="1" topLeftCell="A2" activePane="bottomLeft" state="frozen"/>
      <selection pane="bottomLeft" activeCell="I3" sqref="I3"/>
    </sheetView>
  </sheetViews>
  <sheetFormatPr defaultRowHeight="14.5"/>
  <cols>
    <col min="7" max="7" width="12.7265625" customWidth="1"/>
    <col min="9" max="9" width="10.6328125" customWidth="1"/>
    <col min="11" max="12" width="8.7265625" style="40"/>
  </cols>
  <sheetData>
    <row r="1" spans="1:13">
      <c r="A1" s="38" t="s">
        <v>62</v>
      </c>
      <c r="B1" s="38" t="s">
        <v>6</v>
      </c>
      <c r="C1" s="38" t="s">
        <v>83</v>
      </c>
      <c r="D1" s="38" t="s">
        <v>84</v>
      </c>
      <c r="E1" s="38" t="s">
        <v>85</v>
      </c>
      <c r="F1" s="38" t="s">
        <v>86</v>
      </c>
      <c r="G1" s="38" t="s">
        <v>87</v>
      </c>
      <c r="H1" s="38" t="s">
        <v>7</v>
      </c>
      <c r="I1" s="38" t="s">
        <v>88</v>
      </c>
      <c r="J1" s="38" t="s">
        <v>8</v>
      </c>
      <c r="K1" s="41"/>
      <c r="L1" s="41"/>
      <c r="M1" s="38"/>
    </row>
    <row r="2" spans="1:13">
      <c r="A2" s="39" t="s">
        <v>75</v>
      </c>
      <c r="B2" s="39">
        <v>27</v>
      </c>
      <c r="C2" s="39">
        <v>1</v>
      </c>
      <c r="D2" s="39">
        <v>1</v>
      </c>
      <c r="E2" s="39" t="s">
        <v>89</v>
      </c>
      <c r="F2" s="39"/>
      <c r="G2" s="39"/>
      <c r="H2" s="39">
        <v>58.502000000000002</v>
      </c>
      <c r="I2" s="39">
        <v>17.093299999999999</v>
      </c>
      <c r="J2" s="39">
        <v>17.093261768828398</v>
      </c>
      <c r="K2" s="42"/>
      <c r="L2" s="42"/>
      <c r="M2" s="39" t="s">
        <v>12</v>
      </c>
    </row>
    <row r="3" spans="1:13">
      <c r="A3" t="s">
        <v>81</v>
      </c>
      <c r="B3">
        <v>31</v>
      </c>
      <c r="C3">
        <v>1</v>
      </c>
      <c r="D3">
        <v>5</v>
      </c>
      <c r="E3" s="37" t="s">
        <v>91</v>
      </c>
      <c r="F3">
        <v>1</v>
      </c>
      <c r="G3">
        <v>30</v>
      </c>
      <c r="H3">
        <v>264.18049999999999</v>
      </c>
      <c r="I3">
        <v>176.11920000000001</v>
      </c>
      <c r="J3">
        <v>168.570011791181</v>
      </c>
      <c r="M3" t="s">
        <v>80</v>
      </c>
    </row>
    <row r="4" spans="1:13">
      <c r="A4" s="40" t="s">
        <v>79</v>
      </c>
      <c r="B4" s="40">
        <v>30</v>
      </c>
      <c r="C4" s="40">
        <v>1</v>
      </c>
      <c r="D4" s="40">
        <v>1</v>
      </c>
      <c r="E4" s="40" t="s">
        <v>90</v>
      </c>
      <c r="F4" s="40">
        <v>5</v>
      </c>
      <c r="G4" s="40"/>
      <c r="H4" s="40">
        <v>2404</v>
      </c>
      <c r="I4" s="40">
        <v>19.354099999999999</v>
      </c>
      <c r="J4" s="40">
        <v>18.524504991680502</v>
      </c>
      <c r="M4" s="40" t="s">
        <v>80</v>
      </c>
    </row>
    <row r="5" spans="1:13">
      <c r="A5" s="40" t="s">
        <v>78</v>
      </c>
      <c r="B5" s="40">
        <v>29</v>
      </c>
      <c r="C5" s="40">
        <v>1</v>
      </c>
      <c r="D5" s="40">
        <v>1</v>
      </c>
      <c r="E5" s="40" t="s">
        <v>91</v>
      </c>
      <c r="F5" s="40">
        <v>5</v>
      </c>
      <c r="G5" s="40">
        <v>28</v>
      </c>
      <c r="H5" s="40">
        <v>2347.326</v>
      </c>
      <c r="I5" s="40">
        <v>19.410499999999999</v>
      </c>
      <c r="J5" s="40">
        <v>18.249684960674401</v>
      </c>
      <c r="M5" s="40" t="s">
        <v>77</v>
      </c>
    </row>
    <row r="6" spans="1:13">
      <c r="A6" t="s">
        <v>74</v>
      </c>
      <c r="B6">
        <v>26</v>
      </c>
      <c r="C6">
        <v>1</v>
      </c>
      <c r="D6">
        <v>5</v>
      </c>
      <c r="E6" s="37" t="s">
        <v>91</v>
      </c>
      <c r="F6">
        <v>11</v>
      </c>
      <c r="G6">
        <v>25</v>
      </c>
      <c r="H6">
        <v>249.34710000000001</v>
      </c>
      <c r="I6">
        <v>182.98320000000001</v>
      </c>
      <c r="J6">
        <v>139.70998660100699</v>
      </c>
      <c r="M6" t="s">
        <v>73</v>
      </c>
    </row>
    <row r="7" spans="1:13">
      <c r="A7" t="s">
        <v>76</v>
      </c>
      <c r="B7">
        <v>28</v>
      </c>
      <c r="C7">
        <v>1</v>
      </c>
      <c r="D7">
        <v>5</v>
      </c>
      <c r="E7" s="37" t="s">
        <v>90</v>
      </c>
      <c r="F7">
        <v>1</v>
      </c>
      <c r="H7">
        <v>249</v>
      </c>
      <c r="I7">
        <v>182.98320000000001</v>
      </c>
      <c r="J7">
        <v>172.04</v>
      </c>
      <c r="M7" t="s">
        <v>77</v>
      </c>
    </row>
    <row r="8" spans="1:13">
      <c r="A8" t="s">
        <v>82</v>
      </c>
      <c r="B8">
        <v>91</v>
      </c>
      <c r="C8">
        <v>1</v>
      </c>
      <c r="D8">
        <v>5</v>
      </c>
      <c r="E8" s="37" t="s">
        <v>90</v>
      </c>
      <c r="F8">
        <v>1</v>
      </c>
      <c r="H8">
        <v>259.52999999999997</v>
      </c>
      <c r="I8">
        <v>176.1284</v>
      </c>
      <c r="J8">
        <v>207.11000655030301</v>
      </c>
      <c r="M8" t="s">
        <v>64</v>
      </c>
    </row>
    <row r="9" spans="1:13">
      <c r="A9" s="39" t="s">
        <v>65</v>
      </c>
      <c r="B9" s="39">
        <v>15</v>
      </c>
      <c r="C9" s="39">
        <v>1</v>
      </c>
      <c r="D9" s="39">
        <v>10</v>
      </c>
      <c r="E9" s="39" t="s">
        <v>89</v>
      </c>
      <c r="F9" s="39"/>
      <c r="G9" s="39"/>
      <c r="H9" s="39">
        <v>679.64</v>
      </c>
      <c r="I9" s="39">
        <v>22.992000000000001</v>
      </c>
      <c r="J9" s="39">
        <v>22.9920399034783</v>
      </c>
      <c r="K9" s="42"/>
      <c r="L9" s="42"/>
      <c r="M9" s="39" t="s">
        <v>66</v>
      </c>
    </row>
    <row r="10" spans="1:13">
      <c r="A10" t="s">
        <v>69</v>
      </c>
      <c r="B10">
        <v>23</v>
      </c>
      <c r="C10">
        <v>1</v>
      </c>
      <c r="D10">
        <v>10</v>
      </c>
      <c r="E10" s="37" t="s">
        <v>90</v>
      </c>
      <c r="F10">
        <v>11</v>
      </c>
      <c r="H10">
        <v>679.64</v>
      </c>
      <c r="I10">
        <v>22.992000000000001</v>
      </c>
      <c r="J10">
        <v>8.1098375610617399</v>
      </c>
      <c r="M10" t="s">
        <v>25</v>
      </c>
    </row>
    <row r="11" spans="1:13">
      <c r="A11" s="42" t="s">
        <v>67</v>
      </c>
      <c r="B11" s="42">
        <v>16</v>
      </c>
      <c r="C11" s="42">
        <v>1</v>
      </c>
      <c r="D11" s="42">
        <v>11</v>
      </c>
      <c r="E11" s="42" t="s">
        <v>89</v>
      </c>
      <c r="F11" s="42"/>
      <c r="G11" s="42"/>
      <c r="H11" s="42">
        <v>547.645126</v>
      </c>
      <c r="I11" s="42">
        <v>18.260000000000002</v>
      </c>
      <c r="J11" s="42">
        <v>18.259999998612201</v>
      </c>
      <c r="K11" s="42"/>
      <c r="L11" s="42"/>
      <c r="M11" s="42" t="s">
        <v>12</v>
      </c>
    </row>
    <row r="12" spans="1:13">
      <c r="A12" s="42" t="s">
        <v>68</v>
      </c>
      <c r="B12" s="42">
        <v>17</v>
      </c>
      <c r="C12" s="42">
        <v>1</v>
      </c>
      <c r="D12" s="42">
        <v>11</v>
      </c>
      <c r="E12" s="42" t="s">
        <v>89</v>
      </c>
      <c r="F12" s="42"/>
      <c r="G12" s="42"/>
      <c r="H12" s="42">
        <v>1010.611</v>
      </c>
      <c r="I12" s="42">
        <v>19.79</v>
      </c>
      <c r="J12" s="42">
        <v>19.7899983277443</v>
      </c>
      <c r="K12" s="42"/>
      <c r="L12" s="42"/>
      <c r="M12" s="42" t="s">
        <v>64</v>
      </c>
    </row>
    <row r="13" spans="1:13">
      <c r="A13" t="s">
        <v>70</v>
      </c>
      <c r="B13">
        <v>24</v>
      </c>
      <c r="C13">
        <v>1</v>
      </c>
      <c r="D13">
        <v>11</v>
      </c>
      <c r="E13" s="37" t="s">
        <v>91</v>
      </c>
      <c r="F13">
        <v>10</v>
      </c>
      <c r="G13">
        <v>23</v>
      </c>
      <c r="H13">
        <v>280.07</v>
      </c>
      <c r="I13">
        <v>55.794199999999996</v>
      </c>
      <c r="J13">
        <v>19.679972863926899</v>
      </c>
      <c r="M13" t="s">
        <v>71</v>
      </c>
    </row>
    <row r="14" spans="1:13">
      <c r="A14" t="s">
        <v>72</v>
      </c>
      <c r="B14">
        <v>25</v>
      </c>
      <c r="C14">
        <v>1</v>
      </c>
      <c r="D14">
        <v>11</v>
      </c>
      <c r="E14" s="37" t="s">
        <v>90</v>
      </c>
      <c r="F14">
        <v>5</v>
      </c>
      <c r="H14">
        <v>1838.3261259999999</v>
      </c>
      <c r="I14">
        <v>24.819500000000001</v>
      </c>
      <c r="J14">
        <v>18.949999952293599</v>
      </c>
      <c r="M14" t="s">
        <v>73</v>
      </c>
    </row>
  </sheetData>
  <sortState ref="B2:L14">
    <sortCondition ref="D2:D14"/>
  </sortState>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dimension ref="A1:M26"/>
  <sheetViews>
    <sheetView workbookViewId="0">
      <pane ySplit="1" topLeftCell="A2" activePane="bottomLeft" state="frozen"/>
      <selection pane="bottomLeft" activeCell="J4" sqref="J4"/>
    </sheetView>
  </sheetViews>
  <sheetFormatPr defaultRowHeight="14.5"/>
  <cols>
    <col min="3" max="3" width="15.54296875" customWidth="1"/>
    <col min="4" max="4" width="9.6328125" customWidth="1"/>
    <col min="5" max="5" width="10.36328125" customWidth="1"/>
    <col min="8" max="9" width="9.36328125" hidden="1" customWidth="1"/>
    <col min="10" max="10" width="9.36328125" style="40" customWidth="1"/>
    <col min="12" max="12" width="11.36328125" customWidth="1"/>
    <col min="13" max="13" width="11.26953125" bestFit="1" customWidth="1"/>
  </cols>
  <sheetData>
    <row r="1" spans="1:13">
      <c r="A1" s="5" t="s">
        <v>53</v>
      </c>
      <c r="B1" s="5" t="s">
        <v>6</v>
      </c>
      <c r="C1" s="5" t="s">
        <v>47</v>
      </c>
      <c r="D1" s="5" t="s">
        <v>59</v>
      </c>
      <c r="E1" s="5" t="s">
        <v>62</v>
      </c>
      <c r="F1" s="5" t="s">
        <v>7</v>
      </c>
      <c r="G1" s="5" t="s">
        <v>8</v>
      </c>
      <c r="H1" s="5" t="s">
        <v>9</v>
      </c>
      <c r="I1" s="5" t="s">
        <v>10</v>
      </c>
      <c r="J1" s="38" t="s">
        <v>92</v>
      </c>
      <c r="K1" s="5" t="s">
        <v>58</v>
      </c>
      <c r="L1" s="5" t="s">
        <v>63</v>
      </c>
      <c r="M1" s="5"/>
    </row>
    <row r="2" spans="1:13">
      <c r="A2" s="18" t="s">
        <v>22</v>
      </c>
      <c r="B2" s="21">
        <v>91</v>
      </c>
      <c r="C2" s="21">
        <v>1</v>
      </c>
      <c r="D2" s="21" t="s">
        <v>5</v>
      </c>
      <c r="E2" s="22">
        <v>42201</v>
      </c>
      <c r="F2" s="21">
        <v>259.52999999999997</v>
      </c>
      <c r="G2" s="23">
        <v>207.11</v>
      </c>
      <c r="H2" s="23">
        <v>53751.26</v>
      </c>
      <c r="I2" s="23">
        <v>53751.26</v>
      </c>
      <c r="J2" s="63">
        <v>176.1284</v>
      </c>
      <c r="K2" s="25">
        <f>F2</f>
        <v>259.52999999999997</v>
      </c>
      <c r="L2" s="24"/>
      <c r="M2" s="62">
        <f t="shared" ref="M2:M7" si="0">J2*K2</f>
        <v>45710.603651999998</v>
      </c>
    </row>
    <row r="3" spans="1:13">
      <c r="A3" s="18" t="s">
        <v>22</v>
      </c>
      <c r="B3">
        <v>26</v>
      </c>
      <c r="C3">
        <v>2</v>
      </c>
      <c r="D3" t="s">
        <v>2</v>
      </c>
      <c r="E3" s="1">
        <v>41439</v>
      </c>
      <c r="F3">
        <v>249.34710000000001</v>
      </c>
      <c r="G3" s="12">
        <v>139.71</v>
      </c>
      <c r="H3" s="12">
        <v>34836.28</v>
      </c>
      <c r="J3" s="43">
        <v>182.98320000000001</v>
      </c>
      <c r="K3">
        <f>Sheet2!E3-Sheet2!E4</f>
        <v>0.34710000000001173</v>
      </c>
      <c r="L3">
        <f>F3-K3</f>
        <v>249</v>
      </c>
      <c r="M3" s="62">
        <f t="shared" si="0"/>
        <v>63.513468720002152</v>
      </c>
    </row>
    <row r="4" spans="1:13">
      <c r="A4" s="18" t="s">
        <v>23</v>
      </c>
      <c r="B4">
        <v>25</v>
      </c>
      <c r="C4">
        <v>3</v>
      </c>
      <c r="D4" t="s">
        <v>5</v>
      </c>
      <c r="E4" s="1">
        <v>41439</v>
      </c>
      <c r="F4">
        <v>1838.3261</v>
      </c>
      <c r="G4" s="12">
        <v>18.95</v>
      </c>
      <c r="H4" s="12">
        <v>34836.28</v>
      </c>
      <c r="J4" s="44">
        <v>24.819500000000001</v>
      </c>
      <c r="K4">
        <f>K3/F3*F4</f>
        <v>2.5590150810256929</v>
      </c>
      <c r="M4" s="35">
        <f t="shared" si="0"/>
        <v>63.513474803517191</v>
      </c>
    </row>
    <row r="5" spans="1:13">
      <c r="A5" s="18" t="s">
        <v>23</v>
      </c>
      <c r="B5">
        <v>24</v>
      </c>
      <c r="C5">
        <v>4</v>
      </c>
      <c r="D5" t="s">
        <v>2</v>
      </c>
      <c r="E5" s="1">
        <v>41383</v>
      </c>
      <c r="F5">
        <v>280.07</v>
      </c>
      <c r="G5" s="12">
        <v>19.68</v>
      </c>
      <c r="J5" s="45">
        <v>55.794199999999996</v>
      </c>
      <c r="K5">
        <f>K4</f>
        <v>2.5590150810256929</v>
      </c>
      <c r="L5">
        <f>F5-K5</f>
        <v>277.51098491897432</v>
      </c>
      <c r="M5" s="35">
        <f t="shared" si="0"/>
        <v>142.7781992337637</v>
      </c>
    </row>
    <row r="6" spans="1:13">
      <c r="A6" s="34" t="s">
        <v>24</v>
      </c>
      <c r="B6" s="28">
        <v>23</v>
      </c>
      <c r="C6" s="28">
        <v>5</v>
      </c>
      <c r="D6" s="28" t="s">
        <v>5</v>
      </c>
      <c r="E6" s="29">
        <v>41383</v>
      </c>
      <c r="F6" s="28">
        <v>679.64</v>
      </c>
      <c r="G6" s="32">
        <v>8.11</v>
      </c>
      <c r="H6" s="12">
        <v>5511.77</v>
      </c>
      <c r="J6" s="46">
        <v>22.992000000000001</v>
      </c>
      <c r="K6">
        <f>K5/F5*F6</f>
        <v>6.2099082717474277</v>
      </c>
      <c r="M6" s="62">
        <f t="shared" si="0"/>
        <v>142.77821098401685</v>
      </c>
    </row>
    <row r="7" spans="1:13">
      <c r="A7" s="34" t="s">
        <v>24</v>
      </c>
      <c r="B7" s="30">
        <v>15</v>
      </c>
      <c r="C7" s="30">
        <v>6</v>
      </c>
      <c r="D7" s="30" t="s">
        <v>0</v>
      </c>
      <c r="E7" s="31">
        <v>36841</v>
      </c>
      <c r="F7" s="30">
        <v>679.64</v>
      </c>
      <c r="G7" s="33">
        <v>22.992000000000001</v>
      </c>
      <c r="H7" s="14">
        <v>15626.31</v>
      </c>
      <c r="J7" s="47">
        <v>22.992000000000001</v>
      </c>
      <c r="K7" s="6">
        <f>K6</f>
        <v>6.2099082717474277</v>
      </c>
      <c r="L7" s="28">
        <f>F7-K7</f>
        <v>673.43009172825259</v>
      </c>
      <c r="M7" s="62">
        <f t="shared" si="0"/>
        <v>142.77821098401685</v>
      </c>
    </row>
    <row r="8" spans="1:13">
      <c r="A8" s="34" t="s">
        <v>22</v>
      </c>
      <c r="B8" s="28">
        <v>31</v>
      </c>
      <c r="C8" s="28">
        <v>7</v>
      </c>
      <c r="D8" s="28" t="s">
        <v>2</v>
      </c>
      <c r="E8" s="29">
        <v>41976</v>
      </c>
      <c r="F8" s="28">
        <v>264.18049999999999</v>
      </c>
      <c r="G8" s="32">
        <v>168.57</v>
      </c>
      <c r="J8" s="48">
        <v>176.11920000000001</v>
      </c>
      <c r="K8">
        <f>F2-K3</f>
        <v>259.18289999999996</v>
      </c>
      <c r="L8" s="28">
        <f>F8-K8</f>
        <v>4.997600000000034</v>
      </c>
      <c r="M8" s="62"/>
    </row>
    <row r="9" spans="1:13">
      <c r="A9" s="34" t="s">
        <v>18</v>
      </c>
      <c r="B9" s="28">
        <v>30</v>
      </c>
      <c r="C9" s="28">
        <v>8</v>
      </c>
      <c r="D9" s="28" t="s">
        <v>5</v>
      </c>
      <c r="E9" s="29">
        <v>41971</v>
      </c>
      <c r="F9" s="28">
        <v>2404</v>
      </c>
      <c r="G9" s="32">
        <v>18.524999999999999</v>
      </c>
      <c r="H9" s="12">
        <v>44532.91</v>
      </c>
      <c r="J9" s="49">
        <v>19.354099999999999</v>
      </c>
      <c r="K9" s="28">
        <f>K8/F8*F9</f>
        <v>2358.5226449340503</v>
      </c>
      <c r="L9" s="28"/>
      <c r="M9" s="62"/>
    </row>
    <row r="10" spans="1:13">
      <c r="A10" s="34" t="s">
        <v>18</v>
      </c>
      <c r="B10" s="30">
        <v>27</v>
      </c>
      <c r="C10" s="30">
        <v>9</v>
      </c>
      <c r="D10" s="30" t="s">
        <v>0</v>
      </c>
      <c r="E10" s="31">
        <v>41521</v>
      </c>
      <c r="F10" s="30">
        <v>58.502000000000002</v>
      </c>
      <c r="G10" s="33">
        <v>17.093</v>
      </c>
      <c r="H10" s="14">
        <v>999.99</v>
      </c>
      <c r="J10" s="50">
        <v>17.093299999999999</v>
      </c>
      <c r="K10" s="6">
        <f>F10</f>
        <v>58.502000000000002</v>
      </c>
      <c r="L10" s="28">
        <f t="shared" ref="L10:L19" si="1">F10-K10</f>
        <v>0</v>
      </c>
      <c r="M10" s="62"/>
    </row>
    <row r="11" spans="1:13">
      <c r="A11" s="34" t="s">
        <v>18</v>
      </c>
      <c r="B11" s="28">
        <v>29</v>
      </c>
      <c r="C11" s="28">
        <v>10</v>
      </c>
      <c r="D11" s="28" t="s">
        <v>2</v>
      </c>
      <c r="E11" s="29">
        <v>41794</v>
      </c>
      <c r="F11" s="28">
        <v>2347.326</v>
      </c>
      <c r="G11" s="32">
        <v>18.25</v>
      </c>
      <c r="H11" s="12">
        <v>42837.96</v>
      </c>
      <c r="J11" s="51">
        <v>19.410499999999999</v>
      </c>
      <c r="K11">
        <f>K9-K10</f>
        <v>2300.0206449340503</v>
      </c>
      <c r="L11" s="28">
        <f t="shared" si="1"/>
        <v>47.305355065949698</v>
      </c>
      <c r="M11" s="62"/>
    </row>
    <row r="12" spans="1:13">
      <c r="A12" s="34" t="s">
        <v>22</v>
      </c>
      <c r="B12" s="28">
        <v>28</v>
      </c>
      <c r="C12" s="28">
        <v>11</v>
      </c>
      <c r="D12" s="28" t="s">
        <v>5</v>
      </c>
      <c r="E12" s="29">
        <v>41794</v>
      </c>
      <c r="F12" s="28">
        <v>249</v>
      </c>
      <c r="G12" s="32">
        <v>172.04</v>
      </c>
      <c r="J12" s="52">
        <v>182.98320000000001</v>
      </c>
      <c r="K12" s="28">
        <f>K11/F11*F12</f>
        <v>243.98193543997661</v>
      </c>
      <c r="M12" s="62"/>
    </row>
    <row r="13" spans="1:13">
      <c r="A13" s="34" t="s">
        <v>22</v>
      </c>
      <c r="B13" s="28">
        <v>26</v>
      </c>
      <c r="C13" s="28">
        <v>12</v>
      </c>
      <c r="D13" s="28" t="s">
        <v>2</v>
      </c>
      <c r="E13" s="29">
        <v>41439</v>
      </c>
      <c r="F13" s="28">
        <v>249.34710000000001</v>
      </c>
      <c r="G13" s="32">
        <v>139.71</v>
      </c>
      <c r="J13" s="53">
        <v>182.98320000000001</v>
      </c>
      <c r="K13">
        <f>K12</f>
        <v>243.98193543997661</v>
      </c>
      <c r="L13" s="28">
        <f t="shared" si="1"/>
        <v>5.3651645600234019</v>
      </c>
      <c r="M13" s="62"/>
    </row>
    <row r="14" spans="1:13">
      <c r="A14" s="34" t="s">
        <v>23</v>
      </c>
      <c r="B14" s="28">
        <v>25</v>
      </c>
      <c r="C14" s="28">
        <v>13</v>
      </c>
      <c r="D14" s="28" t="s">
        <v>5</v>
      </c>
      <c r="E14" s="29">
        <v>41439</v>
      </c>
      <c r="F14" s="28">
        <v>1838.3261</v>
      </c>
      <c r="G14" s="32">
        <v>18.95</v>
      </c>
      <c r="J14" s="54">
        <v>24.819500000000001</v>
      </c>
      <c r="K14" s="28">
        <f>K13/F13*F14</f>
        <v>1798.77111002223</v>
      </c>
      <c r="M14" s="62"/>
    </row>
    <row r="15" spans="1:13">
      <c r="A15" s="34" t="s">
        <v>23</v>
      </c>
      <c r="B15" s="30">
        <v>16</v>
      </c>
      <c r="C15" s="30">
        <v>14</v>
      </c>
      <c r="D15" s="30" t="s">
        <v>0</v>
      </c>
      <c r="E15" s="31">
        <v>41166</v>
      </c>
      <c r="F15" s="30">
        <v>547.64509999999996</v>
      </c>
      <c r="G15" s="33">
        <v>18.260000000000002</v>
      </c>
      <c r="H15" s="14">
        <v>10000</v>
      </c>
      <c r="J15" s="55">
        <v>18.260000000000002</v>
      </c>
      <c r="K15" s="6">
        <f>F15</f>
        <v>547.64509999999996</v>
      </c>
      <c r="L15" s="28">
        <f t="shared" si="1"/>
        <v>0</v>
      </c>
      <c r="M15" s="62"/>
    </row>
    <row r="16" spans="1:13">
      <c r="A16" s="34" t="s">
        <v>23</v>
      </c>
      <c r="B16" s="30">
        <v>17</v>
      </c>
      <c r="C16" s="30">
        <v>15</v>
      </c>
      <c r="D16" s="30" t="s">
        <v>0</v>
      </c>
      <c r="E16" s="31">
        <v>41377</v>
      </c>
      <c r="F16" s="30">
        <v>1010.611</v>
      </c>
      <c r="G16" s="33">
        <v>19.79</v>
      </c>
      <c r="H16" s="14">
        <v>19999.990000000002</v>
      </c>
      <c r="J16" s="56">
        <v>19.79</v>
      </c>
      <c r="K16" s="6">
        <f>F16</f>
        <v>1010.611</v>
      </c>
      <c r="L16" s="28">
        <f t="shared" si="1"/>
        <v>0</v>
      </c>
      <c r="M16" s="62"/>
    </row>
    <row r="17" spans="1:13">
      <c r="A17" s="34" t="s">
        <v>23</v>
      </c>
      <c r="B17" s="28">
        <v>24</v>
      </c>
      <c r="C17" s="28">
        <v>16</v>
      </c>
      <c r="D17" s="28" t="s">
        <v>2</v>
      </c>
      <c r="E17" s="29">
        <v>41383</v>
      </c>
      <c r="F17" s="28">
        <v>280.07</v>
      </c>
      <c r="G17" s="32">
        <v>19.68</v>
      </c>
      <c r="H17" s="12">
        <v>34836.28</v>
      </c>
      <c r="J17" s="57">
        <v>55.794199999999996</v>
      </c>
      <c r="K17">
        <f>+K14-K15-K16</f>
        <v>240.51501002223006</v>
      </c>
      <c r="L17" s="28">
        <f t="shared" si="1"/>
        <v>39.554989977769935</v>
      </c>
      <c r="M17" s="62"/>
    </row>
    <row r="18" spans="1:13">
      <c r="A18" s="34" t="s">
        <v>24</v>
      </c>
      <c r="B18" s="28">
        <v>23</v>
      </c>
      <c r="C18" s="28">
        <v>17</v>
      </c>
      <c r="D18" s="28" t="s">
        <v>5</v>
      </c>
      <c r="E18" s="29">
        <v>41383</v>
      </c>
      <c r="F18" s="28">
        <v>679.64</v>
      </c>
      <c r="G18" s="32">
        <v>8.11</v>
      </c>
      <c r="J18" s="58">
        <v>22.992000000000001</v>
      </c>
      <c r="K18" s="28">
        <f>K17/F17*F18</f>
        <v>583.65273471456578</v>
      </c>
      <c r="M18" s="62"/>
    </row>
    <row r="19" spans="1:13">
      <c r="A19" s="34" t="s">
        <v>24</v>
      </c>
      <c r="B19" s="30">
        <v>15</v>
      </c>
      <c r="C19" s="30">
        <v>18</v>
      </c>
      <c r="D19" s="30" t="s">
        <v>0</v>
      </c>
      <c r="E19" s="31">
        <v>36841</v>
      </c>
      <c r="F19" s="30">
        <v>679.64</v>
      </c>
      <c r="G19" s="33">
        <v>22.992000000000001</v>
      </c>
      <c r="H19" s="14">
        <v>15626.31</v>
      </c>
      <c r="J19" s="61">
        <v>22.992000000000001</v>
      </c>
      <c r="K19" s="6">
        <f>K18</f>
        <v>583.65273471456578</v>
      </c>
      <c r="L19" s="28">
        <f t="shared" si="1"/>
        <v>95.987265285434205</v>
      </c>
      <c r="M19" s="62"/>
    </row>
    <row r="20" spans="1:13">
      <c r="H20" s="12">
        <v>5511.77</v>
      </c>
    </row>
    <row r="21" spans="1:13">
      <c r="F21" t="str">
        <f>A7</f>
        <v>Bolsa Tecnología y Telecomunicaciones FI</v>
      </c>
      <c r="G21" s="32">
        <f>G7</f>
        <v>22.992000000000001</v>
      </c>
      <c r="H21" s="12">
        <v>5511.77</v>
      </c>
      <c r="K21">
        <f>+K7</f>
        <v>6.2099082717474277</v>
      </c>
      <c r="L21" s="32">
        <f>G21*K21</f>
        <v>142.77821098401685</v>
      </c>
    </row>
    <row r="22" spans="1:13">
      <c r="F22" s="28" t="str">
        <f>A10</f>
        <v>Optimal Income</v>
      </c>
      <c r="G22" s="32">
        <f>G10</f>
        <v>17.093</v>
      </c>
      <c r="H22" s="32">
        <v>5514.77</v>
      </c>
      <c r="I22" s="28"/>
      <c r="K22" s="28">
        <f>+K10</f>
        <v>58.502000000000002</v>
      </c>
      <c r="L22" s="32">
        <f t="shared" ref="L22:L25" si="2">G22*K22</f>
        <v>999.97468600000002</v>
      </c>
    </row>
    <row r="23" spans="1:13">
      <c r="F23" s="28" t="str">
        <f>A15</f>
        <v>Total Return</v>
      </c>
      <c r="G23" s="32">
        <f>G15</f>
        <v>18.260000000000002</v>
      </c>
      <c r="H23" s="32">
        <v>5519.77</v>
      </c>
      <c r="I23" s="28"/>
      <c r="K23" s="28">
        <f>+K15</f>
        <v>547.64509999999996</v>
      </c>
      <c r="L23" s="32">
        <f t="shared" si="2"/>
        <v>9999.9995259999996</v>
      </c>
    </row>
    <row r="24" spans="1:13">
      <c r="F24" s="28" t="str">
        <f>A16</f>
        <v>Total Return</v>
      </c>
      <c r="G24" s="32">
        <f>G16</f>
        <v>19.79</v>
      </c>
      <c r="H24" s="32">
        <v>5520.77</v>
      </c>
      <c r="I24" s="28"/>
      <c r="K24" s="28">
        <f>+K16</f>
        <v>1010.611</v>
      </c>
      <c r="L24" s="32">
        <f t="shared" si="2"/>
        <v>19999.991689999999</v>
      </c>
    </row>
    <row r="25" spans="1:13">
      <c r="F25" s="28" t="str">
        <f>A19</f>
        <v>Bolsa Tecnología y Telecomunicaciones FI</v>
      </c>
      <c r="G25" s="32">
        <f>G19</f>
        <v>22.992000000000001</v>
      </c>
      <c r="H25" s="32">
        <v>5523.77</v>
      </c>
      <c r="I25" s="28"/>
      <c r="K25" s="28">
        <f>+K19</f>
        <v>583.65273471456578</v>
      </c>
      <c r="L25" s="32">
        <f t="shared" si="2"/>
        <v>13419.343676557297</v>
      </c>
    </row>
    <row r="26" spans="1:13">
      <c r="L26" s="32">
        <f>SUM(L21:L25)</f>
        <v>44562.087789541314</v>
      </c>
      <c r="M26" s="32">
        <f>L26/F2</f>
        <v>171.70303159380927</v>
      </c>
    </row>
  </sheetData>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dimension ref="A1:O51"/>
  <sheetViews>
    <sheetView zoomScale="115" zoomScaleNormal="115" workbookViewId="0">
      <pane ySplit="1" topLeftCell="A2" activePane="bottomLeft" state="frozen"/>
      <selection pane="bottomLeft" activeCell="B13" sqref="B13"/>
    </sheetView>
  </sheetViews>
  <sheetFormatPr defaultRowHeight="14.5"/>
  <cols>
    <col min="1" max="1" width="16.7265625" customWidth="1"/>
    <col min="2" max="2" width="6.6328125" customWidth="1"/>
    <col min="3" max="3" width="15" customWidth="1"/>
    <col min="5" max="5" width="10.6328125" customWidth="1"/>
    <col min="6" max="6" width="9.7265625" customWidth="1"/>
    <col min="8" max="8" width="13.26953125" customWidth="1"/>
    <col min="9" max="9" width="11.54296875" hidden="1" customWidth="1"/>
    <col min="10" max="10" width="1.08984375" hidden="1" customWidth="1"/>
    <col min="11" max="11" width="9.81640625" customWidth="1"/>
    <col min="12" max="12" width="11.1796875" customWidth="1"/>
    <col min="13" max="13" width="13.54296875" customWidth="1"/>
    <col min="14" max="14" width="9.54296875" bestFit="1" customWidth="1"/>
    <col min="15" max="15" width="11.26953125" customWidth="1"/>
    <col min="16" max="16" width="11.7265625" customWidth="1"/>
    <col min="18" max="18" width="10.54296875" bestFit="1" customWidth="1"/>
  </cols>
  <sheetData>
    <row r="1" spans="1:15">
      <c r="A1" s="5" t="s">
        <v>53</v>
      </c>
      <c r="B1" s="5" t="s">
        <v>6</v>
      </c>
      <c r="C1" s="5" t="s">
        <v>47</v>
      </c>
      <c r="D1" s="5" t="s">
        <v>59</v>
      </c>
      <c r="E1" s="5" t="s">
        <v>62</v>
      </c>
      <c r="F1" s="5" t="s">
        <v>7</v>
      </c>
      <c r="G1" s="5" t="s">
        <v>8</v>
      </c>
      <c r="H1" s="5" t="s">
        <v>9</v>
      </c>
      <c r="I1" s="5" t="s">
        <v>10</v>
      </c>
      <c r="J1" s="5" t="s">
        <v>28</v>
      </c>
      <c r="K1" s="5" t="s">
        <v>54</v>
      </c>
      <c r="L1" s="5" t="s">
        <v>58</v>
      </c>
      <c r="N1" s="5"/>
      <c r="O1" s="5"/>
    </row>
    <row r="2" spans="1:15">
      <c r="A2" s="18" t="s">
        <v>22</v>
      </c>
      <c r="B2" s="21">
        <v>91</v>
      </c>
      <c r="C2" s="21">
        <v>1</v>
      </c>
      <c r="D2" s="21" t="s">
        <v>5</v>
      </c>
      <c r="E2" s="22">
        <v>42201</v>
      </c>
      <c r="F2" s="21">
        <v>259.52999999999997</v>
      </c>
      <c r="G2" s="23">
        <v>207.11</v>
      </c>
      <c r="H2" s="23">
        <v>53751.26</v>
      </c>
      <c r="I2" s="23">
        <v>53751.26</v>
      </c>
      <c r="J2" s="21"/>
      <c r="K2" s="25">
        <f>L2</f>
        <v>259.52999999999997</v>
      </c>
      <c r="L2" s="24">
        <f>F2</f>
        <v>259.52999999999997</v>
      </c>
      <c r="M2" s="24">
        <f>K2-L2</f>
        <v>0</v>
      </c>
      <c r="N2" s="24"/>
    </row>
    <row r="3" spans="1:15">
      <c r="A3" s="18" t="s">
        <v>22</v>
      </c>
      <c r="B3">
        <v>26</v>
      </c>
      <c r="C3">
        <v>2</v>
      </c>
      <c r="D3" t="s">
        <v>2</v>
      </c>
      <c r="E3" s="1">
        <v>41439</v>
      </c>
      <c r="F3">
        <v>249.34710000000001</v>
      </c>
      <c r="G3" s="12">
        <v>139.71</v>
      </c>
      <c r="H3" s="12">
        <v>34836.28</v>
      </c>
      <c r="I3" s="12">
        <v>34836.28</v>
      </c>
      <c r="J3">
        <v>25</v>
      </c>
      <c r="L3" s="24">
        <f>F3-Sheet2!E4</f>
        <v>0.34710000000001173</v>
      </c>
      <c r="N3" s="24"/>
    </row>
    <row r="4" spans="1:15">
      <c r="A4" s="18" t="s">
        <v>23</v>
      </c>
      <c r="B4">
        <v>25</v>
      </c>
      <c r="C4">
        <v>3</v>
      </c>
      <c r="D4" t="s">
        <v>5</v>
      </c>
      <c r="E4" s="1">
        <v>41439</v>
      </c>
      <c r="F4">
        <v>1838.3261</v>
      </c>
      <c r="G4" s="12">
        <v>18.95</v>
      </c>
      <c r="H4" s="12">
        <v>34836.28</v>
      </c>
      <c r="I4" s="12">
        <v>34836.28</v>
      </c>
      <c r="L4" s="24">
        <f>L3/F3*F4</f>
        <v>2.5590150810256929</v>
      </c>
    </row>
    <row r="5" spans="1:15">
      <c r="A5" s="18" t="s">
        <v>23</v>
      </c>
      <c r="B5">
        <v>24</v>
      </c>
      <c r="C5">
        <v>4</v>
      </c>
      <c r="D5" t="s">
        <v>2</v>
      </c>
      <c r="E5" s="1">
        <v>41383</v>
      </c>
      <c r="F5">
        <v>280.07</v>
      </c>
      <c r="G5" s="12">
        <v>19.68</v>
      </c>
      <c r="H5" s="12">
        <v>5511.77</v>
      </c>
      <c r="I5" s="12">
        <v>5511.77</v>
      </c>
      <c r="J5">
        <v>23</v>
      </c>
      <c r="K5">
        <f>Sheet2!K7*F4</f>
        <v>2.5590150810256929</v>
      </c>
      <c r="L5" s="24">
        <f>L4</f>
        <v>2.5590150810256929</v>
      </c>
    </row>
    <row r="6" spans="1:15">
      <c r="A6" s="18" t="s">
        <v>24</v>
      </c>
      <c r="B6">
        <v>23</v>
      </c>
      <c r="C6">
        <v>5</v>
      </c>
      <c r="D6" t="s">
        <v>5</v>
      </c>
      <c r="E6" s="1">
        <v>41383</v>
      </c>
      <c r="F6">
        <v>679.64</v>
      </c>
      <c r="G6" s="12">
        <v>8.11</v>
      </c>
      <c r="H6" s="12">
        <v>5511.77</v>
      </c>
      <c r="I6" s="12">
        <v>5511.77</v>
      </c>
      <c r="L6" s="24">
        <f>L5/F5*F6</f>
        <v>6.2099082717474277</v>
      </c>
    </row>
    <row r="7" spans="1:15">
      <c r="A7" s="18" t="s">
        <v>24</v>
      </c>
      <c r="B7" s="6">
        <v>15</v>
      </c>
      <c r="C7" s="6">
        <v>6</v>
      </c>
      <c r="D7" s="6" t="s">
        <v>0</v>
      </c>
      <c r="E7" s="7">
        <v>36841</v>
      </c>
      <c r="F7" s="6">
        <v>679.64</v>
      </c>
      <c r="G7" s="14">
        <v>22.992000000000001</v>
      </c>
      <c r="H7" s="14">
        <v>15626.31</v>
      </c>
      <c r="I7" s="14">
        <v>15626.31</v>
      </c>
      <c r="J7" s="6"/>
      <c r="K7" s="6">
        <f>K5/F5*F7</f>
        <v>6.2099082717474277</v>
      </c>
      <c r="L7" s="24">
        <f>L6</f>
        <v>6.2099082717474277</v>
      </c>
      <c r="M7" s="24">
        <f>K7-L7</f>
        <v>0</v>
      </c>
    </row>
    <row r="8" spans="1:15">
      <c r="A8" s="18" t="s">
        <v>22</v>
      </c>
      <c r="B8">
        <v>31</v>
      </c>
      <c r="C8">
        <v>7</v>
      </c>
      <c r="D8" t="s">
        <v>2</v>
      </c>
      <c r="E8" s="1">
        <v>41976</v>
      </c>
      <c r="F8">
        <v>264.18049999999999</v>
      </c>
      <c r="G8" s="12">
        <v>168.57</v>
      </c>
      <c r="H8" s="12">
        <v>44532.91</v>
      </c>
      <c r="I8" s="12">
        <v>44532.91</v>
      </c>
      <c r="J8">
        <v>30</v>
      </c>
      <c r="K8">
        <f>F8-(Sheet2!E3-Sheet2!E4+Sheet2!E6-Sheet2!E7)</f>
        <v>259.18289999999996</v>
      </c>
      <c r="L8" s="24">
        <f>F2-L3</f>
        <v>259.18289999999996</v>
      </c>
      <c r="N8" s="24"/>
    </row>
    <row r="9" spans="1:15">
      <c r="A9" s="18" t="s">
        <v>18</v>
      </c>
      <c r="B9">
        <v>30</v>
      </c>
      <c r="C9">
        <v>8</v>
      </c>
      <c r="D9" t="s">
        <v>5</v>
      </c>
      <c r="E9" s="1">
        <v>41971</v>
      </c>
      <c r="F9">
        <v>2404</v>
      </c>
      <c r="G9" s="12">
        <v>18.524999999999999</v>
      </c>
      <c r="H9" s="12">
        <v>44532.91</v>
      </c>
      <c r="I9" s="12">
        <v>44532.91</v>
      </c>
      <c r="L9" s="24">
        <f>L8/F8*F9</f>
        <v>2358.5226449340503</v>
      </c>
    </row>
    <row r="10" spans="1:15">
      <c r="A10" s="18" t="s">
        <v>18</v>
      </c>
      <c r="B10" s="6">
        <v>27</v>
      </c>
      <c r="C10" s="6">
        <v>9</v>
      </c>
      <c r="D10" s="6" t="s">
        <v>0</v>
      </c>
      <c r="E10" s="7">
        <v>41521</v>
      </c>
      <c r="F10" s="6">
        <v>58.502000000000002</v>
      </c>
      <c r="G10" s="14">
        <v>17.093</v>
      </c>
      <c r="H10" s="14">
        <v>999.99</v>
      </c>
      <c r="I10" s="14">
        <v>999.99</v>
      </c>
      <c r="J10" s="6"/>
      <c r="K10" s="6">
        <f>F10</f>
        <v>58.502000000000002</v>
      </c>
      <c r="L10" s="24">
        <f>F10</f>
        <v>58.502000000000002</v>
      </c>
      <c r="M10" s="24">
        <f>K10-L10</f>
        <v>0</v>
      </c>
    </row>
    <row r="11" spans="1:15">
      <c r="A11" s="18" t="s">
        <v>18</v>
      </c>
      <c r="B11">
        <v>29</v>
      </c>
      <c r="C11">
        <v>10</v>
      </c>
      <c r="D11" t="s">
        <v>2</v>
      </c>
      <c r="E11" s="1">
        <v>41794</v>
      </c>
      <c r="F11">
        <v>2347.326</v>
      </c>
      <c r="G11" s="12">
        <v>18.25</v>
      </c>
      <c r="H11" s="12">
        <v>42837.96</v>
      </c>
      <c r="I11" s="12">
        <v>42837.96</v>
      </c>
      <c r="J11">
        <v>28</v>
      </c>
      <c r="K11">
        <f>F11-(Sheet2!E9+Sheet2!E10-Sheet2!E11)</f>
        <v>2345.498</v>
      </c>
      <c r="L11" s="24">
        <f>L9-L10</f>
        <v>2300.0206449340503</v>
      </c>
    </row>
    <row r="12" spans="1:15">
      <c r="A12" s="18" t="s">
        <v>22</v>
      </c>
      <c r="B12">
        <v>28</v>
      </c>
      <c r="C12">
        <v>11</v>
      </c>
      <c r="D12" t="s">
        <v>5</v>
      </c>
      <c r="E12" s="1">
        <v>41794</v>
      </c>
      <c r="F12">
        <v>249</v>
      </c>
      <c r="G12" s="12">
        <v>172.04</v>
      </c>
      <c r="H12" s="12">
        <v>42837.96</v>
      </c>
      <c r="I12" s="12">
        <v>42837.96</v>
      </c>
      <c r="L12" s="24">
        <f>L11/F11*F12</f>
        <v>243.98193543997661</v>
      </c>
      <c r="N12" s="24"/>
    </row>
    <row r="13" spans="1:15">
      <c r="A13" s="18" t="s">
        <v>22</v>
      </c>
      <c r="B13">
        <v>26</v>
      </c>
      <c r="C13">
        <v>12</v>
      </c>
      <c r="D13" t="s">
        <v>2</v>
      </c>
      <c r="E13" s="1">
        <v>41439</v>
      </c>
      <c r="F13">
        <v>249.34710000000001</v>
      </c>
      <c r="G13" s="12">
        <v>139.71</v>
      </c>
      <c r="H13" s="12">
        <v>34836.28</v>
      </c>
      <c r="I13" s="12">
        <v>34836.28</v>
      </c>
      <c r="J13">
        <v>25</v>
      </c>
      <c r="K13">
        <f>Sheet2!K4*F13</f>
        <v>249</v>
      </c>
      <c r="L13" s="24">
        <f>L12</f>
        <v>243.98193543997661</v>
      </c>
      <c r="M13" s="24"/>
      <c r="N13" s="24"/>
    </row>
    <row r="14" spans="1:15">
      <c r="A14" s="18" t="s">
        <v>23</v>
      </c>
      <c r="B14">
        <v>25</v>
      </c>
      <c r="C14">
        <v>13</v>
      </c>
      <c r="D14" t="s">
        <v>5</v>
      </c>
      <c r="E14" s="1">
        <v>41439</v>
      </c>
      <c r="F14">
        <v>1838.3261</v>
      </c>
      <c r="G14" s="12">
        <v>18.95</v>
      </c>
      <c r="H14" s="12">
        <v>34836.28</v>
      </c>
      <c r="I14" s="12">
        <v>34836.28</v>
      </c>
      <c r="L14" s="24">
        <f>L13/F13*F14</f>
        <v>1798.77111002223</v>
      </c>
      <c r="N14" s="24"/>
    </row>
    <row r="15" spans="1:15">
      <c r="A15" s="18" t="s">
        <v>23</v>
      </c>
      <c r="B15" s="6">
        <v>16</v>
      </c>
      <c r="C15" s="6">
        <v>14</v>
      </c>
      <c r="D15" s="6" t="s">
        <v>0</v>
      </c>
      <c r="E15" s="7">
        <v>41166</v>
      </c>
      <c r="F15" s="6">
        <v>547.64509999999996</v>
      </c>
      <c r="G15" s="14">
        <v>18.260000000000002</v>
      </c>
      <c r="H15" s="14">
        <v>10000</v>
      </c>
      <c r="I15" s="14">
        <v>10000</v>
      </c>
      <c r="J15" s="6"/>
      <c r="K15" s="6">
        <f>F15</f>
        <v>547.64509999999996</v>
      </c>
      <c r="L15" s="24">
        <f>F15</f>
        <v>547.64509999999996</v>
      </c>
      <c r="M15" s="24">
        <f>K15-L15</f>
        <v>0</v>
      </c>
    </row>
    <row r="16" spans="1:15">
      <c r="A16" s="18" t="s">
        <v>23</v>
      </c>
      <c r="B16" s="6">
        <v>17</v>
      </c>
      <c r="C16" s="6">
        <v>15</v>
      </c>
      <c r="D16" s="6" t="s">
        <v>0</v>
      </c>
      <c r="E16" s="7">
        <v>41377</v>
      </c>
      <c r="F16" s="6">
        <v>1010.611</v>
      </c>
      <c r="G16" s="14">
        <v>19.79</v>
      </c>
      <c r="H16" s="14">
        <v>19999.990000000002</v>
      </c>
      <c r="I16" s="14">
        <v>19999.990000000002</v>
      </c>
      <c r="J16" s="6"/>
      <c r="K16" s="6">
        <f>F16</f>
        <v>1010.611</v>
      </c>
      <c r="L16" s="24">
        <f>F16</f>
        <v>1010.611</v>
      </c>
      <c r="M16" s="24">
        <f>K16-L16</f>
        <v>0</v>
      </c>
    </row>
    <row r="17" spans="1:14">
      <c r="A17" s="18" t="s">
        <v>23</v>
      </c>
      <c r="B17">
        <v>24</v>
      </c>
      <c r="C17">
        <v>16</v>
      </c>
      <c r="D17" t="s">
        <v>2</v>
      </c>
      <c r="E17" s="1">
        <v>41383</v>
      </c>
      <c r="F17">
        <v>280.07</v>
      </c>
      <c r="G17" s="12">
        <v>19.68</v>
      </c>
      <c r="H17" s="12">
        <v>5511.77</v>
      </c>
      <c r="I17" s="12">
        <v>5511.77</v>
      </c>
      <c r="J17">
        <v>23</v>
      </c>
      <c r="K17">
        <f>F17-K5</f>
        <v>277.51098491897432</v>
      </c>
      <c r="L17" s="24">
        <f>L14-L15-L16</f>
        <v>240.51501002223006</v>
      </c>
      <c r="N17" s="24"/>
    </row>
    <row r="18" spans="1:14">
      <c r="A18" s="18" t="s">
        <v>24</v>
      </c>
      <c r="B18">
        <v>23</v>
      </c>
      <c r="C18">
        <v>17</v>
      </c>
      <c r="D18" t="s">
        <v>5</v>
      </c>
      <c r="E18" s="1">
        <v>41383</v>
      </c>
      <c r="F18">
        <v>679.64</v>
      </c>
      <c r="G18" s="12">
        <v>8.11</v>
      </c>
      <c r="H18" s="12">
        <v>5511.77</v>
      </c>
      <c r="I18" s="12">
        <v>5511.77</v>
      </c>
      <c r="L18" s="24">
        <f>L17/F17*F18</f>
        <v>583.65273471456578</v>
      </c>
    </row>
    <row r="19" spans="1:14">
      <c r="A19" s="18" t="s">
        <v>24</v>
      </c>
      <c r="B19" s="6">
        <v>15</v>
      </c>
      <c r="C19" s="6">
        <v>18</v>
      </c>
      <c r="D19" s="6" t="s">
        <v>0</v>
      </c>
      <c r="E19" s="7">
        <v>36841</v>
      </c>
      <c r="F19" s="6">
        <v>679.64</v>
      </c>
      <c r="G19" s="14">
        <v>22.992000000000001</v>
      </c>
      <c r="H19" s="14">
        <v>15626.31</v>
      </c>
      <c r="I19" s="14">
        <v>15626.31</v>
      </c>
      <c r="J19" s="6"/>
      <c r="K19" s="6">
        <f>K17/F17*F19</f>
        <v>673.43009172825259</v>
      </c>
      <c r="L19" s="24">
        <f>L18</f>
        <v>583.65273471456578</v>
      </c>
      <c r="M19" s="24">
        <f>K19-L19</f>
        <v>89.77735701368681</v>
      </c>
    </row>
    <row r="20" spans="1:14" ht="34.5" customHeight="1">
      <c r="A20" s="20"/>
      <c r="B20" s="4"/>
      <c r="C20" s="4"/>
      <c r="E20" s="1"/>
      <c r="F20" s="24"/>
      <c r="H20" s="12"/>
      <c r="I20" s="12"/>
      <c r="J20" s="12"/>
      <c r="M20" s="24"/>
    </row>
    <row r="21" spans="1:14">
      <c r="A21" s="18" t="str">
        <f>A7</f>
        <v>Bolsa Tecnología y Telecomunicaciones FI</v>
      </c>
      <c r="B21" s="6">
        <f t="shared" ref="B21:E21" si="0">B7</f>
        <v>15</v>
      </c>
      <c r="C21" s="6">
        <f t="shared" si="0"/>
        <v>6</v>
      </c>
      <c r="D21" s="6" t="str">
        <f t="shared" si="0"/>
        <v>Compra</v>
      </c>
      <c r="E21" s="7">
        <f t="shared" si="0"/>
        <v>36841</v>
      </c>
      <c r="F21" s="26"/>
      <c r="G21" s="6">
        <f>F7</f>
        <v>679.64</v>
      </c>
      <c r="H21" s="14">
        <f>G7</f>
        <v>22.992000000000001</v>
      </c>
      <c r="I21" s="14">
        <f>H7</f>
        <v>15626.31</v>
      </c>
      <c r="J21" s="14">
        <f>I7</f>
        <v>15626.31</v>
      </c>
      <c r="K21" s="6"/>
      <c r="L21" s="26">
        <f>L7</f>
        <v>6.2099082717474277</v>
      </c>
      <c r="M21" s="12">
        <f>L21*H21</f>
        <v>142.77821098401685</v>
      </c>
    </row>
    <row r="22" spans="1:14">
      <c r="A22" s="18" t="str">
        <f>A10</f>
        <v>Optimal Income</v>
      </c>
      <c r="B22" s="6">
        <f t="shared" ref="B22:E22" si="1">B10</f>
        <v>27</v>
      </c>
      <c r="C22" s="6">
        <f t="shared" si="1"/>
        <v>9</v>
      </c>
      <c r="D22" s="6" t="str">
        <f t="shared" si="1"/>
        <v>Compra</v>
      </c>
      <c r="E22" s="7">
        <f t="shared" si="1"/>
        <v>41521</v>
      </c>
      <c r="F22" s="26"/>
      <c r="G22" s="6">
        <f>F10</f>
        <v>58.502000000000002</v>
      </c>
      <c r="H22" s="14">
        <f>G10</f>
        <v>17.093</v>
      </c>
      <c r="I22" s="14">
        <f>H10</f>
        <v>999.99</v>
      </c>
      <c r="J22" s="14">
        <f>I10</f>
        <v>999.99</v>
      </c>
      <c r="K22" s="6"/>
      <c r="L22" s="26">
        <f>L10</f>
        <v>58.502000000000002</v>
      </c>
      <c r="M22" s="12">
        <f>L22*H22</f>
        <v>999.97468600000002</v>
      </c>
    </row>
    <row r="23" spans="1:14">
      <c r="A23" s="18" t="str">
        <f>A15</f>
        <v>Total Return</v>
      </c>
      <c r="B23" s="6">
        <f t="shared" ref="B23:E24" si="2">B15</f>
        <v>16</v>
      </c>
      <c r="C23" s="6">
        <f t="shared" si="2"/>
        <v>14</v>
      </c>
      <c r="D23" s="6" t="str">
        <f t="shared" si="2"/>
        <v>Compra</v>
      </c>
      <c r="E23" s="7">
        <f t="shared" si="2"/>
        <v>41166</v>
      </c>
      <c r="F23" s="26"/>
      <c r="G23" s="6">
        <f t="shared" ref="G23:J24" si="3">F15</f>
        <v>547.64509999999996</v>
      </c>
      <c r="H23" s="14">
        <f t="shared" si="3"/>
        <v>18.260000000000002</v>
      </c>
      <c r="I23" s="14">
        <f t="shared" si="3"/>
        <v>10000</v>
      </c>
      <c r="J23" s="14">
        <f t="shared" si="3"/>
        <v>10000</v>
      </c>
      <c r="K23" s="6"/>
      <c r="L23" s="26">
        <f>L15</f>
        <v>547.64509999999996</v>
      </c>
      <c r="M23" s="12">
        <f>L23*H23</f>
        <v>9999.9995259999996</v>
      </c>
    </row>
    <row r="24" spans="1:14">
      <c r="A24" s="18" t="str">
        <f>A16</f>
        <v>Total Return</v>
      </c>
      <c r="B24" s="6">
        <f t="shared" si="2"/>
        <v>17</v>
      </c>
      <c r="C24" s="6">
        <f t="shared" si="2"/>
        <v>15</v>
      </c>
      <c r="D24" s="6" t="str">
        <f t="shared" si="2"/>
        <v>Compra</v>
      </c>
      <c r="E24" s="7">
        <f t="shared" si="2"/>
        <v>41377</v>
      </c>
      <c r="F24" s="26"/>
      <c r="G24" s="6">
        <f t="shared" si="3"/>
        <v>1010.611</v>
      </c>
      <c r="H24" s="14">
        <f t="shared" si="3"/>
        <v>19.79</v>
      </c>
      <c r="I24" s="14">
        <f t="shared" si="3"/>
        <v>19999.990000000002</v>
      </c>
      <c r="J24" s="14">
        <f t="shared" si="3"/>
        <v>19999.990000000002</v>
      </c>
      <c r="K24" s="6"/>
      <c r="L24" s="26">
        <f>L16</f>
        <v>1010.611</v>
      </c>
      <c r="M24" s="12">
        <f>L24*H24</f>
        <v>19999.991689999999</v>
      </c>
    </row>
    <row r="25" spans="1:14">
      <c r="A25" s="18" t="str">
        <f>A19</f>
        <v>Bolsa Tecnología y Telecomunicaciones FI</v>
      </c>
      <c r="B25" s="6">
        <f t="shared" ref="B25:E25" si="4">B19</f>
        <v>15</v>
      </c>
      <c r="C25" s="6">
        <f t="shared" si="4"/>
        <v>18</v>
      </c>
      <c r="D25" s="6" t="str">
        <f t="shared" si="4"/>
        <v>Compra</v>
      </c>
      <c r="E25" s="7">
        <f t="shared" si="4"/>
        <v>36841</v>
      </c>
      <c r="F25" s="26"/>
      <c r="G25" s="6">
        <f>F19</f>
        <v>679.64</v>
      </c>
      <c r="H25" s="14">
        <f>G19</f>
        <v>22.992000000000001</v>
      </c>
      <c r="I25" s="14">
        <f>H19</f>
        <v>15626.31</v>
      </c>
      <c r="J25" s="14">
        <f>I19</f>
        <v>15626.31</v>
      </c>
      <c r="K25" s="6"/>
      <c r="L25" s="6">
        <f>K19</f>
        <v>673.43009172825259</v>
      </c>
      <c r="M25" s="12">
        <f>L25*H25</f>
        <v>15483.504669015983</v>
      </c>
    </row>
    <row r="26" spans="1:14">
      <c r="B26" s="4"/>
      <c r="C26" s="4"/>
      <c r="E26" s="1"/>
      <c r="F26" s="1"/>
      <c r="H26" s="12"/>
      <c r="I26" s="12"/>
      <c r="J26" s="12"/>
      <c r="M26" s="12">
        <f>SUM(M21:M25)</f>
        <v>46626.248781999995</v>
      </c>
      <c r="N26" s="19">
        <f>M26/(F2+5)</f>
        <v>176.2607219672627</v>
      </c>
    </row>
    <row r="27" spans="1:14">
      <c r="B27" t="s">
        <v>45</v>
      </c>
      <c r="C27" t="s">
        <v>55</v>
      </c>
      <c r="M27" s="12">
        <f>(F2+5)*N27</f>
        <v>46591.245651999998</v>
      </c>
      <c r="N27" s="19">
        <v>176.1284</v>
      </c>
    </row>
    <row r="28" spans="1:14">
      <c r="B28" t="s">
        <v>43</v>
      </c>
      <c r="C28" t="s">
        <v>44</v>
      </c>
      <c r="M28" s="19">
        <f>+M26-M27</f>
        <v>35.003129999997327</v>
      </c>
      <c r="N28" s="12">
        <f>+N26-N27</f>
        <v>0.13232196726269763</v>
      </c>
    </row>
    <row r="29" spans="1:14">
      <c r="B29" t="s">
        <v>38</v>
      </c>
      <c r="C29" t="s">
        <v>56</v>
      </c>
    </row>
    <row r="30" spans="1:14">
      <c r="B30" t="s">
        <v>40</v>
      </c>
      <c r="C30" t="s">
        <v>41</v>
      </c>
      <c r="M30" t="s">
        <v>57</v>
      </c>
    </row>
    <row r="31" spans="1:14">
      <c r="B31" t="s">
        <v>38</v>
      </c>
      <c r="C31" t="s">
        <v>39</v>
      </c>
      <c r="L31">
        <v>16</v>
      </c>
      <c r="M31" s="24">
        <v>2.55901511721861</v>
      </c>
    </row>
    <row r="32" spans="1:14">
      <c r="L32">
        <v>16</v>
      </c>
      <c r="M32" s="24">
        <v>1798.77113546279</v>
      </c>
    </row>
    <row r="33" spans="2:13">
      <c r="B33" t="s">
        <v>38</v>
      </c>
      <c r="D33" t="s">
        <v>39</v>
      </c>
      <c r="L33">
        <v>17</v>
      </c>
      <c r="M33" s="24">
        <v>1798.77113546279</v>
      </c>
    </row>
    <row r="34" spans="2:13">
      <c r="B34" t="s">
        <v>40</v>
      </c>
      <c r="D34" t="s">
        <v>41</v>
      </c>
      <c r="L34">
        <v>15</v>
      </c>
      <c r="M34" s="24">
        <v>583.65273335698896</v>
      </c>
    </row>
    <row r="35" spans="2:13">
      <c r="B35" t="s">
        <v>38</v>
      </c>
      <c r="D35" t="s">
        <v>42</v>
      </c>
    </row>
    <row r="36" spans="2:13">
      <c r="B36" t="s">
        <v>43</v>
      </c>
      <c r="D36" t="s">
        <v>44</v>
      </c>
    </row>
    <row r="37" spans="2:13">
      <c r="B37" t="s">
        <v>45</v>
      </c>
      <c r="D37" t="s">
        <v>46</v>
      </c>
    </row>
    <row r="39" spans="2:13">
      <c r="B39" t="s">
        <v>38</v>
      </c>
      <c r="D39" t="s">
        <v>39</v>
      </c>
    </row>
    <row r="40" spans="2:13">
      <c r="B40" t="s">
        <v>40</v>
      </c>
      <c r="D40" t="s">
        <v>41</v>
      </c>
    </row>
    <row r="41" spans="2:13">
      <c r="B41" t="s">
        <v>38</v>
      </c>
      <c r="D41" t="s">
        <v>42</v>
      </c>
    </row>
    <row r="42" spans="2:13">
      <c r="B42" t="s">
        <v>43</v>
      </c>
      <c r="D42" t="s">
        <v>44</v>
      </c>
    </row>
    <row r="43" spans="2:13">
      <c r="B43" t="s">
        <v>45</v>
      </c>
      <c r="D43" t="s">
        <v>46</v>
      </c>
    </row>
    <row r="45" spans="2:13">
      <c r="B45" t="s">
        <v>38</v>
      </c>
      <c r="D45" t="s">
        <v>39</v>
      </c>
      <c r="H45">
        <v>2.55901511721861</v>
      </c>
      <c r="K45" s="12">
        <f>G15</f>
        <v>18.260000000000002</v>
      </c>
      <c r="L45" s="12">
        <f>H45*K45</f>
        <v>46.727616040411824</v>
      </c>
    </row>
    <row r="46" spans="2:13">
      <c r="B46" t="s">
        <v>40</v>
      </c>
      <c r="D46" t="s">
        <v>41</v>
      </c>
      <c r="H46">
        <v>58.502000000000002</v>
      </c>
      <c r="K46" s="12">
        <f>G10</f>
        <v>17.093</v>
      </c>
      <c r="L46" s="12">
        <f t="shared" ref="L46:L49" si="5">H46*K46</f>
        <v>999.97468600000002</v>
      </c>
    </row>
    <row r="47" spans="2:13">
      <c r="B47" t="s">
        <v>38</v>
      </c>
      <c r="D47" t="s">
        <v>60</v>
      </c>
      <c r="H47">
        <v>542.52709576556299</v>
      </c>
      <c r="K47">
        <f>K45</f>
        <v>18.260000000000002</v>
      </c>
      <c r="L47" s="12">
        <f t="shared" si="5"/>
        <v>9906.5447686791813</v>
      </c>
    </row>
    <row r="48" spans="2:13">
      <c r="B48" t="s">
        <v>43</v>
      </c>
      <c r="D48" t="s">
        <v>44</v>
      </c>
      <c r="H48" s="27">
        <v>1010.611</v>
      </c>
      <c r="K48" s="12">
        <f>G16</f>
        <v>19.79</v>
      </c>
      <c r="L48" s="12">
        <f t="shared" si="5"/>
        <v>19999.991689999999</v>
      </c>
    </row>
    <row r="49" spans="2:13">
      <c r="B49" t="s">
        <v>45</v>
      </c>
      <c r="D49" t="s">
        <v>61</v>
      </c>
      <c r="H49">
        <v>595.94740260200297</v>
      </c>
      <c r="K49" s="12">
        <f>G19</f>
        <v>22.992000000000001</v>
      </c>
      <c r="L49" s="12">
        <f t="shared" si="5"/>
        <v>13702.022680625252</v>
      </c>
    </row>
    <row r="50" spans="2:13">
      <c r="L50" s="12">
        <f>SUM(L45:L49)</f>
        <v>44655.261441344846</v>
      </c>
      <c r="M50">
        <f>F2</f>
        <v>259.52999999999997</v>
      </c>
    </row>
    <row r="51" spans="2:13">
      <c r="L51" s="12">
        <f>+L50/M50</f>
        <v>172.06204077118196</v>
      </c>
    </row>
  </sheetData>
  <sortState ref="B3:K19">
    <sortCondition ref="C2:C22"/>
  </sortState>
  <pageMargins left="0.7" right="0.7" top="0.75" bottom="0.75" header="0.3" footer="0.3"/>
  <pageSetup paperSize="9" orientation="portrait" horizontalDpi="0" verticalDpi="0" r:id="rId1"/>
  <drawing r:id="rId2"/>
  <legacyDrawing r:id="rId3"/>
</worksheet>
</file>

<file path=xl/worksheets/sheet8.xml><?xml version="1.0" encoding="utf-8"?>
<worksheet xmlns="http://schemas.openxmlformats.org/spreadsheetml/2006/main" xmlns:r="http://schemas.openxmlformats.org/officeDocument/2006/relationships">
  <dimension ref="A1:P45"/>
  <sheetViews>
    <sheetView zoomScaleNormal="100" workbookViewId="0">
      <pane ySplit="1" topLeftCell="A2" activePane="bottomLeft" state="frozen"/>
      <selection pane="bottomLeft" activeCell="K7" sqref="K7"/>
    </sheetView>
  </sheetViews>
  <sheetFormatPr defaultRowHeight="14.5"/>
  <cols>
    <col min="2" max="2" width="4.81640625" customWidth="1"/>
    <col min="3" max="3" width="9.54296875" bestFit="1" customWidth="1"/>
    <col min="4" max="4" width="10.6328125" customWidth="1"/>
    <col min="6" max="6" width="9.453125" customWidth="1"/>
    <col min="7" max="8" width="11.54296875" hidden="1" customWidth="1"/>
    <col min="9" max="9" width="11.54296875" style="59" customWidth="1"/>
    <col min="10" max="10" width="10.26953125" customWidth="1"/>
    <col min="11" max="11" width="9.54296875" style="16" bestFit="1" customWidth="1"/>
    <col min="16" max="16" width="10.54296875" bestFit="1" customWidth="1"/>
  </cols>
  <sheetData>
    <row r="1" spans="1:16">
      <c r="A1" s="5" t="s">
        <v>6</v>
      </c>
      <c r="B1" s="5" t="s">
        <v>47</v>
      </c>
      <c r="C1" s="5" t="s">
        <v>59</v>
      </c>
      <c r="D1" s="5" t="s">
        <v>62</v>
      </c>
      <c r="E1" s="5" t="s">
        <v>7</v>
      </c>
      <c r="F1" s="5" t="s">
        <v>8</v>
      </c>
      <c r="G1" s="5" t="s">
        <v>9</v>
      </c>
      <c r="H1" s="5" t="s">
        <v>10</v>
      </c>
      <c r="I1" s="38" t="s">
        <v>93</v>
      </c>
      <c r="J1" s="5" t="s">
        <v>28</v>
      </c>
      <c r="L1" s="5" t="s">
        <v>26</v>
      </c>
      <c r="M1" s="5" t="s">
        <v>27</v>
      </c>
    </row>
    <row r="2" spans="1:16">
      <c r="A2" s="4" t="s">
        <v>22</v>
      </c>
      <c r="B2" s="4"/>
      <c r="D2" s="1"/>
      <c r="F2" s="3"/>
      <c r="G2" s="3"/>
      <c r="H2" s="3"/>
      <c r="I2" s="60"/>
      <c r="P2" s="3"/>
    </row>
    <row r="3" spans="1:16">
      <c r="A3">
        <v>26</v>
      </c>
      <c r="B3" t="s">
        <v>48</v>
      </c>
      <c r="C3" t="s">
        <v>2</v>
      </c>
      <c r="D3" s="1">
        <v>41439</v>
      </c>
      <c r="E3">
        <v>249.34710000000001</v>
      </c>
      <c r="F3" s="12">
        <v>139.71</v>
      </c>
      <c r="G3" s="12">
        <v>34836.28</v>
      </c>
      <c r="H3" s="12">
        <v>34836.28</v>
      </c>
      <c r="I3" s="66">
        <v>182.98320000000001</v>
      </c>
      <c r="J3">
        <v>25</v>
      </c>
      <c r="L3" t="s">
        <v>20</v>
      </c>
    </row>
    <row r="4" spans="1:16">
      <c r="A4">
        <v>28</v>
      </c>
      <c r="B4">
        <v>11</v>
      </c>
      <c r="C4" t="s">
        <v>5</v>
      </c>
      <c r="D4" s="1">
        <v>41794</v>
      </c>
      <c r="E4">
        <v>249</v>
      </c>
      <c r="F4" s="12">
        <v>172.04</v>
      </c>
      <c r="G4" s="12">
        <v>42837.96</v>
      </c>
      <c r="H4" s="12">
        <v>42837.96</v>
      </c>
      <c r="I4" s="66">
        <v>182.98320000000001</v>
      </c>
      <c r="K4" s="16">
        <f>E4/E3</f>
        <v>0.99860796456024548</v>
      </c>
      <c r="M4" t="s">
        <v>21</v>
      </c>
    </row>
    <row r="5" spans="1:16" ht="5" customHeight="1">
      <c r="A5" s="10"/>
      <c r="B5" s="10"/>
      <c r="C5" s="10"/>
      <c r="D5" s="11"/>
      <c r="E5" s="10"/>
      <c r="F5" s="13"/>
      <c r="G5" s="13"/>
      <c r="H5" s="13"/>
      <c r="I5" s="65"/>
      <c r="J5" s="10"/>
      <c r="K5" s="17"/>
      <c r="L5" s="10"/>
      <c r="M5" s="10"/>
      <c r="N5" s="10"/>
      <c r="O5" s="10"/>
      <c r="P5" s="10"/>
    </row>
    <row r="6" spans="1:16">
      <c r="A6">
        <v>31</v>
      </c>
      <c r="B6">
        <v>7</v>
      </c>
      <c r="C6" t="s">
        <v>2</v>
      </c>
      <c r="D6" s="1">
        <v>41976</v>
      </c>
      <c r="E6">
        <v>264.18049999999999</v>
      </c>
      <c r="F6" s="12">
        <v>168.57</v>
      </c>
      <c r="G6" s="12">
        <v>44532.91</v>
      </c>
      <c r="H6" s="12">
        <v>44532.91</v>
      </c>
      <c r="I6" s="66">
        <v>176.11920000000001</v>
      </c>
      <c r="J6">
        <v>30</v>
      </c>
      <c r="L6" t="s">
        <v>21</v>
      </c>
    </row>
    <row r="7" spans="1:16">
      <c r="A7" s="21">
        <v>91</v>
      </c>
      <c r="B7" s="21">
        <v>1</v>
      </c>
      <c r="C7" s="21" t="s">
        <v>5</v>
      </c>
      <c r="D7" s="22">
        <v>42201</v>
      </c>
      <c r="E7" s="21">
        <v>259.52999999999997</v>
      </c>
      <c r="F7" s="23">
        <v>207.11</v>
      </c>
      <c r="G7" s="14">
        <v>53751.26</v>
      </c>
      <c r="H7" s="14">
        <v>53751.26</v>
      </c>
      <c r="I7" s="67">
        <v>176.1284</v>
      </c>
      <c r="K7" s="16">
        <f>(E3-E4)/E3</f>
        <v>1.3920354397545097E-3</v>
      </c>
      <c r="M7" t="s">
        <v>21</v>
      </c>
    </row>
    <row r="8" spans="1:16">
      <c r="A8" s="4" t="s">
        <v>18</v>
      </c>
      <c r="B8" s="4"/>
      <c r="D8" s="1"/>
      <c r="F8" s="12"/>
      <c r="G8" s="12"/>
      <c r="H8" s="12"/>
      <c r="I8" s="64"/>
    </row>
    <row r="9" spans="1:16">
      <c r="A9">
        <v>27</v>
      </c>
      <c r="B9">
        <v>9</v>
      </c>
      <c r="C9" t="s">
        <v>0</v>
      </c>
      <c r="D9" s="1">
        <v>41521</v>
      </c>
      <c r="E9">
        <v>58.502000000000002</v>
      </c>
      <c r="F9" s="12">
        <v>17.093</v>
      </c>
      <c r="G9" s="12">
        <v>999.99</v>
      </c>
      <c r="H9" s="12">
        <v>999.99</v>
      </c>
      <c r="I9" s="66">
        <v>17.093299999999999</v>
      </c>
    </row>
    <row r="10" spans="1:16">
      <c r="A10">
        <v>29</v>
      </c>
      <c r="B10">
        <v>10</v>
      </c>
      <c r="C10" t="s">
        <v>2</v>
      </c>
      <c r="D10" s="1">
        <v>41794</v>
      </c>
      <c r="E10">
        <v>2347.326</v>
      </c>
      <c r="F10" s="12">
        <v>18.25</v>
      </c>
      <c r="G10" s="12">
        <v>42837.96</v>
      </c>
      <c r="H10" s="12">
        <v>42837.96</v>
      </c>
      <c r="I10" s="66">
        <v>19.410499999999999</v>
      </c>
      <c r="J10">
        <v>28</v>
      </c>
      <c r="L10" t="s">
        <v>19</v>
      </c>
    </row>
    <row r="11" spans="1:16">
      <c r="A11">
        <v>30</v>
      </c>
      <c r="B11">
        <v>8</v>
      </c>
      <c r="C11" t="s">
        <v>5</v>
      </c>
      <c r="D11" s="1">
        <v>41971</v>
      </c>
      <c r="E11">
        <v>2404</v>
      </c>
      <c r="F11" s="12">
        <v>18.524999999999999</v>
      </c>
      <c r="G11" s="12">
        <v>44532.91</v>
      </c>
      <c r="H11" s="12">
        <v>44532.91</v>
      </c>
      <c r="I11" s="66">
        <v>19.354099999999999</v>
      </c>
      <c r="K11" s="16">
        <v>1</v>
      </c>
      <c r="M11" t="s">
        <v>19</v>
      </c>
    </row>
    <row r="12" spans="1:16">
      <c r="A12" s="4" t="s">
        <v>23</v>
      </c>
      <c r="B12" s="4"/>
      <c r="D12" s="1"/>
      <c r="F12" s="12"/>
      <c r="G12" s="12"/>
      <c r="H12" s="12"/>
      <c r="I12" s="64"/>
    </row>
    <row r="13" spans="1:16">
      <c r="A13">
        <v>16</v>
      </c>
      <c r="B13">
        <v>14</v>
      </c>
      <c r="C13" t="s">
        <v>0</v>
      </c>
      <c r="D13" s="1">
        <v>41166</v>
      </c>
      <c r="E13">
        <v>547.64509999999996</v>
      </c>
      <c r="F13" s="12">
        <v>18.260000000000002</v>
      </c>
      <c r="G13" s="12">
        <v>10000</v>
      </c>
      <c r="H13" s="12">
        <v>10000</v>
      </c>
      <c r="I13" s="66">
        <v>18.260000000000002</v>
      </c>
    </row>
    <row r="14" spans="1:16">
      <c r="A14">
        <v>17</v>
      </c>
      <c r="B14">
        <v>15</v>
      </c>
      <c r="C14" t="s">
        <v>0</v>
      </c>
      <c r="D14" s="1">
        <v>41377</v>
      </c>
      <c r="E14">
        <v>1010.611</v>
      </c>
      <c r="F14" s="12">
        <v>19.79</v>
      </c>
      <c r="G14" s="12">
        <v>19999.990000000002</v>
      </c>
      <c r="H14" s="12">
        <v>19999.990000000002</v>
      </c>
      <c r="I14" s="66">
        <v>19.79</v>
      </c>
    </row>
    <row r="15" spans="1:16">
      <c r="A15">
        <v>24</v>
      </c>
      <c r="B15" t="s">
        <v>50</v>
      </c>
      <c r="C15" t="s">
        <v>2</v>
      </c>
      <c r="D15" s="1">
        <v>41383</v>
      </c>
      <c r="E15">
        <v>280.07</v>
      </c>
      <c r="F15" s="12">
        <v>19.68</v>
      </c>
      <c r="G15" s="12">
        <v>5511.77</v>
      </c>
      <c r="H15" s="12">
        <v>5511.77</v>
      </c>
      <c r="I15" s="66">
        <v>55.794199999999996</v>
      </c>
      <c r="J15">
        <v>23</v>
      </c>
      <c r="K15" s="16">
        <f>E15*K4</f>
        <v>279.68013263438792</v>
      </c>
      <c r="L15" t="s">
        <v>24</v>
      </c>
    </row>
    <row r="16" spans="1:16">
      <c r="A16">
        <v>25</v>
      </c>
      <c r="B16" t="s">
        <v>49</v>
      </c>
      <c r="C16" t="s">
        <v>5</v>
      </c>
      <c r="D16" s="1">
        <v>41439</v>
      </c>
      <c r="E16">
        <v>1838.3261</v>
      </c>
      <c r="F16" s="12">
        <v>18.95</v>
      </c>
      <c r="G16" s="12">
        <v>34836.28</v>
      </c>
      <c r="H16" s="12">
        <v>34836.28</v>
      </c>
      <c r="I16" s="66">
        <v>24.819500000000001</v>
      </c>
      <c r="K16" s="16">
        <v>1</v>
      </c>
      <c r="M16" t="s">
        <v>19</v>
      </c>
    </row>
    <row r="17" spans="1:13">
      <c r="A17" s="4" t="s">
        <v>24</v>
      </c>
      <c r="B17" s="4"/>
      <c r="D17" s="1"/>
      <c r="F17" s="12"/>
      <c r="G17" s="12"/>
      <c r="H17" s="12"/>
      <c r="I17" s="64"/>
    </row>
    <row r="18" spans="1:13">
      <c r="A18">
        <v>15</v>
      </c>
      <c r="B18" t="s">
        <v>52</v>
      </c>
      <c r="C18" t="s">
        <v>0</v>
      </c>
      <c r="D18" s="1">
        <v>36841</v>
      </c>
      <c r="E18">
        <v>679.64</v>
      </c>
      <c r="F18" s="12">
        <v>22.992000000000001</v>
      </c>
      <c r="G18" s="12">
        <v>15626.31</v>
      </c>
      <c r="H18" s="12">
        <v>15626.31</v>
      </c>
      <c r="I18" s="66">
        <v>22.992000000000001</v>
      </c>
    </row>
    <row r="19" spans="1:13">
      <c r="A19">
        <v>23</v>
      </c>
      <c r="B19" t="s">
        <v>51</v>
      </c>
      <c r="C19" t="s">
        <v>5</v>
      </c>
      <c r="D19" s="1">
        <v>41383</v>
      </c>
      <c r="E19">
        <v>679.64</v>
      </c>
      <c r="F19" s="12">
        <v>8.11</v>
      </c>
      <c r="G19" s="12">
        <v>5511.77</v>
      </c>
      <c r="H19" s="12">
        <v>5511.77</v>
      </c>
      <c r="I19" s="66">
        <v>22.992000000000001</v>
      </c>
      <c r="K19" s="16">
        <v>1</v>
      </c>
      <c r="L19" t="s">
        <v>20</v>
      </c>
      <c r="M19" t="s">
        <v>25</v>
      </c>
    </row>
    <row r="20" spans="1:13">
      <c r="D20" s="1"/>
    </row>
    <row r="21" spans="1:13">
      <c r="I21" s="64"/>
    </row>
    <row r="22" spans="1:13">
      <c r="A22" t="s">
        <v>29</v>
      </c>
      <c r="C22" t="s">
        <v>30</v>
      </c>
      <c r="I22" s="64"/>
    </row>
    <row r="23" spans="1:13">
      <c r="A23" t="s">
        <v>31</v>
      </c>
      <c r="C23" t="s">
        <v>32</v>
      </c>
      <c r="I23" s="64"/>
      <c r="J23" s="64"/>
    </row>
    <row r="24" spans="1:13">
      <c r="A24" t="s">
        <v>29</v>
      </c>
      <c r="C24" t="s">
        <v>33</v>
      </c>
      <c r="I24" s="64"/>
      <c r="J24" s="64"/>
    </row>
    <row r="25" spans="1:13">
      <c r="A25" t="s">
        <v>34</v>
      </c>
      <c r="C25" t="s">
        <v>35</v>
      </c>
      <c r="I25" s="36"/>
      <c r="J25" s="64"/>
    </row>
    <row r="26" spans="1:13">
      <c r="A26" t="s">
        <v>36</v>
      </c>
      <c r="C26" t="s">
        <v>37</v>
      </c>
      <c r="I26" s="36"/>
      <c r="J26" s="64"/>
    </row>
    <row r="28" spans="1:13">
      <c r="A28" t="s">
        <v>38</v>
      </c>
      <c r="C28" t="s">
        <v>39</v>
      </c>
    </row>
    <row r="29" spans="1:13">
      <c r="A29" t="s">
        <v>40</v>
      </c>
      <c r="C29" t="s">
        <v>41</v>
      </c>
    </row>
    <row r="30" spans="1:13">
      <c r="A30" t="s">
        <v>38</v>
      </c>
      <c r="C30" t="s">
        <v>42</v>
      </c>
    </row>
    <row r="31" spans="1:13">
      <c r="A31" t="s">
        <v>43</v>
      </c>
      <c r="C31" t="s">
        <v>44</v>
      </c>
    </row>
    <row r="32" spans="1:13">
      <c r="A32" t="s">
        <v>45</v>
      </c>
      <c r="C32" t="s">
        <v>46</v>
      </c>
    </row>
    <row r="34" spans="1:3">
      <c r="A34" t="s">
        <v>38</v>
      </c>
      <c r="C34" t="s">
        <v>39</v>
      </c>
    </row>
    <row r="35" spans="1:3">
      <c r="A35" t="s">
        <v>40</v>
      </c>
      <c r="C35" t="s">
        <v>41</v>
      </c>
    </row>
    <row r="36" spans="1:3">
      <c r="A36" t="s">
        <v>38</v>
      </c>
      <c r="C36" t="s">
        <v>42</v>
      </c>
    </row>
    <row r="37" spans="1:3">
      <c r="A37" t="s">
        <v>43</v>
      </c>
      <c r="C37" t="s">
        <v>44</v>
      </c>
    </row>
    <row r="38" spans="1:3">
      <c r="A38" t="s">
        <v>45</v>
      </c>
      <c r="C38" t="s">
        <v>46</v>
      </c>
    </row>
    <row r="45" spans="1:3">
      <c r="C45" s="24"/>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dimension ref="A1:P47"/>
  <sheetViews>
    <sheetView zoomScale="115" zoomScaleNormal="115" workbookViewId="0">
      <pane ySplit="1" topLeftCell="A2" activePane="bottomLeft" state="frozen"/>
      <selection pane="bottomLeft" activeCell="A10" sqref="A10"/>
    </sheetView>
  </sheetViews>
  <sheetFormatPr defaultRowHeight="14.5"/>
  <cols>
    <col min="3" max="3" width="10.6328125" customWidth="1"/>
    <col min="5" max="5" width="9.453125" customWidth="1"/>
    <col min="6" max="7" width="11.54296875" hidden="1" customWidth="1"/>
    <col min="9" max="11" width="9.54296875" customWidth="1"/>
    <col min="16" max="16" width="10.54296875" bestFit="1" customWidth="1"/>
  </cols>
  <sheetData>
    <row r="1" spans="1:16">
      <c r="A1" s="5" t="s">
        <v>6</v>
      </c>
      <c r="B1" s="5" t="s">
        <v>59</v>
      </c>
      <c r="C1" s="5" t="s">
        <v>62</v>
      </c>
      <c r="D1" s="5" t="s">
        <v>7</v>
      </c>
      <c r="E1" s="5" t="s">
        <v>8</v>
      </c>
      <c r="F1" s="5" t="s">
        <v>9</v>
      </c>
      <c r="G1" s="5" t="s">
        <v>10</v>
      </c>
      <c r="H1" s="5" t="s">
        <v>28</v>
      </c>
      <c r="L1" s="5" t="s">
        <v>26</v>
      </c>
      <c r="M1" s="5" t="s">
        <v>27</v>
      </c>
    </row>
    <row r="2" spans="1:16">
      <c r="A2" s="4" t="s">
        <v>11</v>
      </c>
    </row>
    <row r="3" spans="1:16">
      <c r="A3">
        <v>1</v>
      </c>
      <c r="B3" t="s">
        <v>0</v>
      </c>
      <c r="C3" s="1">
        <v>41172</v>
      </c>
      <c r="D3">
        <v>325.52199999999999</v>
      </c>
      <c r="E3" s="3">
        <v>30.72</v>
      </c>
      <c r="F3" s="3">
        <v>9999.99</v>
      </c>
      <c r="G3" s="3">
        <v>9999.99</v>
      </c>
      <c r="H3">
        <v>1</v>
      </c>
    </row>
    <row r="4" spans="1:16">
      <c r="A4">
        <v>2</v>
      </c>
      <c r="B4" t="s">
        <v>0</v>
      </c>
      <c r="C4" s="1">
        <v>41187</v>
      </c>
      <c r="D4" s="2">
        <v>1267.6880000000001</v>
      </c>
      <c r="E4" s="3">
        <v>31.553000000000001</v>
      </c>
      <c r="F4" s="3">
        <v>39999.980000000003</v>
      </c>
      <c r="G4" s="3">
        <v>39999.980000000003</v>
      </c>
      <c r="H4" s="2">
        <v>1</v>
      </c>
      <c r="I4" s="2"/>
      <c r="J4" s="2"/>
      <c r="K4" s="2"/>
    </row>
    <row r="5" spans="1:16">
      <c r="A5">
        <v>3</v>
      </c>
      <c r="B5" t="s">
        <v>0</v>
      </c>
      <c r="C5" s="1">
        <v>41410</v>
      </c>
      <c r="D5">
        <v>522.37400000000002</v>
      </c>
      <c r="E5" s="3">
        <v>38.286999999999999</v>
      </c>
      <c r="F5" s="3">
        <v>20000.02</v>
      </c>
      <c r="G5" s="3">
        <v>20000.02</v>
      </c>
      <c r="H5">
        <v>1</v>
      </c>
      <c r="I5" s="2"/>
      <c r="J5" s="2"/>
      <c r="K5" s="2"/>
    </row>
    <row r="6" spans="1:16">
      <c r="A6">
        <v>4</v>
      </c>
      <c r="B6" t="s">
        <v>1</v>
      </c>
      <c r="C6" s="1">
        <v>41438</v>
      </c>
      <c r="D6" s="2">
        <v>1415.5820000000001</v>
      </c>
      <c r="E6" s="3">
        <v>33.982999999999997</v>
      </c>
      <c r="F6" s="3">
        <v>48106.28</v>
      </c>
      <c r="G6" s="3">
        <v>48106.28</v>
      </c>
      <c r="H6" s="2">
        <v>1</v>
      </c>
      <c r="I6" s="2"/>
      <c r="J6" s="2"/>
      <c r="K6" s="2"/>
    </row>
    <row r="7" spans="1:16">
      <c r="A7">
        <v>5</v>
      </c>
      <c r="B7" t="s">
        <v>1</v>
      </c>
      <c r="C7" s="1">
        <v>41492</v>
      </c>
      <c r="D7">
        <v>178</v>
      </c>
      <c r="E7" s="3">
        <v>33.896000000000001</v>
      </c>
      <c r="F7" s="3">
        <v>6033.56</v>
      </c>
      <c r="G7" s="3">
        <v>6033.56</v>
      </c>
      <c r="H7">
        <v>1</v>
      </c>
      <c r="I7" s="2"/>
      <c r="J7" s="2"/>
      <c r="K7" s="2"/>
    </row>
    <row r="8" spans="1:16">
      <c r="A8">
        <v>6</v>
      </c>
      <c r="B8" t="s">
        <v>1</v>
      </c>
      <c r="C8" s="1">
        <v>41506</v>
      </c>
      <c r="D8">
        <v>522.00199999999995</v>
      </c>
      <c r="E8" s="3">
        <v>32.47</v>
      </c>
      <c r="F8" s="3">
        <v>16949.560000000001</v>
      </c>
      <c r="G8" s="3">
        <v>16949.560000000001</v>
      </c>
      <c r="H8">
        <v>1</v>
      </c>
      <c r="I8" s="2">
        <f>170/D9*27</f>
        <v>26.344638378226353</v>
      </c>
      <c r="J8" s="2"/>
      <c r="K8" s="2"/>
    </row>
    <row r="9" spans="1:16">
      <c r="A9" s="6">
        <v>41</v>
      </c>
      <c r="B9" s="6" t="s">
        <v>2</v>
      </c>
      <c r="C9" s="7">
        <v>42047</v>
      </c>
      <c r="D9" s="6">
        <v>174.22900000000001</v>
      </c>
      <c r="E9" s="8">
        <v>39.429000000000002</v>
      </c>
      <c r="F9" s="8">
        <v>6869.7</v>
      </c>
      <c r="G9" s="8">
        <v>6869.7</v>
      </c>
      <c r="H9" s="6">
        <v>1</v>
      </c>
      <c r="L9" t="s">
        <v>3</v>
      </c>
      <c r="N9" t="s">
        <v>4</v>
      </c>
    </row>
    <row r="10" spans="1:16">
      <c r="A10" s="6">
        <v>95</v>
      </c>
      <c r="B10" s="6" t="s">
        <v>5</v>
      </c>
      <c r="C10" s="7">
        <v>42207</v>
      </c>
      <c r="D10" s="10">
        <v>150</v>
      </c>
      <c r="E10" s="8">
        <v>39.578000000000003</v>
      </c>
      <c r="F10" s="8">
        <v>5936.65</v>
      </c>
      <c r="G10" s="8">
        <v>5936.65</v>
      </c>
      <c r="H10" s="6">
        <v>1</v>
      </c>
      <c r="M10" t="s">
        <v>3</v>
      </c>
    </row>
    <row r="12" spans="1:16">
      <c r="A12" s="4" t="s">
        <v>3</v>
      </c>
    </row>
    <row r="13" spans="1:16">
      <c r="A13" s="6">
        <v>7</v>
      </c>
      <c r="B13" s="6" t="s">
        <v>0</v>
      </c>
      <c r="C13" s="7">
        <v>41492</v>
      </c>
      <c r="D13" s="9">
        <v>24.091999999999999</v>
      </c>
      <c r="E13" s="8">
        <v>250.441</v>
      </c>
      <c r="F13" s="8">
        <v>6033.63</v>
      </c>
      <c r="G13" s="8">
        <v>6033.63</v>
      </c>
      <c r="H13" s="6">
        <v>1</v>
      </c>
      <c r="I13" s="2">
        <f>D13</f>
        <v>24.091999999999999</v>
      </c>
      <c r="J13" s="2"/>
      <c r="K13" s="2"/>
      <c r="N13" t="s">
        <v>12</v>
      </c>
      <c r="P13" s="3">
        <f>I13*E13</f>
        <v>6033.6245719999997</v>
      </c>
    </row>
    <row r="14" spans="1:16">
      <c r="A14" s="6">
        <v>39</v>
      </c>
      <c r="B14" s="6" t="s">
        <v>2</v>
      </c>
      <c r="C14" s="6">
        <v>41673</v>
      </c>
      <c r="D14" s="6">
        <v>3.1440000000000001</v>
      </c>
      <c r="E14" s="6">
        <v>304.86599999999999</v>
      </c>
      <c r="F14" s="6">
        <v>958.5</v>
      </c>
      <c r="G14" s="6">
        <v>958.5</v>
      </c>
      <c r="H14" s="6">
        <v>1</v>
      </c>
      <c r="I14" s="2">
        <f>+I8-I13</f>
        <v>2.2526383782263544</v>
      </c>
      <c r="J14" s="2"/>
      <c r="K14" s="2"/>
      <c r="L14" t="s">
        <v>13</v>
      </c>
      <c r="N14" t="s">
        <v>14</v>
      </c>
    </row>
    <row r="15" spans="1:16">
      <c r="A15" s="6">
        <v>40</v>
      </c>
      <c r="B15" s="6" t="s">
        <v>5</v>
      </c>
      <c r="C15" s="7">
        <v>42047</v>
      </c>
      <c r="D15" s="10">
        <v>15</v>
      </c>
      <c r="E15" s="8">
        <v>457.98</v>
      </c>
      <c r="F15" s="8">
        <v>6869.7</v>
      </c>
      <c r="G15" s="8">
        <v>6869.7</v>
      </c>
      <c r="H15" s="6">
        <v>1</v>
      </c>
      <c r="I15">
        <f>+I14/D14*D21</f>
        <v>53.736602534025621</v>
      </c>
      <c r="M15" t="s">
        <v>15</v>
      </c>
      <c r="N15" t="s">
        <v>4</v>
      </c>
    </row>
    <row r="16" spans="1:16">
      <c r="A16">
        <v>96</v>
      </c>
      <c r="B16" t="s">
        <v>2</v>
      </c>
      <c r="C16" s="1">
        <v>42208</v>
      </c>
      <c r="D16">
        <v>10.042999999999999</v>
      </c>
      <c r="E16" s="3">
        <v>591.12300000000005</v>
      </c>
      <c r="F16" s="3">
        <v>5936.65</v>
      </c>
      <c r="G16" s="3">
        <v>5936.65</v>
      </c>
      <c r="H16">
        <v>1</v>
      </c>
      <c r="L16" t="s">
        <v>15</v>
      </c>
    </row>
    <row r="17" spans="1:16">
      <c r="A17">
        <v>104</v>
      </c>
      <c r="B17" t="s">
        <v>2</v>
      </c>
      <c r="C17" s="1">
        <v>42311</v>
      </c>
      <c r="D17">
        <v>4.7E-2</v>
      </c>
      <c r="E17" s="3">
        <v>507.02100000000002</v>
      </c>
      <c r="F17" s="3">
        <v>23.83</v>
      </c>
      <c r="G17" s="3">
        <v>23.83</v>
      </c>
      <c r="H17">
        <v>1</v>
      </c>
      <c r="L17" t="s">
        <v>13</v>
      </c>
    </row>
    <row r="19" spans="1:16">
      <c r="A19" s="4" t="s">
        <v>17</v>
      </c>
    </row>
    <row r="20" spans="1:16">
      <c r="A20" s="6">
        <v>37</v>
      </c>
      <c r="B20" s="6" t="s">
        <v>0</v>
      </c>
      <c r="C20" s="7">
        <v>41534</v>
      </c>
      <c r="D20" s="6">
        <v>76.745999999999995</v>
      </c>
      <c r="E20" s="8">
        <v>13.03</v>
      </c>
      <c r="F20" s="8">
        <v>1000</v>
      </c>
      <c r="G20" s="8">
        <v>1000</v>
      </c>
      <c r="H20" s="6">
        <v>1</v>
      </c>
      <c r="I20" s="6">
        <v>53.736600000000003</v>
      </c>
      <c r="J20" s="6"/>
      <c r="K20" s="6"/>
      <c r="L20" s="6"/>
      <c r="M20" s="6" t="s">
        <v>16</v>
      </c>
      <c r="N20" s="6"/>
      <c r="P20">
        <f>I20*D20</f>
        <v>4124.0691035999998</v>
      </c>
    </row>
    <row r="21" spans="1:16">
      <c r="A21" s="6">
        <v>38</v>
      </c>
      <c r="B21" s="6" t="s">
        <v>5</v>
      </c>
      <c r="C21" s="7">
        <v>41673</v>
      </c>
      <c r="D21" s="6">
        <v>75</v>
      </c>
      <c r="E21" s="8">
        <v>12.78</v>
      </c>
      <c r="F21" s="8">
        <v>958.5</v>
      </c>
      <c r="G21" s="8">
        <v>958.5</v>
      </c>
      <c r="H21" s="6">
        <v>1</v>
      </c>
      <c r="L21" s="6" t="s">
        <v>3</v>
      </c>
      <c r="M21" s="6" t="s">
        <v>14</v>
      </c>
      <c r="N21" s="6"/>
      <c r="P21" s="3">
        <f>SUM(P13:P20)</f>
        <v>10157.6936756</v>
      </c>
    </row>
    <row r="22" spans="1:16">
      <c r="A22">
        <v>103</v>
      </c>
      <c r="B22" t="s">
        <v>5</v>
      </c>
      <c r="C22" s="1">
        <v>42310</v>
      </c>
      <c r="D22">
        <v>1.746</v>
      </c>
      <c r="E22" s="3">
        <v>13.648</v>
      </c>
      <c r="F22" s="3">
        <v>23.83</v>
      </c>
      <c r="G22" s="3">
        <v>23.83</v>
      </c>
      <c r="H22">
        <v>1</v>
      </c>
      <c r="L22" t="s">
        <v>3</v>
      </c>
      <c r="P22" s="3">
        <f>P21/170</f>
        <v>59.751139268235292</v>
      </c>
    </row>
    <row r="23" spans="1:16">
      <c r="C23" s="1"/>
      <c r="E23" s="3"/>
      <c r="F23" s="3"/>
      <c r="G23" s="3"/>
      <c r="P23" s="3"/>
    </row>
    <row r="24" spans="1:16">
      <c r="C24" s="1"/>
      <c r="E24" s="3"/>
      <c r="F24" s="3"/>
      <c r="G24" s="3"/>
      <c r="P24" s="3"/>
    </row>
    <row r="25" spans="1:16">
      <c r="C25" s="1"/>
      <c r="E25" s="3"/>
      <c r="F25" s="3"/>
      <c r="G25" s="3"/>
      <c r="P25" s="3"/>
    </row>
    <row r="26" spans="1:16">
      <c r="A26" s="4" t="s">
        <v>22</v>
      </c>
      <c r="C26" s="1"/>
      <c r="E26" s="3"/>
      <c r="F26" s="3"/>
      <c r="G26" s="3"/>
      <c r="P26" s="3"/>
    </row>
    <row r="27" spans="1:16">
      <c r="A27">
        <v>26</v>
      </c>
      <c r="B27" t="s">
        <v>2</v>
      </c>
      <c r="C27" s="1">
        <v>41439</v>
      </c>
      <c r="D27">
        <v>249.34710000000001</v>
      </c>
      <c r="E27" s="12">
        <v>139.71</v>
      </c>
      <c r="F27" s="12">
        <v>34836.28</v>
      </c>
      <c r="G27" s="12">
        <v>34836.28</v>
      </c>
      <c r="H27">
        <v>25</v>
      </c>
      <c r="L27" t="s">
        <v>20</v>
      </c>
    </row>
    <row r="28" spans="1:16">
      <c r="A28">
        <v>28</v>
      </c>
      <c r="B28" t="s">
        <v>5</v>
      </c>
      <c r="C28" s="1">
        <v>41794</v>
      </c>
      <c r="D28">
        <v>249</v>
      </c>
      <c r="E28" s="12">
        <v>172.04</v>
      </c>
      <c r="F28" s="12">
        <v>42837.96</v>
      </c>
      <c r="G28" s="12">
        <v>42837.96</v>
      </c>
      <c r="M28" t="s">
        <v>21</v>
      </c>
    </row>
    <row r="29" spans="1:16" ht="5" customHeight="1">
      <c r="A29" s="10"/>
      <c r="B29" s="10"/>
      <c r="C29" s="11"/>
      <c r="D29" s="10"/>
      <c r="E29" s="13"/>
      <c r="F29" s="13"/>
      <c r="G29" s="13"/>
      <c r="H29" s="10"/>
      <c r="I29" s="10"/>
      <c r="J29" s="10"/>
      <c r="K29" s="10"/>
      <c r="L29" s="10"/>
      <c r="M29" s="10"/>
      <c r="N29" s="10"/>
      <c r="O29" s="10"/>
      <c r="P29" s="10"/>
    </row>
    <row r="30" spans="1:16">
      <c r="A30">
        <v>31</v>
      </c>
      <c r="B30" t="s">
        <v>2</v>
      </c>
      <c r="C30" s="1">
        <v>41976</v>
      </c>
      <c r="D30">
        <v>264.18049999999999</v>
      </c>
      <c r="E30" s="12">
        <v>168.57</v>
      </c>
      <c r="F30" s="12">
        <v>44532.91</v>
      </c>
      <c r="G30" s="12">
        <v>44532.91</v>
      </c>
      <c r="H30">
        <v>30</v>
      </c>
      <c r="L30" t="s">
        <v>21</v>
      </c>
    </row>
    <row r="31" spans="1:16">
      <c r="A31" s="6">
        <v>91</v>
      </c>
      <c r="B31" s="6" t="s">
        <v>5</v>
      </c>
      <c r="C31" s="7">
        <v>42201</v>
      </c>
      <c r="D31" s="6">
        <v>259.52999999999997</v>
      </c>
      <c r="E31" s="14">
        <v>207.11</v>
      </c>
      <c r="F31" s="14">
        <v>53751.26</v>
      </c>
      <c r="G31" s="14">
        <v>53751.26</v>
      </c>
      <c r="M31" t="s">
        <v>21</v>
      </c>
    </row>
    <row r="32" spans="1:16">
      <c r="C32" s="1"/>
      <c r="E32" s="12"/>
      <c r="F32" s="12"/>
      <c r="G32" s="12"/>
    </row>
    <row r="33" spans="1:13">
      <c r="A33" s="4" t="s">
        <v>18</v>
      </c>
      <c r="C33" s="1"/>
      <c r="E33" s="12"/>
      <c r="F33" s="12"/>
      <c r="G33" s="12"/>
    </row>
    <row r="34" spans="1:13">
      <c r="A34">
        <v>27</v>
      </c>
      <c r="B34" t="s">
        <v>0</v>
      </c>
      <c r="C34" s="1">
        <v>41521</v>
      </c>
      <c r="D34">
        <v>58.502000000000002</v>
      </c>
      <c r="E34" s="12">
        <v>17.093</v>
      </c>
      <c r="F34" s="12">
        <v>999.99</v>
      </c>
      <c r="G34" s="12">
        <v>999.99</v>
      </c>
      <c r="I34" s="15">
        <v>58.502000000000002</v>
      </c>
      <c r="J34" s="15"/>
      <c r="K34" s="15">
        <f>I34*E34</f>
        <v>999.97468600000002</v>
      </c>
    </row>
    <row r="35" spans="1:13">
      <c r="A35">
        <v>29</v>
      </c>
      <c r="B35" t="s">
        <v>2</v>
      </c>
      <c r="C35" s="1">
        <v>41794</v>
      </c>
      <c r="D35">
        <v>2347.326</v>
      </c>
      <c r="E35" s="12">
        <v>18.25</v>
      </c>
      <c r="F35" s="12">
        <v>42837.96</v>
      </c>
      <c r="G35" s="12">
        <v>42837.96</v>
      </c>
      <c r="H35">
        <v>28</v>
      </c>
      <c r="L35" t="s">
        <v>19</v>
      </c>
    </row>
    <row r="36" spans="1:13">
      <c r="A36">
        <v>30</v>
      </c>
      <c r="B36" t="s">
        <v>5</v>
      </c>
      <c r="C36" s="1">
        <v>41971</v>
      </c>
      <c r="D36">
        <v>2404</v>
      </c>
      <c r="E36" s="12">
        <v>18.524999999999999</v>
      </c>
      <c r="F36" s="12">
        <v>44532.91</v>
      </c>
      <c r="G36" s="12">
        <v>44532.91</v>
      </c>
      <c r="M36" t="s">
        <v>19</v>
      </c>
    </row>
    <row r="37" spans="1:13">
      <c r="C37" s="1"/>
      <c r="E37" s="12"/>
      <c r="F37" s="12"/>
      <c r="G37" s="12"/>
    </row>
    <row r="38" spans="1:13">
      <c r="A38" s="4" t="s">
        <v>23</v>
      </c>
      <c r="C38" s="1"/>
      <c r="E38" s="12"/>
      <c r="F38" s="12"/>
      <c r="G38" s="12"/>
    </row>
    <row r="39" spans="1:13">
      <c r="A39">
        <v>16</v>
      </c>
      <c r="B39" t="s">
        <v>0</v>
      </c>
      <c r="C39" s="1">
        <v>41166</v>
      </c>
      <c r="D39">
        <v>547.64509999999996</v>
      </c>
      <c r="E39" s="12">
        <v>18.260000000000002</v>
      </c>
      <c r="F39" s="12">
        <v>10000</v>
      </c>
      <c r="G39" s="12">
        <v>10000</v>
      </c>
      <c r="I39" s="15">
        <v>2.55901511721861</v>
      </c>
      <c r="J39" s="15">
        <v>547.645126</v>
      </c>
      <c r="K39" s="15"/>
    </row>
    <row r="40" spans="1:13">
      <c r="A40">
        <v>17</v>
      </c>
      <c r="B40" t="s">
        <v>0</v>
      </c>
      <c r="C40" s="1">
        <v>41377</v>
      </c>
      <c r="D40">
        <v>1010.611</v>
      </c>
      <c r="E40" s="12">
        <v>19.79</v>
      </c>
      <c r="F40" s="12">
        <v>19999.990000000002</v>
      </c>
      <c r="G40" s="12">
        <v>19999.990000000002</v>
      </c>
      <c r="I40" s="15">
        <v>1010.611</v>
      </c>
      <c r="J40" s="15"/>
      <c r="K40" s="15"/>
    </row>
    <row r="41" spans="1:13">
      <c r="A41">
        <v>24</v>
      </c>
      <c r="B41" t="s">
        <v>2</v>
      </c>
      <c r="C41" s="1">
        <v>41383</v>
      </c>
      <c r="D41">
        <v>280.07</v>
      </c>
      <c r="E41" s="12">
        <v>19.68</v>
      </c>
      <c r="F41" s="12">
        <v>5511.77</v>
      </c>
      <c r="G41" s="12">
        <v>5511.77</v>
      </c>
      <c r="H41">
        <v>23</v>
      </c>
      <c r="L41" t="s">
        <v>24</v>
      </c>
    </row>
    <row r="42" spans="1:13">
      <c r="A42">
        <v>25</v>
      </c>
      <c r="B42" t="s">
        <v>5</v>
      </c>
      <c r="C42" s="1">
        <v>41439</v>
      </c>
      <c r="D42">
        <v>1838.3261</v>
      </c>
      <c r="E42" s="12">
        <v>18.95</v>
      </c>
      <c r="F42" s="12">
        <v>34836.28</v>
      </c>
      <c r="G42" s="12">
        <v>34836.28</v>
      </c>
      <c r="M42" t="s">
        <v>19</v>
      </c>
    </row>
    <row r="43" spans="1:13">
      <c r="C43" s="1"/>
      <c r="E43" s="12"/>
      <c r="F43" s="12"/>
      <c r="G43" s="12"/>
    </row>
    <row r="44" spans="1:13">
      <c r="A44" s="4" t="s">
        <v>24</v>
      </c>
      <c r="C44" s="1"/>
      <c r="E44" s="12"/>
      <c r="F44" s="12"/>
      <c r="G44" s="12"/>
    </row>
    <row r="45" spans="1:13">
      <c r="A45">
        <v>15</v>
      </c>
      <c r="B45" t="s">
        <v>0</v>
      </c>
      <c r="C45" s="1">
        <v>36841</v>
      </c>
      <c r="D45">
        <v>679.64</v>
      </c>
      <c r="E45" s="12">
        <v>22.992000000000001</v>
      </c>
      <c r="F45" s="12">
        <v>15626.31</v>
      </c>
      <c r="G45" s="12">
        <v>15626.31</v>
      </c>
      <c r="I45" s="15">
        <v>583.65273335698896</v>
      </c>
      <c r="J45" s="15"/>
      <c r="K45" s="15"/>
    </row>
    <row r="46" spans="1:13">
      <c r="A46">
        <v>23</v>
      </c>
      <c r="B46" t="s">
        <v>5</v>
      </c>
      <c r="C46" s="1">
        <v>41383</v>
      </c>
      <c r="D46">
        <v>679.64</v>
      </c>
      <c r="E46" s="12">
        <v>8.11</v>
      </c>
      <c r="F46" s="12">
        <v>5511.77</v>
      </c>
      <c r="G46" s="12">
        <v>5511.77</v>
      </c>
      <c r="L46" t="s">
        <v>20</v>
      </c>
      <c r="M46" t="s">
        <v>25</v>
      </c>
    </row>
    <row r="47" spans="1:13">
      <c r="C47" s="1"/>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Taula Moviments Sencera</vt:lpstr>
      <vt:lpstr>MovId=30</vt:lpstr>
      <vt:lpstr>MovId=30 (2)</vt:lpstr>
      <vt:lpstr>NovaTaulaDesgloç</vt:lpstr>
      <vt:lpstr>Sheet5</vt:lpstr>
      <vt:lpstr>Sheet4</vt:lpstr>
      <vt:lpstr>Sheet3</vt:lpstr>
      <vt:lpstr>Sheet2</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joanp</dc:creator>
  <cp:lastModifiedBy>joanp</cp:lastModifiedBy>
  <dcterms:created xsi:type="dcterms:W3CDTF">2018-06-01T17:01:42Z</dcterms:created>
  <dcterms:modified xsi:type="dcterms:W3CDTF">2018-10-25T21:30:12Z</dcterms:modified>
</cp:coreProperties>
</file>