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8_{3FD11972-4A94-41F5-8B6F-F139531A30D4}" xr6:coauthVersionLast="47" xr6:coauthVersionMax="47" xr10:uidLastSave="{00000000-0000-0000-0000-000000000000}"/>
  <bookViews>
    <workbookView xWindow="-110" yWindow="-110" windowWidth="19420" windowHeight="10420" xr2:uid="{ADA1D320-6323-4527-A991-9F1E4B2F5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l="1"/>
  <c r="L26" i="1" s="1"/>
  <c r="L27" i="1" l="1"/>
  <c r="L28" i="1" s="1"/>
  <c r="L29" i="1" s="1"/>
  <c r="L30" i="1" s="1"/>
  <c r="L31" i="1" s="1"/>
  <c r="L32" i="1" s="1"/>
  <c r="L33" i="1" s="1"/>
  <c r="L34" i="1" l="1"/>
  <c r="L35" i="1" s="1"/>
  <c r="L36" i="1" s="1"/>
  <c r="L37" i="1" s="1"/>
  <c r="L38" i="1" s="1"/>
  <c r="L39" i="1" s="1"/>
  <c r="L40" i="1" s="1"/>
  <c r="L41" i="1" s="1"/>
  <c r="L42" i="1" s="1"/>
  <c r="L43" i="1" s="1"/>
</calcChain>
</file>

<file path=xl/sharedStrings.xml><?xml version="1.0" encoding="utf-8"?>
<sst xmlns="http://schemas.openxmlformats.org/spreadsheetml/2006/main" count="55" uniqueCount="16">
  <si>
    <t>Compra</t>
  </si>
  <si>
    <t>Dividends</t>
  </si>
  <si>
    <t>He sumat varies despesses anteriors.</t>
  </si>
  <si>
    <t>Acumulades despeses antigues.</t>
  </si>
  <si>
    <t>Acumulo despeses antigues. Son tres accions que no tenen cost.</t>
  </si>
  <si>
    <t>Primera compra a SelfBank.</t>
  </si>
  <si>
    <t>Venda</t>
  </si>
  <si>
    <t>Venda ActivoBank.</t>
  </si>
  <si>
    <t>Ampliació de capital de Telefònica.</t>
  </si>
  <si>
    <t>Import net: 1.491,84 €</t>
  </si>
  <si>
    <t>Parts</t>
  </si>
  <si>
    <t>PU</t>
  </si>
  <si>
    <t>Brut</t>
  </si>
  <si>
    <t>Net</t>
  </si>
  <si>
    <t>Desp</t>
  </si>
  <si>
    <t>Sum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</si>
</sst>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3876-B890-4872-8F45-A4322D047078}">
  <dimension ref="A1:L43"/>
  <sheetViews>
    <sheetView tabSelected="1" zoomScale="145" zoomScaleNormal="145" workbookViewId="0">
      <pane ySplit="1" topLeftCell="A2" activePane="bottomLeft" state="frozen"/>
      <selection pane="bottomLeft" activeCell="N3" sqref="N3"/>
    </sheetView>
  </sheetViews>
  <sheetFormatPr defaultRowHeight="14.5" x14ac:dyDescent="0.35"/>
  <cols>
    <col min="1" max="1" width="3.81640625" bestFit="1" customWidth="1"/>
    <col min="2" max="2" width="13.81640625" customWidth="1"/>
    <col min="3" max="3" width="10.453125" bestFit="1" customWidth="1"/>
    <col min="5" max="5" width="9.26953125" bestFit="1" customWidth="1"/>
    <col min="6" max="7" width="10.26953125" hidden="1" customWidth="1"/>
    <col min="8" max="8" width="0" hidden="1" customWidth="1"/>
    <col min="10" max="10" width="0" style="6" hidden="1" customWidth="1"/>
    <col min="11" max="11" width="2.54296875" customWidth="1"/>
  </cols>
  <sheetData>
    <row r="1" spans="1:12" x14ac:dyDescent="0.35">
      <c r="A1" s="7"/>
      <c r="B1" s="7"/>
      <c r="C1" s="7"/>
      <c r="D1" s="7" t="s">
        <v>10</v>
      </c>
      <c r="E1" s="7" t="s">
        <v>11</v>
      </c>
      <c r="F1" s="7" t="s">
        <v>12</v>
      </c>
      <c r="G1" s="7" t="s">
        <v>13</v>
      </c>
      <c r="H1" s="7"/>
      <c r="I1" s="7" t="s">
        <v>14</v>
      </c>
      <c r="L1" s="7" t="s">
        <v>15</v>
      </c>
    </row>
    <row r="2" spans="1:12" x14ac:dyDescent="0.35">
      <c r="A2" s="1">
        <v>43</v>
      </c>
      <c r="B2" s="1" t="s">
        <v>0</v>
      </c>
      <c r="C2" s="2">
        <v>36850</v>
      </c>
      <c r="D2" s="1">
        <v>60</v>
      </c>
      <c r="E2" s="3">
        <v>20.100000000000001</v>
      </c>
      <c r="F2" s="3">
        <v>1206</v>
      </c>
      <c r="G2" s="3">
        <v>1208.53</v>
      </c>
      <c r="H2" s="1">
        <v>1</v>
      </c>
      <c r="I2" s="3">
        <v>2.5299999999999998</v>
      </c>
      <c r="J2" s="5"/>
      <c r="L2">
        <f>D2</f>
        <v>60</v>
      </c>
    </row>
    <row r="3" spans="1:12" x14ac:dyDescent="0.35">
      <c r="A3" s="1">
        <v>45</v>
      </c>
      <c r="B3" s="1" t="s">
        <v>1</v>
      </c>
      <c r="C3" s="2">
        <v>36909</v>
      </c>
      <c r="D3" s="1">
        <v>0</v>
      </c>
      <c r="E3" s="3">
        <v>3.54</v>
      </c>
      <c r="F3" s="3">
        <v>3.54</v>
      </c>
      <c r="G3" s="3">
        <v>3.54</v>
      </c>
      <c r="H3" s="1">
        <v>1</v>
      </c>
      <c r="I3" s="1"/>
      <c r="J3" s="5"/>
      <c r="L3">
        <f>L2+D3</f>
        <v>60</v>
      </c>
    </row>
    <row r="4" spans="1:12" x14ac:dyDescent="0.35">
      <c r="A4" s="1">
        <v>46</v>
      </c>
      <c r="B4" s="1" t="s">
        <v>0</v>
      </c>
      <c r="C4" s="2">
        <v>36910</v>
      </c>
      <c r="D4" s="1">
        <v>1</v>
      </c>
      <c r="E4" s="3">
        <v>3.25</v>
      </c>
      <c r="F4" s="3">
        <v>3.25</v>
      </c>
      <c r="G4" s="3">
        <v>3.25</v>
      </c>
      <c r="H4" s="1">
        <v>1</v>
      </c>
      <c r="I4" s="1"/>
      <c r="J4" s="5"/>
      <c r="L4">
        <f t="shared" ref="L4:L42" si="0">L3+D4</f>
        <v>61</v>
      </c>
    </row>
    <row r="5" spans="1:12" x14ac:dyDescent="0.35">
      <c r="A5" s="1">
        <v>47</v>
      </c>
      <c r="B5" s="1" t="s">
        <v>1</v>
      </c>
      <c r="C5" s="2">
        <v>36969</v>
      </c>
      <c r="D5" s="1">
        <v>0</v>
      </c>
      <c r="E5" s="3">
        <v>3.61</v>
      </c>
      <c r="F5" s="3">
        <v>3.61</v>
      </c>
      <c r="G5" s="3">
        <v>3.61</v>
      </c>
      <c r="H5" s="1">
        <v>1</v>
      </c>
      <c r="I5" s="1"/>
      <c r="J5" s="5"/>
      <c r="L5">
        <f t="shared" si="0"/>
        <v>61</v>
      </c>
    </row>
    <row r="6" spans="1:12" x14ac:dyDescent="0.35">
      <c r="A6" s="1">
        <v>48</v>
      </c>
      <c r="B6" s="1" t="s">
        <v>1</v>
      </c>
      <c r="C6" s="2">
        <v>36970</v>
      </c>
      <c r="D6" s="1">
        <v>0</v>
      </c>
      <c r="E6" s="3">
        <v>17.91</v>
      </c>
      <c r="F6" s="3">
        <v>17.91</v>
      </c>
      <c r="G6" s="3">
        <v>17.91</v>
      </c>
      <c r="H6" s="1">
        <v>1</v>
      </c>
      <c r="I6" s="1"/>
      <c r="J6" s="5"/>
      <c r="L6">
        <f t="shared" si="0"/>
        <v>61</v>
      </c>
    </row>
    <row r="7" spans="1:12" x14ac:dyDescent="0.35">
      <c r="A7" s="1">
        <v>49</v>
      </c>
      <c r="B7" s="1" t="s">
        <v>0</v>
      </c>
      <c r="C7" s="2">
        <v>36970</v>
      </c>
      <c r="D7" s="1">
        <v>1</v>
      </c>
      <c r="E7" s="3">
        <v>3.25</v>
      </c>
      <c r="F7" s="3">
        <v>3.25</v>
      </c>
      <c r="G7" s="3">
        <v>3.25</v>
      </c>
      <c r="H7" s="1">
        <v>1</v>
      </c>
      <c r="I7" s="1"/>
      <c r="J7" s="5"/>
      <c r="L7">
        <f t="shared" si="0"/>
        <v>62</v>
      </c>
    </row>
    <row r="8" spans="1:12" x14ac:dyDescent="0.35">
      <c r="A8" s="1">
        <v>50</v>
      </c>
      <c r="B8" s="1" t="s">
        <v>1</v>
      </c>
      <c r="C8" s="2">
        <v>37294</v>
      </c>
      <c r="D8" s="1">
        <v>0</v>
      </c>
      <c r="E8" s="3">
        <v>2.31</v>
      </c>
      <c r="F8" s="3">
        <v>2.31</v>
      </c>
      <c r="G8" s="3">
        <v>2.31</v>
      </c>
      <c r="H8" s="1">
        <v>1</v>
      </c>
      <c r="I8" s="1"/>
      <c r="J8" s="5"/>
      <c r="L8">
        <f t="shared" si="0"/>
        <v>62</v>
      </c>
    </row>
    <row r="9" spans="1:12" x14ac:dyDescent="0.35">
      <c r="A9" s="1">
        <v>51</v>
      </c>
      <c r="B9" s="1" t="s">
        <v>0</v>
      </c>
      <c r="C9" s="2">
        <v>37295</v>
      </c>
      <c r="D9" s="1">
        <v>1</v>
      </c>
      <c r="E9" s="3">
        <v>3.25</v>
      </c>
      <c r="F9" s="3">
        <v>3.25</v>
      </c>
      <c r="G9" s="3">
        <v>12.32</v>
      </c>
      <c r="H9" s="1">
        <v>1</v>
      </c>
      <c r="I9" s="3">
        <v>9.07</v>
      </c>
      <c r="J9" s="5" t="s">
        <v>2</v>
      </c>
      <c r="L9">
        <f t="shared" si="0"/>
        <v>63</v>
      </c>
    </row>
    <row r="10" spans="1:12" x14ac:dyDescent="0.35">
      <c r="A10" s="1">
        <v>52</v>
      </c>
      <c r="B10" s="1" t="s">
        <v>1</v>
      </c>
      <c r="C10" s="2">
        <v>37302</v>
      </c>
      <c r="D10" s="1">
        <v>0</v>
      </c>
      <c r="E10" s="3">
        <v>16.02</v>
      </c>
      <c r="F10" s="3">
        <v>16.02</v>
      </c>
      <c r="G10" s="3">
        <v>16.02</v>
      </c>
      <c r="H10" s="1">
        <v>1</v>
      </c>
      <c r="I10" s="1"/>
      <c r="J10" s="5"/>
      <c r="L10">
        <f t="shared" si="0"/>
        <v>63</v>
      </c>
    </row>
    <row r="11" spans="1:12" x14ac:dyDescent="0.35">
      <c r="A11" s="1">
        <v>53</v>
      </c>
      <c r="B11" s="1" t="s">
        <v>0</v>
      </c>
      <c r="C11" s="2">
        <v>37351</v>
      </c>
      <c r="D11" s="1">
        <v>1</v>
      </c>
      <c r="E11" s="3">
        <v>3.25</v>
      </c>
      <c r="F11" s="3">
        <v>3.25</v>
      </c>
      <c r="G11" s="3">
        <v>3.25</v>
      </c>
      <c r="H11" s="1">
        <v>1</v>
      </c>
      <c r="I11" s="1"/>
      <c r="J11" s="5"/>
      <c r="L11">
        <f t="shared" si="0"/>
        <v>64</v>
      </c>
    </row>
    <row r="12" spans="1:12" x14ac:dyDescent="0.35">
      <c r="A12" s="1">
        <v>54</v>
      </c>
      <c r="B12" s="1" t="s">
        <v>1</v>
      </c>
      <c r="C12" s="2">
        <v>37662</v>
      </c>
      <c r="D12" s="1">
        <v>0</v>
      </c>
      <c r="E12" s="3">
        <v>0.94</v>
      </c>
      <c r="F12" s="3">
        <v>0.94</v>
      </c>
      <c r="G12" s="3">
        <v>0.94</v>
      </c>
      <c r="H12" s="1">
        <v>1</v>
      </c>
      <c r="I12" s="1"/>
      <c r="J12" s="5"/>
      <c r="L12">
        <f t="shared" si="0"/>
        <v>64</v>
      </c>
    </row>
    <row r="13" spans="1:12" x14ac:dyDescent="0.35">
      <c r="A13" s="1">
        <v>55</v>
      </c>
      <c r="B13" s="1" t="s">
        <v>0</v>
      </c>
      <c r="C13" s="2">
        <v>37667</v>
      </c>
      <c r="D13" s="1">
        <v>1</v>
      </c>
      <c r="E13" s="3">
        <v>3.25</v>
      </c>
      <c r="F13" s="3">
        <v>3.25</v>
      </c>
      <c r="G13" s="3">
        <v>12.53</v>
      </c>
      <c r="H13" s="1">
        <v>1</v>
      </c>
      <c r="I13" s="3">
        <v>9.2799999999999994</v>
      </c>
      <c r="J13" s="5" t="s">
        <v>3</v>
      </c>
      <c r="L13">
        <f t="shared" si="0"/>
        <v>65</v>
      </c>
    </row>
    <row r="14" spans="1:12" x14ac:dyDescent="0.35">
      <c r="A14" s="1">
        <v>56</v>
      </c>
      <c r="B14" s="1" t="s">
        <v>1</v>
      </c>
      <c r="C14" s="2">
        <v>37705</v>
      </c>
      <c r="D14" s="1">
        <v>0</v>
      </c>
      <c r="E14" s="3">
        <v>1.1100000000000001</v>
      </c>
      <c r="F14" s="3">
        <v>1.1100000000000001</v>
      </c>
      <c r="G14" s="3">
        <v>1.1100000000000001</v>
      </c>
      <c r="H14" s="1">
        <v>1</v>
      </c>
      <c r="I14" s="1"/>
      <c r="J14" s="5"/>
      <c r="L14">
        <f t="shared" si="0"/>
        <v>65</v>
      </c>
    </row>
    <row r="15" spans="1:12" x14ac:dyDescent="0.35">
      <c r="A15" s="1">
        <v>58</v>
      </c>
      <c r="B15" s="1" t="s">
        <v>0</v>
      </c>
      <c r="C15" s="2">
        <v>37712</v>
      </c>
      <c r="D15" s="1">
        <v>1</v>
      </c>
      <c r="E15" s="3">
        <v>3</v>
      </c>
      <c r="F15" s="3">
        <v>3</v>
      </c>
      <c r="G15" s="3">
        <v>7.64</v>
      </c>
      <c r="H15" s="1">
        <v>1</v>
      </c>
      <c r="I15" s="3">
        <v>4.6399999999999997</v>
      </c>
      <c r="J15" s="5"/>
      <c r="L15">
        <f t="shared" si="0"/>
        <v>66</v>
      </c>
    </row>
    <row r="16" spans="1:12" x14ac:dyDescent="0.35">
      <c r="A16" s="1">
        <v>57</v>
      </c>
      <c r="B16" s="1" t="s">
        <v>1</v>
      </c>
      <c r="C16" s="2">
        <v>37805</v>
      </c>
      <c r="D16" s="1">
        <v>0</v>
      </c>
      <c r="E16" s="3">
        <v>7.68</v>
      </c>
      <c r="F16" s="3">
        <v>7.68</v>
      </c>
      <c r="G16" s="3">
        <v>7.68</v>
      </c>
      <c r="H16" s="1">
        <v>1</v>
      </c>
      <c r="I16" s="1"/>
      <c r="J16" s="5"/>
      <c r="L16">
        <f t="shared" si="0"/>
        <v>66</v>
      </c>
    </row>
    <row r="17" spans="1:12" x14ac:dyDescent="0.35">
      <c r="A17" s="1">
        <v>59</v>
      </c>
      <c r="B17" s="1" t="s">
        <v>1</v>
      </c>
      <c r="C17" s="2">
        <v>37909</v>
      </c>
      <c r="D17" s="1">
        <v>0</v>
      </c>
      <c r="E17" s="3">
        <v>7.02</v>
      </c>
      <c r="F17" s="3">
        <v>7.02</v>
      </c>
      <c r="G17" s="3">
        <v>7.02</v>
      </c>
      <c r="H17" s="1">
        <v>1</v>
      </c>
      <c r="I17" s="1"/>
      <c r="J17" s="5"/>
      <c r="L17">
        <f t="shared" si="0"/>
        <v>66</v>
      </c>
    </row>
    <row r="18" spans="1:12" x14ac:dyDescent="0.35">
      <c r="A18" s="1">
        <v>60</v>
      </c>
      <c r="B18" s="1" t="s">
        <v>1</v>
      </c>
      <c r="C18" s="2">
        <v>38303</v>
      </c>
      <c r="D18" s="1">
        <v>0</v>
      </c>
      <c r="E18" s="3">
        <v>12.04</v>
      </c>
      <c r="F18" s="3">
        <v>12.04</v>
      </c>
      <c r="G18" s="3">
        <v>12.04</v>
      </c>
      <c r="H18" s="1">
        <v>1</v>
      </c>
      <c r="I18" s="1"/>
      <c r="J18" s="5"/>
      <c r="L18">
        <f t="shared" si="0"/>
        <v>66</v>
      </c>
    </row>
    <row r="19" spans="1:12" x14ac:dyDescent="0.35">
      <c r="A19" s="1">
        <v>61</v>
      </c>
      <c r="B19" s="1" t="s">
        <v>1</v>
      </c>
      <c r="C19" s="2">
        <v>38485</v>
      </c>
      <c r="D19" s="1">
        <v>0</v>
      </c>
      <c r="E19" s="3">
        <v>11.74</v>
      </c>
      <c r="F19" s="3">
        <v>11.74</v>
      </c>
      <c r="G19" s="3">
        <v>11.74</v>
      </c>
      <c r="H19" s="1">
        <v>1</v>
      </c>
      <c r="I19" s="1"/>
      <c r="J19" s="5"/>
      <c r="L19">
        <f t="shared" si="0"/>
        <v>66</v>
      </c>
    </row>
    <row r="20" spans="1:12" x14ac:dyDescent="0.35">
      <c r="A20" s="1">
        <v>62</v>
      </c>
      <c r="B20" s="1" t="s">
        <v>1</v>
      </c>
      <c r="C20" s="2">
        <v>38531</v>
      </c>
      <c r="D20" s="1">
        <v>0</v>
      </c>
      <c r="E20" s="3">
        <v>8.6300000000000008</v>
      </c>
      <c r="F20" s="3">
        <v>8.6300000000000008</v>
      </c>
      <c r="G20" s="3">
        <v>8.6300000000000008</v>
      </c>
      <c r="H20" s="1">
        <v>1</v>
      </c>
      <c r="I20" s="1"/>
      <c r="J20" s="5"/>
      <c r="L20">
        <f t="shared" si="0"/>
        <v>66</v>
      </c>
    </row>
    <row r="21" spans="1:12" x14ac:dyDescent="0.35">
      <c r="A21" s="1">
        <v>63</v>
      </c>
      <c r="B21" s="1" t="s">
        <v>0</v>
      </c>
      <c r="C21" s="2">
        <v>38531</v>
      </c>
      <c r="D21" s="1">
        <v>3</v>
      </c>
      <c r="E21" s="3">
        <v>3.3E-3</v>
      </c>
      <c r="F21" s="3">
        <v>0.01</v>
      </c>
      <c r="G21" s="3">
        <v>19.059999999999999</v>
      </c>
      <c r="H21" s="1">
        <v>1</v>
      </c>
      <c r="I21" s="3">
        <v>19.05</v>
      </c>
      <c r="J21" s="5" t="s">
        <v>4</v>
      </c>
      <c r="L21">
        <f t="shared" si="0"/>
        <v>69</v>
      </c>
    </row>
    <row r="22" spans="1:12" x14ac:dyDescent="0.35">
      <c r="A22" s="1">
        <v>64</v>
      </c>
      <c r="B22" s="1" t="s">
        <v>0</v>
      </c>
      <c r="C22" s="2">
        <v>41222</v>
      </c>
      <c r="D22" s="4">
        <v>1006</v>
      </c>
      <c r="E22" s="3">
        <v>9.92</v>
      </c>
      <c r="F22" s="3">
        <v>9979.52</v>
      </c>
      <c r="G22" s="3">
        <v>9993.58</v>
      </c>
      <c r="H22" s="1">
        <v>1</v>
      </c>
      <c r="I22" s="3">
        <v>14.06</v>
      </c>
      <c r="J22" s="5" t="s">
        <v>5</v>
      </c>
      <c r="L22">
        <f t="shared" si="0"/>
        <v>1075</v>
      </c>
    </row>
    <row r="23" spans="1:12" x14ac:dyDescent="0.35">
      <c r="A23" s="1">
        <v>65</v>
      </c>
      <c r="B23" s="1" t="s">
        <v>6</v>
      </c>
      <c r="C23" s="2">
        <v>41289</v>
      </c>
      <c r="D23" s="1">
        <v>69</v>
      </c>
      <c r="E23" s="3">
        <v>10.96</v>
      </c>
      <c r="F23" s="3">
        <v>756.24</v>
      </c>
      <c r="G23" s="3">
        <v>742.66</v>
      </c>
      <c r="H23" s="1">
        <v>1</v>
      </c>
      <c r="I23" s="3">
        <v>13.58</v>
      </c>
      <c r="J23" s="5" t="s">
        <v>7</v>
      </c>
      <c r="L23">
        <f>L22-D23</f>
        <v>1006</v>
      </c>
    </row>
    <row r="24" spans="1:12" x14ac:dyDescent="0.35">
      <c r="A24" s="1">
        <v>66</v>
      </c>
      <c r="B24" s="1" t="s">
        <v>6</v>
      </c>
      <c r="C24" s="2">
        <v>41289</v>
      </c>
      <c r="D24" s="4">
        <v>1006</v>
      </c>
      <c r="E24" s="3">
        <v>10.96</v>
      </c>
      <c r="F24" s="3">
        <v>11025.76</v>
      </c>
      <c r="G24" s="3">
        <v>11009.55</v>
      </c>
      <c r="H24" s="1">
        <v>1</v>
      </c>
      <c r="I24" s="3">
        <v>16.21</v>
      </c>
      <c r="J24" s="5"/>
      <c r="L24">
        <f>L23-D24</f>
        <v>0</v>
      </c>
    </row>
    <row r="25" spans="1:12" x14ac:dyDescent="0.35">
      <c r="A25" s="1">
        <v>67</v>
      </c>
      <c r="B25" s="1" t="s">
        <v>0</v>
      </c>
      <c r="C25" s="2">
        <v>41317</v>
      </c>
      <c r="D25" s="1">
        <v>920</v>
      </c>
      <c r="E25" s="3">
        <v>9.8949999999999996</v>
      </c>
      <c r="F25" s="3">
        <v>9103.4</v>
      </c>
      <c r="G25" s="3">
        <v>9117.33</v>
      </c>
      <c r="H25" s="1">
        <v>1</v>
      </c>
      <c r="I25" s="3">
        <v>13.93</v>
      </c>
      <c r="J25" s="5"/>
      <c r="L25">
        <f t="shared" si="0"/>
        <v>920</v>
      </c>
    </row>
    <row r="26" spans="1:12" x14ac:dyDescent="0.35">
      <c r="A26" s="1">
        <v>68</v>
      </c>
      <c r="B26" s="1" t="s">
        <v>0</v>
      </c>
      <c r="C26" s="2">
        <v>41317</v>
      </c>
      <c r="D26" s="1">
        <v>90</v>
      </c>
      <c r="E26" s="3">
        <v>9.8960000000000008</v>
      </c>
      <c r="F26" s="3">
        <v>890.64</v>
      </c>
      <c r="G26" s="3">
        <v>896.35</v>
      </c>
      <c r="H26" s="1">
        <v>1</v>
      </c>
      <c r="I26" s="3">
        <v>5.71</v>
      </c>
      <c r="J26" s="5"/>
      <c r="L26">
        <f t="shared" si="0"/>
        <v>1010</v>
      </c>
    </row>
    <row r="27" spans="1:12" x14ac:dyDescent="0.35">
      <c r="A27" s="1">
        <v>69</v>
      </c>
      <c r="B27" s="1" t="s">
        <v>6</v>
      </c>
      <c r="C27" s="2">
        <v>41351</v>
      </c>
      <c r="D27" s="4">
        <v>1010</v>
      </c>
      <c r="E27" s="3">
        <v>11.2</v>
      </c>
      <c r="F27" s="3">
        <v>11312</v>
      </c>
      <c r="G27" s="3">
        <v>11295.75</v>
      </c>
      <c r="H27" s="1">
        <v>1</v>
      </c>
      <c r="I27" s="3">
        <v>16.25</v>
      </c>
      <c r="J27" s="5"/>
      <c r="L27">
        <f>L26-D27</f>
        <v>0</v>
      </c>
    </row>
    <row r="28" spans="1:12" x14ac:dyDescent="0.35">
      <c r="A28" s="1">
        <v>70</v>
      </c>
      <c r="B28" s="1" t="s">
        <v>0</v>
      </c>
      <c r="C28" s="2">
        <v>41445</v>
      </c>
      <c r="D28" s="4">
        <v>2008</v>
      </c>
      <c r="E28" s="3">
        <v>9.9209999999999994</v>
      </c>
      <c r="F28" s="3">
        <v>19921.37</v>
      </c>
      <c r="G28" s="3">
        <v>19936.88</v>
      </c>
      <c r="H28" s="1">
        <v>1</v>
      </c>
      <c r="I28" s="3">
        <v>15.51</v>
      </c>
      <c r="J28" s="5"/>
      <c r="L28">
        <f t="shared" si="0"/>
        <v>2008</v>
      </c>
    </row>
    <row r="29" spans="1:12" x14ac:dyDescent="0.35">
      <c r="A29" s="1">
        <v>71</v>
      </c>
      <c r="B29" s="1" t="s">
        <v>0</v>
      </c>
      <c r="C29" s="2">
        <v>41458</v>
      </c>
      <c r="D29" s="1">
        <v>806</v>
      </c>
      <c r="E29" s="3">
        <v>9.5739999999999998</v>
      </c>
      <c r="F29" s="3">
        <v>7716.64</v>
      </c>
      <c r="G29" s="3">
        <v>7730.37</v>
      </c>
      <c r="H29" s="1">
        <v>1</v>
      </c>
      <c r="I29" s="3">
        <v>13.73</v>
      </c>
      <c r="J29" s="5"/>
      <c r="L29">
        <f t="shared" si="0"/>
        <v>2814</v>
      </c>
    </row>
    <row r="30" spans="1:12" x14ac:dyDescent="0.35">
      <c r="A30" s="1">
        <v>72</v>
      </c>
      <c r="B30" s="1" t="s">
        <v>0</v>
      </c>
      <c r="C30" s="2">
        <v>41458</v>
      </c>
      <c r="D30" s="4">
        <v>1276</v>
      </c>
      <c r="E30" s="3">
        <v>9.5730000000000004</v>
      </c>
      <c r="F30" s="3">
        <v>12215.15</v>
      </c>
      <c r="G30" s="3">
        <v>12229.54</v>
      </c>
      <c r="H30" s="1">
        <v>1</v>
      </c>
      <c r="I30" s="3">
        <v>14.39</v>
      </c>
      <c r="J30" s="5"/>
      <c r="L30">
        <f t="shared" si="0"/>
        <v>4090</v>
      </c>
    </row>
    <row r="31" spans="1:12" x14ac:dyDescent="0.35">
      <c r="A31" s="1">
        <v>73</v>
      </c>
      <c r="B31" s="1" t="s">
        <v>1</v>
      </c>
      <c r="C31" s="2">
        <v>41584</v>
      </c>
      <c r="D31" s="1">
        <v>0</v>
      </c>
      <c r="E31" s="3">
        <v>1431.5</v>
      </c>
      <c r="F31" s="3">
        <v>1431.5</v>
      </c>
      <c r="G31" s="3">
        <v>1431.5</v>
      </c>
      <c r="H31" s="1">
        <v>1</v>
      </c>
      <c r="I31" s="1"/>
      <c r="J31" s="5"/>
      <c r="L31">
        <f t="shared" si="0"/>
        <v>4090</v>
      </c>
    </row>
    <row r="32" spans="1:12" x14ac:dyDescent="0.35">
      <c r="A32" s="1">
        <v>74</v>
      </c>
      <c r="B32" s="1" t="s">
        <v>0</v>
      </c>
      <c r="C32" s="2">
        <v>41667</v>
      </c>
      <c r="D32" s="4">
        <v>1755</v>
      </c>
      <c r="E32" s="3">
        <v>11.35</v>
      </c>
      <c r="F32" s="3">
        <v>19919.25</v>
      </c>
      <c r="G32" s="3">
        <v>19935.759999999998</v>
      </c>
      <c r="H32" s="1">
        <v>1</v>
      </c>
      <c r="I32" s="3">
        <v>16.510000000000002</v>
      </c>
      <c r="J32" s="5"/>
      <c r="L32">
        <f t="shared" si="0"/>
        <v>5845</v>
      </c>
    </row>
    <row r="33" spans="1:12" x14ac:dyDescent="0.35">
      <c r="A33" s="1">
        <v>75</v>
      </c>
      <c r="B33" s="1" t="s">
        <v>1</v>
      </c>
      <c r="C33" s="2">
        <v>41766</v>
      </c>
      <c r="D33" s="1">
        <v>0</v>
      </c>
      <c r="E33" s="3">
        <v>2338</v>
      </c>
      <c r="F33" s="3">
        <v>2338</v>
      </c>
      <c r="G33" s="3">
        <v>2338</v>
      </c>
      <c r="H33" s="1">
        <v>1</v>
      </c>
      <c r="I33" s="1"/>
      <c r="J33" s="5"/>
      <c r="L33">
        <f t="shared" si="0"/>
        <v>5845</v>
      </c>
    </row>
    <row r="34" spans="1:12" x14ac:dyDescent="0.35">
      <c r="A34" s="1">
        <v>76</v>
      </c>
      <c r="B34" s="1" t="s">
        <v>6</v>
      </c>
      <c r="C34" s="2">
        <v>41792</v>
      </c>
      <c r="D34" s="4">
        <v>5845</v>
      </c>
      <c r="E34" s="3">
        <v>12.395</v>
      </c>
      <c r="F34" s="3">
        <v>72448.78</v>
      </c>
      <c r="G34" s="3">
        <v>72384.820000000007</v>
      </c>
      <c r="H34" s="1">
        <v>1</v>
      </c>
      <c r="I34" s="3">
        <v>63.96</v>
      </c>
      <c r="J34" s="5"/>
      <c r="L34">
        <f>L33-D34</f>
        <v>0</v>
      </c>
    </row>
    <row r="35" spans="1:12" x14ac:dyDescent="0.35">
      <c r="A35" s="1">
        <v>77</v>
      </c>
      <c r="B35" s="1" t="s">
        <v>0</v>
      </c>
      <c r="C35" s="2">
        <v>42010</v>
      </c>
      <c r="D35" s="4">
        <v>4388</v>
      </c>
      <c r="E35" s="3">
        <v>11.45</v>
      </c>
      <c r="F35" s="3">
        <v>50242.6</v>
      </c>
      <c r="G35" s="3">
        <v>50262.78</v>
      </c>
      <c r="H35" s="1">
        <v>1</v>
      </c>
      <c r="I35" s="3">
        <v>20.18</v>
      </c>
      <c r="J35" s="5"/>
      <c r="L35">
        <f t="shared" si="0"/>
        <v>4388</v>
      </c>
    </row>
    <row r="36" spans="1:12" x14ac:dyDescent="0.35">
      <c r="A36" s="1">
        <v>85</v>
      </c>
      <c r="B36" s="1" t="s">
        <v>0</v>
      </c>
      <c r="C36" s="2">
        <v>42115</v>
      </c>
      <c r="D36" s="1">
        <v>274</v>
      </c>
      <c r="E36" s="3">
        <v>10.84</v>
      </c>
      <c r="F36" s="3">
        <v>2970.16</v>
      </c>
      <c r="G36" s="3">
        <v>2970.16</v>
      </c>
      <c r="H36" s="1">
        <v>1</v>
      </c>
      <c r="I36" s="1"/>
      <c r="J36" s="5" t="s">
        <v>8</v>
      </c>
      <c r="L36">
        <f t="shared" si="0"/>
        <v>4662</v>
      </c>
    </row>
    <row r="37" spans="1:12" x14ac:dyDescent="0.35">
      <c r="A37" s="1">
        <v>87</v>
      </c>
      <c r="B37" s="1" t="s">
        <v>1</v>
      </c>
      <c r="C37" s="2">
        <v>42136</v>
      </c>
      <c r="D37" s="1">
        <v>0</v>
      </c>
      <c r="E37" s="3">
        <v>1864.8</v>
      </c>
      <c r="F37" s="3">
        <v>1864.8</v>
      </c>
      <c r="G37" s="3">
        <v>1864.8</v>
      </c>
      <c r="H37" s="1">
        <v>1</v>
      </c>
      <c r="I37" s="1"/>
      <c r="J37" s="5" t="s">
        <v>9</v>
      </c>
      <c r="L37">
        <f t="shared" si="0"/>
        <v>4662</v>
      </c>
    </row>
    <row r="38" spans="1:12" x14ac:dyDescent="0.35">
      <c r="A38" s="1">
        <v>90</v>
      </c>
      <c r="B38" s="1" t="s">
        <v>6</v>
      </c>
      <c r="C38" s="2">
        <v>42200</v>
      </c>
      <c r="D38" s="4">
        <v>4262</v>
      </c>
      <c r="E38" s="3">
        <v>13.6</v>
      </c>
      <c r="F38" s="3">
        <v>57963.199999999997</v>
      </c>
      <c r="G38" s="3">
        <v>57942.28</v>
      </c>
      <c r="H38" s="1">
        <v>1</v>
      </c>
      <c r="I38" s="3">
        <v>20.92</v>
      </c>
      <c r="J38" s="5"/>
      <c r="L38">
        <f t="shared" ref="L38:L39" si="1">L37-D38</f>
        <v>400</v>
      </c>
    </row>
    <row r="39" spans="1:12" x14ac:dyDescent="0.35">
      <c r="A39" s="1">
        <v>93</v>
      </c>
      <c r="B39" s="1" t="s">
        <v>6</v>
      </c>
      <c r="C39" s="2">
        <v>42201</v>
      </c>
      <c r="D39" s="1">
        <v>400</v>
      </c>
      <c r="E39" s="3">
        <v>13.78</v>
      </c>
      <c r="F39" s="3">
        <v>5512</v>
      </c>
      <c r="G39" s="3">
        <v>5499.6</v>
      </c>
      <c r="H39" s="1">
        <v>1</v>
      </c>
      <c r="I39" s="3">
        <v>12.4</v>
      </c>
      <c r="J39" s="5"/>
      <c r="L39">
        <f t="shared" si="1"/>
        <v>0</v>
      </c>
    </row>
    <row r="40" spans="1:12" x14ac:dyDescent="0.35">
      <c r="A40" s="1">
        <v>99</v>
      </c>
      <c r="B40" s="1" t="s">
        <v>0</v>
      </c>
      <c r="C40" s="2">
        <v>42278</v>
      </c>
      <c r="D40" s="4">
        <v>4570</v>
      </c>
      <c r="E40" s="3">
        <v>10.91</v>
      </c>
      <c r="F40" s="3">
        <v>49858.7</v>
      </c>
      <c r="G40" s="3">
        <v>49878.84</v>
      </c>
      <c r="H40" s="1">
        <v>1</v>
      </c>
      <c r="I40" s="3">
        <v>20.14</v>
      </c>
      <c r="J40" s="5"/>
      <c r="L40">
        <f t="shared" si="0"/>
        <v>4570</v>
      </c>
    </row>
    <row r="41" spans="1:12" x14ac:dyDescent="0.35">
      <c r="A41" s="1">
        <v>102</v>
      </c>
      <c r="B41" s="1" t="s">
        <v>6</v>
      </c>
      <c r="C41" s="2">
        <v>42289</v>
      </c>
      <c r="D41" s="4">
        <v>4570</v>
      </c>
      <c r="E41" s="3">
        <v>11.595000000000001</v>
      </c>
      <c r="F41" s="3">
        <v>52989.15</v>
      </c>
      <c r="G41" s="3">
        <v>52968.71</v>
      </c>
      <c r="H41" s="1">
        <v>1</v>
      </c>
      <c r="I41" s="3">
        <v>20.440000000000001</v>
      </c>
      <c r="J41" s="5"/>
      <c r="L41">
        <f>L40-D41</f>
        <v>0</v>
      </c>
    </row>
    <row r="42" spans="1:12" x14ac:dyDescent="0.35">
      <c r="A42" s="1">
        <v>106</v>
      </c>
      <c r="B42" s="1" t="s">
        <v>0</v>
      </c>
      <c r="C42" s="2">
        <v>42342</v>
      </c>
      <c r="D42" s="4">
        <v>4492</v>
      </c>
      <c r="E42" s="3">
        <v>11.13</v>
      </c>
      <c r="F42" s="3">
        <v>49995.96</v>
      </c>
      <c r="G42" s="3">
        <v>50016.11</v>
      </c>
      <c r="H42" s="1">
        <v>1</v>
      </c>
      <c r="I42" s="3">
        <v>20.149999999999999</v>
      </c>
      <c r="J42" s="5"/>
      <c r="L42">
        <f t="shared" si="0"/>
        <v>4492</v>
      </c>
    </row>
    <row r="43" spans="1:12" x14ac:dyDescent="0.35">
      <c r="A43" s="1">
        <v>107</v>
      </c>
      <c r="B43" s="1" t="s">
        <v>6</v>
      </c>
      <c r="C43" s="2">
        <v>42369</v>
      </c>
      <c r="D43" s="4">
        <v>4492</v>
      </c>
      <c r="E43" s="3">
        <v>10.275</v>
      </c>
      <c r="F43" s="3">
        <v>46155.3</v>
      </c>
      <c r="G43" s="3">
        <v>46135.519999999997</v>
      </c>
      <c r="H43" s="1">
        <v>1</v>
      </c>
      <c r="I43" s="3">
        <v>19.78</v>
      </c>
      <c r="J43" s="5"/>
      <c r="L43">
        <f>L42-D43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2024-09-02T11:09:17Z</dcterms:created>
  <dcterms:modified xsi:type="dcterms:W3CDTF">2024-09-02T11:27:09Z</dcterms:modified>
</cp:coreProperties>
</file>