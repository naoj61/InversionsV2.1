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Meus\InversionsV2\Docs\"/>
    </mc:Choice>
  </mc:AlternateContent>
  <xr:revisionPtr revIDLastSave="0" documentId="13_ncr:1_{5675E59B-E28F-49C1-ADF0-E49D6F28A6DB}" xr6:coauthVersionLast="47" xr6:coauthVersionMax="47" xr10:uidLastSave="{00000000-0000-0000-0000-000000000000}"/>
  <bookViews>
    <workbookView xWindow="19090" yWindow="-110" windowWidth="19420" windowHeight="10420" xr2:uid="{4213E27B-061E-4847-9A72-CF6336115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0" i="1" l="1"/>
  <c r="N10" i="1" s="1"/>
  <c r="N26" i="1"/>
  <c r="D25" i="1"/>
  <c r="K25" i="1" s="1"/>
  <c r="H24" i="1"/>
  <c r="L24" i="1" s="1"/>
  <c r="I21" i="1"/>
  <c r="M21" i="1"/>
  <c r="B21" i="1"/>
  <c r="K20" i="1"/>
  <c r="B20" i="1"/>
  <c r="B19" i="1"/>
  <c r="M11" i="1"/>
  <c r="N11" i="1" s="1"/>
  <c r="M9" i="1"/>
  <c r="N9" i="1" s="1"/>
  <c r="I4" i="1"/>
  <c r="M4" i="1" s="1"/>
  <c r="I3" i="1"/>
  <c r="M3" i="1" s="1"/>
  <c r="H2" i="1"/>
  <c r="K2" i="1" s="1"/>
  <c r="N2" i="1" s="1"/>
  <c r="H4" i="1"/>
  <c r="K4" i="1" s="1"/>
  <c r="H7" i="1"/>
  <c r="I7" i="1" s="1"/>
  <c r="M7" i="1" s="1"/>
  <c r="B3" i="1"/>
  <c r="H3" i="1" s="1"/>
  <c r="K3" i="1" s="1"/>
  <c r="B6" i="1"/>
  <c r="H6" i="1" s="1"/>
  <c r="L6" i="1" s="1"/>
  <c r="I25" i="1" l="1"/>
  <c r="N25" i="1" s="1"/>
  <c r="I24" i="1"/>
  <c r="N24" i="1" s="1"/>
  <c r="N21" i="1"/>
  <c r="L19" i="1"/>
  <c r="N3" i="1"/>
  <c r="N4" i="1"/>
  <c r="L7" i="1"/>
  <c r="N7" i="1" s="1"/>
  <c r="I6" i="1"/>
  <c r="M6" i="1" s="1"/>
  <c r="N6" i="1" s="1"/>
  <c r="N20" i="1" l="1"/>
  <c r="N19" i="1"/>
  <c r="N22" i="1" s="1"/>
  <c r="N13" i="1"/>
</calcChain>
</file>

<file path=xl/sharedStrings.xml><?xml version="1.0" encoding="utf-8"?>
<sst xmlns="http://schemas.openxmlformats.org/spreadsheetml/2006/main" count="31" uniqueCount="26">
  <si>
    <t>PU Inici Any</t>
  </si>
  <si>
    <t>28-Aberdeen Standard Liquidity Fund Euro Fund A-2 Ac</t>
  </si>
  <si>
    <t>Parts Inici Any</t>
  </si>
  <si>
    <t>27-Global Technology A-Acc-EUR</t>
  </si>
  <si>
    <t>Parts Act</t>
  </si>
  <si>
    <t>16-DWS Aktien Strategie Deutschland</t>
  </si>
  <si>
    <t>7-Arcelor Mittal Steel</t>
  </si>
  <si>
    <t>30-BGF World Energy E2</t>
  </si>
  <si>
    <t>PiG Venut</t>
  </si>
  <si>
    <t>PiG Actual</t>
  </si>
  <si>
    <t>PiG Comprat</t>
  </si>
  <si>
    <t>Parts Mov</t>
  </si>
  <si>
    <t>Parts Resta</t>
  </si>
  <si>
    <t>Si hi ha hagut venda son les parts actuals. Si compra som les actuals menys les comprades.</t>
  </si>
  <si>
    <t>PiG Total</t>
  </si>
  <si>
    <t>19-NB Capital Plus FI</t>
  </si>
  <si>
    <t>29-CS Corto Plazo B FI</t>
  </si>
  <si>
    <t>5-Deutschland</t>
  </si>
  <si>
    <t>Si s'ha venut: Calcular el PiG de les parts venudes respecte al preu de principi d'any o del preu de compra si s'han comprat el mateix any.</t>
  </si>
  <si>
    <t>Si s'ha comprat: Calcular el PiG des de la compra fins ara o fins la venda si s'han venut rl mateix any i restar a les parts actuals les parts comprades que restes.</t>
  </si>
  <si>
    <t>Preu U Compra</t>
  </si>
  <si>
    <t>Preu U Venda</t>
  </si>
  <si>
    <t>Preu Unit Act</t>
  </si>
  <si>
    <t>P.Compra</t>
  </si>
  <si>
    <t>P.Venda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</si>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</sst>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#,##0.000"/>
    <numFmt numFmtId="165" formatCode="#,##0.0000"/>
    <numFmt numFmtId="166" formatCode="#,##0.000\ &quot;€&quot;;[Red]\-#,##0.0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8" fontId="0" fillId="0" borderId="0" xfId="0" applyNumberFormat="1"/>
    <xf numFmtId="8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 wrapText="1"/>
    </xf>
    <xf numFmtId="4" fontId="0" fillId="2" borderId="0" xfId="0" applyNumberFormat="1" applyFill="1"/>
    <xf numFmtId="0" fontId="1" fillId="2" borderId="0" xfId="0" applyFont="1" applyFill="1" applyAlignment="1">
      <alignment horizontal="center" wrapText="1"/>
    </xf>
    <xf numFmtId="0" fontId="0" fillId="2" borderId="0" xfId="0" applyFill="1"/>
    <xf numFmtId="3" fontId="0" fillId="2" borderId="0" xfId="0" applyNumberFormat="1" applyFill="1"/>
    <xf numFmtId="165" fontId="0" fillId="0" borderId="0" xfId="0" applyNumberFormat="1"/>
    <xf numFmtId="8" fontId="1" fillId="0" borderId="0" xfId="0" applyNumberFormat="1" applyFont="1"/>
    <xf numFmtId="166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0991-0406-43F9-A503-A437720339F2}">
  <dimension ref="A1:N26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3" sqref="M13"/>
    </sheetView>
  </sheetViews>
  <sheetFormatPr defaultRowHeight="14.5" x14ac:dyDescent="0.35"/>
  <cols>
    <col min="1" max="1" width="25.1796875" customWidth="1"/>
    <col min="2" max="2" width="8.81640625" customWidth="1"/>
    <col min="3" max="3" width="6.54296875" bestFit="1" customWidth="1"/>
    <col min="4" max="4" width="9.54296875" bestFit="1" customWidth="1"/>
    <col min="5" max="5" width="8.08984375" bestFit="1" customWidth="1"/>
    <col min="6" max="6" width="8.81640625" bestFit="1" customWidth="1"/>
    <col min="7" max="7" width="9.54296875" bestFit="1" customWidth="1"/>
    <col min="8" max="8" width="7.54296875" customWidth="1"/>
    <col min="9" max="9" width="8.08984375" bestFit="1" customWidth="1"/>
    <col min="10" max="10" width="1" customWidth="1"/>
    <col min="11" max="11" width="10.1796875" bestFit="1" customWidth="1"/>
    <col min="12" max="12" width="10.453125" bestFit="1" customWidth="1"/>
    <col min="13" max="13" width="10.1796875" bestFit="1" customWidth="1"/>
    <col min="14" max="14" width="11.36328125" bestFit="1" customWidth="1"/>
  </cols>
  <sheetData>
    <row r="1" spans="1:14" ht="29" x14ac:dyDescent="0.35">
      <c r="B1" s="7" t="s">
        <v>2</v>
      </c>
      <c r="C1" s="7" t="s">
        <v>4</v>
      </c>
      <c r="D1" s="7" t="s">
        <v>0</v>
      </c>
      <c r="E1" s="7" t="s">
        <v>20</v>
      </c>
      <c r="F1" s="7" t="s">
        <v>21</v>
      </c>
      <c r="G1" s="7" t="s">
        <v>22</v>
      </c>
      <c r="H1" s="7" t="s">
        <v>11</v>
      </c>
      <c r="I1" s="9" t="s">
        <v>12</v>
      </c>
      <c r="J1" s="7"/>
      <c r="K1" s="7" t="s">
        <v>8</v>
      </c>
      <c r="L1" s="7" t="s">
        <v>10</v>
      </c>
      <c r="M1" s="7" t="s">
        <v>9</v>
      </c>
      <c r="N1" s="7" t="s">
        <v>14</v>
      </c>
    </row>
    <row r="2" spans="1:14" x14ac:dyDescent="0.35">
      <c r="A2" t="s">
        <v>6</v>
      </c>
      <c r="B2">
        <v>1000</v>
      </c>
      <c r="C2">
        <v>0</v>
      </c>
      <c r="D2" s="2">
        <v>28.375</v>
      </c>
      <c r="E2" s="1"/>
      <c r="F2" s="1">
        <v>30.7</v>
      </c>
      <c r="G2" s="1"/>
      <c r="H2" s="6">
        <f>(C2-B2)</f>
        <v>-1000</v>
      </c>
      <c r="I2" s="11">
        <v>0</v>
      </c>
      <c r="J2" s="6"/>
      <c r="K2" s="1">
        <f>(F2-D2)*ABS(H2)</f>
        <v>2324.9999999999991</v>
      </c>
      <c r="L2" s="1"/>
      <c r="M2">
        <v>0</v>
      </c>
      <c r="N2" s="13">
        <f>SUM(K2:M2)</f>
        <v>2324.9999999999991</v>
      </c>
    </row>
    <row r="3" spans="1:14" x14ac:dyDescent="0.35">
      <c r="A3" t="s">
        <v>3</v>
      </c>
      <c r="B3">
        <f>C3+296.82</f>
        <v>1204.6299999999999</v>
      </c>
      <c r="C3" s="5">
        <v>907.81</v>
      </c>
      <c r="D3" s="2">
        <v>37.380000000000003</v>
      </c>
      <c r="F3" s="2">
        <v>33.909999999999997</v>
      </c>
      <c r="G3" s="2">
        <v>31.49</v>
      </c>
      <c r="H3" s="5">
        <f>(C3-B3)</f>
        <v>-296.81999999999994</v>
      </c>
      <c r="I3" s="8">
        <f>C3</f>
        <v>907.81</v>
      </c>
      <c r="J3" s="5"/>
      <c r="K3" s="1">
        <f>(F3-D3)*ABS(H3)</f>
        <v>-1029.9654000000016</v>
      </c>
      <c r="L3" s="1"/>
      <c r="M3" s="1">
        <f>(G3-D3)*I3</f>
        <v>-5347.0009000000036</v>
      </c>
      <c r="N3" s="13">
        <f t="shared" ref="N3:N11" si="0">SUM(K3:M3)</f>
        <v>-6376.9663000000055</v>
      </c>
    </row>
    <row r="4" spans="1:14" x14ac:dyDescent="0.35">
      <c r="A4" t="s">
        <v>5</v>
      </c>
      <c r="B4" s="3">
        <v>25</v>
      </c>
      <c r="C4" s="5">
        <v>1.6301000000000001</v>
      </c>
      <c r="D4" s="2">
        <v>568.23</v>
      </c>
      <c r="F4" s="2">
        <v>416.92</v>
      </c>
      <c r="G4" s="2">
        <v>403.96</v>
      </c>
      <c r="H4" s="5">
        <f>(C4-B4)</f>
        <v>-23.369900000000001</v>
      </c>
      <c r="I4" s="8">
        <f>C4</f>
        <v>1.6301000000000001</v>
      </c>
      <c r="J4" s="5"/>
      <c r="K4" s="1">
        <f>(F4-D4)*ABS(H4)</f>
        <v>-3536.0995690000004</v>
      </c>
      <c r="L4" s="1"/>
      <c r="M4" s="1">
        <f>(G4-D4)*I4</f>
        <v>-267.7765270000001</v>
      </c>
      <c r="N4" s="13">
        <f t="shared" si="0"/>
        <v>-3803.8760960000004</v>
      </c>
    </row>
    <row r="5" spans="1:14" x14ac:dyDescent="0.35">
      <c r="B5" s="3"/>
      <c r="C5" s="5"/>
      <c r="D5" s="2"/>
      <c r="F5" s="2"/>
      <c r="G5" s="2"/>
      <c r="H5" s="5"/>
      <c r="I5" s="8"/>
      <c r="J5" s="5"/>
      <c r="K5" s="1"/>
      <c r="L5" s="1"/>
      <c r="M5" s="1"/>
      <c r="N5" s="1"/>
    </row>
    <row r="6" spans="1:14" x14ac:dyDescent="0.35">
      <c r="A6" t="s">
        <v>1</v>
      </c>
      <c r="B6">
        <f>128.76-23.23</f>
        <v>105.52999999999999</v>
      </c>
      <c r="C6" s="5">
        <v>128.76</v>
      </c>
      <c r="D6" s="1">
        <v>434.483</v>
      </c>
      <c r="E6" s="1">
        <v>433.283090830822</v>
      </c>
      <c r="G6" s="2">
        <v>433.13889999999998</v>
      </c>
      <c r="H6" s="5">
        <f>(C6-B6)</f>
        <v>23.230000000000004</v>
      </c>
      <c r="I6" s="8">
        <f>C6-H6</f>
        <v>105.52999999999999</v>
      </c>
      <c r="J6" s="5"/>
      <c r="L6" s="14">
        <f>(G6-E6)*ABS(H6)</f>
        <v>-3.3495529999956721</v>
      </c>
      <c r="M6" s="1">
        <f>(G6-D6)*I6</f>
        <v>-141.8428730000027</v>
      </c>
      <c r="N6" s="13">
        <f t="shared" si="0"/>
        <v>-145.19242599999836</v>
      </c>
    </row>
    <row r="7" spans="1:14" x14ac:dyDescent="0.35">
      <c r="A7" t="s">
        <v>7</v>
      </c>
      <c r="B7">
        <v>0</v>
      </c>
      <c r="C7" s="5">
        <v>565.1</v>
      </c>
      <c r="E7" s="2">
        <v>17.241866409484999</v>
      </c>
      <c r="G7" s="2">
        <v>17.327500000000001</v>
      </c>
      <c r="H7" s="5">
        <f>(C7-B7)</f>
        <v>565.1</v>
      </c>
      <c r="I7" s="8">
        <f>C7-H7</f>
        <v>0</v>
      </c>
      <c r="J7" s="5"/>
      <c r="L7" s="1">
        <f>(G7-E7)*ABS(H7)</f>
        <v>48.391542000027549</v>
      </c>
      <c r="M7" s="1">
        <f>(G7-D7)*I7</f>
        <v>0</v>
      </c>
      <c r="N7" s="13">
        <f t="shared" si="0"/>
        <v>48.391542000027549</v>
      </c>
    </row>
    <row r="8" spans="1:14" x14ac:dyDescent="0.35">
      <c r="C8" s="5"/>
      <c r="E8" s="2"/>
      <c r="G8" s="2"/>
      <c r="H8" s="5"/>
      <c r="J8" s="5"/>
      <c r="L8" s="1"/>
      <c r="M8" s="1"/>
      <c r="N8" s="1"/>
    </row>
    <row r="9" spans="1:14" x14ac:dyDescent="0.35">
      <c r="A9" t="s">
        <v>15</v>
      </c>
      <c r="C9" s="12">
        <v>6.1711</v>
      </c>
      <c r="D9" s="2">
        <v>1898.4177999999999</v>
      </c>
      <c r="E9" s="2"/>
      <c r="G9" s="2">
        <v>1817.96</v>
      </c>
      <c r="H9" s="5"/>
      <c r="J9" s="5"/>
      <c r="L9" s="1"/>
      <c r="M9" s="1">
        <f>(G9-D9)*C9</f>
        <v>-496.51312957999943</v>
      </c>
      <c r="N9" s="13">
        <f t="shared" si="0"/>
        <v>-496.51312957999943</v>
      </c>
    </row>
    <row r="10" spans="1:14" x14ac:dyDescent="0.35">
      <c r="A10" t="s">
        <v>16</v>
      </c>
      <c r="C10" s="5">
        <v>765.3691</v>
      </c>
      <c r="D10" s="2">
        <v>13.024699999999999</v>
      </c>
      <c r="E10" s="2"/>
      <c r="G10" s="2">
        <v>12.5215</v>
      </c>
      <c r="H10" s="5"/>
      <c r="J10" s="5"/>
      <c r="L10" s="1"/>
      <c r="M10" s="1">
        <f>(G10-D10)*C10</f>
        <v>-385.13373111999971</v>
      </c>
      <c r="N10" s="13">
        <f t="shared" si="0"/>
        <v>-385.13373111999971</v>
      </c>
    </row>
    <row r="11" spans="1:14" x14ac:dyDescent="0.35">
      <c r="A11" t="s">
        <v>17</v>
      </c>
      <c r="C11" s="4">
        <v>4.9976000000000003</v>
      </c>
      <c r="D11" s="2">
        <v>280.14</v>
      </c>
      <c r="E11" s="2"/>
      <c r="G11" s="2">
        <v>196.58</v>
      </c>
      <c r="H11" s="5"/>
      <c r="J11" s="5"/>
      <c r="L11" s="1"/>
      <c r="M11" s="1">
        <f>(G11-D11)*C11</f>
        <v>-417.59945599999992</v>
      </c>
      <c r="N11" s="13">
        <f t="shared" si="0"/>
        <v>-417.59945599999992</v>
      </c>
    </row>
    <row r="13" spans="1:14" x14ac:dyDescent="0.35">
      <c r="A13" s="10" t="s">
        <v>13</v>
      </c>
      <c r="B13" s="10"/>
      <c r="C13" s="10"/>
      <c r="D13" s="10"/>
      <c r="E13" s="10"/>
      <c r="F13" s="10"/>
      <c r="G13" s="10"/>
      <c r="M13" s="16" t="s">
        <v>25</v>
      </c>
      <c r="N13" s="13">
        <f>SUM(N2:N11)</f>
        <v>-9251.8895966999789</v>
      </c>
    </row>
    <row r="15" spans="1:14" x14ac:dyDescent="0.35">
      <c r="A15" t="s">
        <v>19</v>
      </c>
    </row>
    <row r="16" spans="1:14" x14ac:dyDescent="0.35">
      <c r="A16" t="s">
        <v>18</v>
      </c>
    </row>
    <row r="18" spans="1:14" x14ac:dyDescent="0.35">
      <c r="E18" s="15" t="s">
        <v>23</v>
      </c>
      <c r="F18" s="15" t="s">
        <v>24</v>
      </c>
    </row>
    <row r="19" spans="1:14" x14ac:dyDescent="0.35">
      <c r="A19" t="s">
        <v>1</v>
      </c>
      <c r="B19">
        <f>128.76-23.23</f>
        <v>105.52999999999999</v>
      </c>
      <c r="C19" s="5">
        <v>120.76</v>
      </c>
      <c r="D19" s="1">
        <v>434.483</v>
      </c>
      <c r="E19" s="1">
        <v>433.283090830822</v>
      </c>
      <c r="G19" s="2">
        <v>433.13889999999998</v>
      </c>
      <c r="H19" s="5">
        <v>23.23</v>
      </c>
      <c r="J19" s="5"/>
      <c r="L19" s="14">
        <f>(G19-E19)*ABS(H19)</f>
        <v>-3.3495529999956717</v>
      </c>
      <c r="M19" s="1"/>
      <c r="N19" s="1">
        <f t="shared" ref="N19" si="1">SUM(K19:M19)</f>
        <v>-3.3495529999956717</v>
      </c>
    </row>
    <row r="20" spans="1:14" x14ac:dyDescent="0.35">
      <c r="A20" t="s">
        <v>1</v>
      </c>
      <c r="B20">
        <f>128.76-23.23</f>
        <v>105.52999999999999</v>
      </c>
      <c r="C20" s="5">
        <v>120.76</v>
      </c>
      <c r="D20" s="1">
        <v>434.483</v>
      </c>
      <c r="E20" s="1"/>
      <c r="F20" s="1">
        <v>433</v>
      </c>
      <c r="G20" s="2">
        <v>433.13889999999998</v>
      </c>
      <c r="H20" s="5">
        <v>-8</v>
      </c>
      <c r="J20" s="5"/>
      <c r="K20" s="1">
        <f>(F20-D20)*ABS(H20)</f>
        <v>-11.864000000000033</v>
      </c>
      <c r="L20" s="14"/>
      <c r="M20" s="1"/>
      <c r="N20" s="1">
        <f>SUM(K20:M20)</f>
        <v>-11.864000000000033</v>
      </c>
    </row>
    <row r="21" spans="1:14" x14ac:dyDescent="0.35">
      <c r="A21" t="s">
        <v>1</v>
      </c>
      <c r="B21">
        <f>128.76-23.23</f>
        <v>105.52999999999999</v>
      </c>
      <c r="C21" s="5">
        <v>120.76</v>
      </c>
      <c r="D21" s="1">
        <v>434.483</v>
      </c>
      <c r="E21" s="1"/>
      <c r="G21" s="2">
        <v>433.13889999999998</v>
      </c>
      <c r="H21" s="5"/>
      <c r="I21" s="8">
        <f>C21-H19</f>
        <v>97.53</v>
      </c>
      <c r="J21" s="5"/>
      <c r="L21" s="14"/>
      <c r="M21" s="1">
        <f>(G21-D21)*I21</f>
        <v>-131.09007300000252</v>
      </c>
      <c r="N21" s="1">
        <f t="shared" ref="N21" si="2">SUM(K21:M21)</f>
        <v>-131.09007300000252</v>
      </c>
    </row>
    <row r="22" spans="1:14" x14ac:dyDescent="0.35">
      <c r="B22" s="3"/>
      <c r="C22" s="5"/>
      <c r="D22" s="2"/>
      <c r="F22" s="2"/>
      <c r="G22" s="2"/>
      <c r="H22" s="5"/>
      <c r="J22" s="5"/>
      <c r="K22" s="1"/>
      <c r="L22" s="1"/>
      <c r="M22" s="1"/>
      <c r="N22" s="13">
        <f>SUM(N19:N21)</f>
        <v>-146.30362599999822</v>
      </c>
    </row>
    <row r="23" spans="1:14" x14ac:dyDescent="0.35">
      <c r="B23" s="3"/>
      <c r="C23" s="5"/>
      <c r="D23" s="2"/>
      <c r="F23" s="2"/>
      <c r="G23" s="2"/>
      <c r="H23" s="5"/>
      <c r="J23" s="5"/>
      <c r="K23" s="1"/>
      <c r="L23" s="1"/>
      <c r="M23" s="1"/>
      <c r="N23" s="1"/>
    </row>
    <row r="24" spans="1:14" x14ac:dyDescent="0.35">
      <c r="A24" t="s">
        <v>7</v>
      </c>
      <c r="B24">
        <v>0</v>
      </c>
      <c r="C24" s="5">
        <v>500.1</v>
      </c>
      <c r="D24" s="1"/>
      <c r="E24" s="2">
        <v>17.241866409484999</v>
      </c>
      <c r="G24" s="2">
        <v>17.327500000000001</v>
      </c>
      <c r="H24" s="5">
        <f>(C24-B24)</f>
        <v>500.1</v>
      </c>
      <c r="I24" s="8">
        <f>C24-H24</f>
        <v>0</v>
      </c>
      <c r="J24" s="5"/>
      <c r="L24" s="1">
        <f>(G24-E24)*ABS(H24)</f>
        <v>42.825358616552428</v>
      </c>
      <c r="M24" s="1"/>
      <c r="N24" s="1">
        <f t="shared" ref="N24:N25" si="3">SUM(K24:M24)</f>
        <v>42.825358616552428</v>
      </c>
    </row>
    <row r="25" spans="1:14" x14ac:dyDescent="0.35">
      <c r="A25" t="s">
        <v>7</v>
      </c>
      <c r="B25">
        <v>0</v>
      </c>
      <c r="C25" s="5">
        <v>500.1</v>
      </c>
      <c r="D25" s="1">
        <f>E24</f>
        <v>17.241866409484999</v>
      </c>
      <c r="E25" s="2"/>
      <c r="F25">
        <v>18</v>
      </c>
      <c r="G25" s="2">
        <v>17.327500000000001</v>
      </c>
      <c r="H25" s="5">
        <v>65</v>
      </c>
      <c r="I25" s="8">
        <f>C25-H25</f>
        <v>435.1</v>
      </c>
      <c r="J25" s="5"/>
      <c r="K25" s="1">
        <f>(F25-D25)*ABS(H25)</f>
        <v>49.278683383475084</v>
      </c>
      <c r="L25" s="1"/>
      <c r="M25" s="1"/>
      <c r="N25" s="1">
        <f t="shared" si="3"/>
        <v>49.278683383475084</v>
      </c>
    </row>
    <row r="26" spans="1:14" x14ac:dyDescent="0.35">
      <c r="N26" s="13">
        <f>SUM(N24:N25)</f>
        <v>92.104042000027505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2022-07-07T15:24:05Z</dcterms:created>
  <dcterms:modified xsi:type="dcterms:W3CDTF">2022-07-08T12:16:55Z</dcterms:modified>
</cp:coreProperties>
</file>