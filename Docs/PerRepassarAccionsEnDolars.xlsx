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84" windowWidth="22980" windowHeight="1005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1" i="1"/>
  <c r="I13"/>
  <c r="I12"/>
  <c r="I11"/>
  <c r="H14"/>
  <c r="H7"/>
  <c r="I7" s="1"/>
  <c r="J7" s="1"/>
  <c r="I6"/>
  <c r="J6" s="1"/>
  <c r="J5"/>
  <c r="I5"/>
  <c r="H6"/>
  <c r="H5"/>
</calcChain>
</file>

<file path=xl/comments1.xml><?xml version="1.0" encoding="utf-8"?>
<comments xmlns="http://schemas.openxmlformats.org/spreadsheetml/2006/main">
  <authors>
    <author>joanp</author>
  </authors>
  <commentList>
    <comment ref="F10" authorId="0">
      <text>
        <r>
          <rPr>
            <b/>
            <sz val="9"/>
            <color indexed="81"/>
            <rFont val="Tahoma"/>
            <family val="2"/>
          </rPr>
          <t>Canvi $/€ i hauria de ser €/$ perquè el valor "Preu unitari" està en €.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Està malament.
Resta les despeses i les ha de sumar.</t>
        </r>
      </text>
    </comment>
  </commentList>
</comments>
</file>

<file path=xl/sharedStrings.xml><?xml version="1.0" encoding="utf-8"?>
<sst xmlns="http://schemas.openxmlformats.org/spreadsheetml/2006/main" count="28" uniqueCount="16">
  <si>
    <t>Desp</t>
  </si>
  <si>
    <t>P Unit</t>
  </si>
  <si>
    <t>Quantitat</t>
  </si>
  <si>
    <t>Cost brut $</t>
  </si>
  <si>
    <t>Cost brut €</t>
  </si>
  <si>
    <t>Cost net €</t>
  </si>
  <si>
    <t>Import total Self</t>
  </si>
  <si>
    <t>Canvi $/€</t>
  </si>
  <si>
    <t xml:space="preserve">Base dades </t>
  </si>
  <si>
    <t>ValorCompraOriginal</t>
  </si>
  <si>
    <t>Vanguard</t>
  </si>
  <si>
    <t>ISHS Emer.</t>
  </si>
  <si>
    <t>Inditex</t>
  </si>
  <si>
    <t>SelfBank</t>
  </si>
  <si>
    <t>C</t>
  </si>
  <si>
    <t>NULL</t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</si>
</sst>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#,##0.00\ &quot;€&quot;"/>
    <numFmt numFmtId="165" formatCode="[$$-409]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K21"/>
  <sheetViews>
    <sheetView tabSelected="1" topLeftCell="A4" workbookViewId="0">
      <selection activeCell="H10" sqref="H10"/>
    </sheetView>
  </sheetViews>
  <sheetFormatPr defaultRowHeight="14.4"/>
  <cols>
    <col min="2" max="2" width="10.44140625" customWidth="1"/>
    <col min="3" max="3" width="4.109375" customWidth="1"/>
    <col min="8" max="8" width="14.6640625" customWidth="1"/>
    <col min="9" max="10" width="11.109375" customWidth="1"/>
    <col min="11" max="11" width="11.21875" customWidth="1"/>
    <col min="12" max="12" width="16" customWidth="1"/>
  </cols>
  <sheetData>
    <row r="3" spans="2:11">
      <c r="D3" s="6" t="s">
        <v>13</v>
      </c>
      <c r="E3" s="7"/>
      <c r="F3" s="7"/>
      <c r="G3" s="7"/>
      <c r="H3" s="7"/>
      <c r="I3" s="7"/>
      <c r="J3" s="7"/>
      <c r="K3" s="8"/>
    </row>
    <row r="4" spans="2:11">
      <c r="D4" s="4" t="s">
        <v>2</v>
      </c>
      <c r="E4" s="4" t="s">
        <v>1</v>
      </c>
      <c r="F4" s="4" t="s">
        <v>7</v>
      </c>
      <c r="G4" s="4" t="s">
        <v>0</v>
      </c>
      <c r="H4" s="4" t="s">
        <v>3</v>
      </c>
      <c r="I4" s="4" t="s">
        <v>4</v>
      </c>
      <c r="J4" s="4" t="s">
        <v>5</v>
      </c>
      <c r="K4" s="5" t="s">
        <v>6</v>
      </c>
    </row>
    <row r="5" spans="2:11">
      <c r="B5" t="s">
        <v>10</v>
      </c>
      <c r="C5" t="s">
        <v>14</v>
      </c>
      <c r="D5">
        <v>5</v>
      </c>
      <c r="E5" s="2">
        <v>218.59</v>
      </c>
      <c r="F5">
        <v>0.93563399999999997</v>
      </c>
      <c r="G5" s="1">
        <v>14.95</v>
      </c>
      <c r="H5" s="2">
        <f>D5*E5</f>
        <v>1092.95</v>
      </c>
      <c r="I5" s="1">
        <f>H5*F5</f>
        <v>1022.6011803</v>
      </c>
      <c r="J5" s="1">
        <f>I5+G5</f>
        <v>1037.5511802999999</v>
      </c>
      <c r="K5" s="3">
        <v>-1037.55</v>
      </c>
    </row>
    <row r="6" spans="2:11">
      <c r="B6" t="s">
        <v>11</v>
      </c>
      <c r="C6" t="s">
        <v>14</v>
      </c>
      <c r="D6">
        <v>25</v>
      </c>
      <c r="E6" s="2">
        <v>39.729999999999997</v>
      </c>
      <c r="F6">
        <v>0.93563399999999997</v>
      </c>
      <c r="G6" s="1">
        <v>14.95</v>
      </c>
      <c r="H6" s="2">
        <f>D6*E6</f>
        <v>993.24999999999989</v>
      </c>
      <c r="I6" s="1">
        <f>H6*F6</f>
        <v>929.31847049999988</v>
      </c>
      <c r="J6" s="1">
        <f>I6+G6</f>
        <v>944.26847049999992</v>
      </c>
      <c r="K6" s="3">
        <v>-944.27</v>
      </c>
    </row>
    <row r="7" spans="2:11">
      <c r="B7" t="s">
        <v>12</v>
      </c>
      <c r="C7" t="s">
        <v>14</v>
      </c>
      <c r="D7">
        <v>200</v>
      </c>
      <c r="E7" s="2">
        <v>31.45</v>
      </c>
      <c r="F7">
        <v>1</v>
      </c>
      <c r="G7" s="1">
        <v>14.57</v>
      </c>
      <c r="H7" s="2">
        <f>D7*E7</f>
        <v>6290</v>
      </c>
      <c r="I7" s="1">
        <f>H7*F7</f>
        <v>6290</v>
      </c>
      <c r="J7" s="1">
        <f>I7+G7</f>
        <v>6304.57</v>
      </c>
      <c r="K7" s="3">
        <v>6304.57</v>
      </c>
    </row>
    <row r="8" spans="2:11">
      <c r="E8" s="2"/>
      <c r="G8" s="1"/>
      <c r="H8" s="2"/>
      <c r="I8" s="1"/>
      <c r="J8" s="1"/>
      <c r="K8" s="3"/>
    </row>
    <row r="9" spans="2:11">
      <c r="D9" s="6" t="s">
        <v>8</v>
      </c>
      <c r="E9" s="7"/>
      <c r="F9" s="7"/>
      <c r="G9" s="7"/>
      <c r="H9" s="7"/>
      <c r="I9" s="8"/>
    </row>
    <row r="10" spans="2:11">
      <c r="D10" s="4" t="s">
        <v>2</v>
      </c>
      <c r="E10" s="4" t="s">
        <v>1</v>
      </c>
      <c r="F10" s="4" t="s">
        <v>7</v>
      </c>
      <c r="G10" s="4" t="s">
        <v>0</v>
      </c>
      <c r="H10" s="5" t="s">
        <v>9</v>
      </c>
    </row>
    <row r="11" spans="2:11">
      <c r="B11" t="s">
        <v>10</v>
      </c>
      <c r="C11" t="s">
        <v>14</v>
      </c>
      <c r="D11">
        <v>5</v>
      </c>
      <c r="E11" s="1">
        <v>204.52</v>
      </c>
      <c r="F11">
        <v>0.93563399999999997</v>
      </c>
      <c r="G11" s="1">
        <v>14.95</v>
      </c>
      <c r="H11" s="1">
        <v>1007.65</v>
      </c>
      <c r="I11" s="2">
        <f>+D5*E5</f>
        <v>1092.95</v>
      </c>
      <c r="J11" s="2"/>
    </row>
    <row r="12" spans="2:11">
      <c r="B12" t="s">
        <v>11</v>
      </c>
      <c r="C12" t="s">
        <v>14</v>
      </c>
      <c r="D12">
        <v>25</v>
      </c>
      <c r="E12" s="1">
        <v>37.17</v>
      </c>
      <c r="F12">
        <v>0.93563399999999997</v>
      </c>
      <c r="G12" s="1">
        <v>14.95</v>
      </c>
      <c r="H12" s="1">
        <v>914.3</v>
      </c>
      <c r="I12" s="2">
        <f>+D6*E6</f>
        <v>993.24999999999989</v>
      </c>
    </row>
    <row r="13" spans="2:11">
      <c r="B13" t="s">
        <v>12</v>
      </c>
      <c r="C13" t="s">
        <v>14</v>
      </c>
      <c r="D13">
        <v>200</v>
      </c>
      <c r="E13" s="1">
        <v>31.45</v>
      </c>
      <c r="F13">
        <v>1</v>
      </c>
      <c r="G13" s="1">
        <v>14.57</v>
      </c>
      <c r="H13" s="1">
        <v>6275.43</v>
      </c>
      <c r="I13" s="1">
        <f>D13*E13</f>
        <v>6290</v>
      </c>
    </row>
    <row r="14" spans="2:11">
      <c r="H14" s="2">
        <f>D11*E11+G11</f>
        <v>1037.55</v>
      </c>
    </row>
    <row r="15" spans="2:11">
      <c r="H15" s="1"/>
    </row>
    <row r="16" spans="2:11">
      <c r="F16" s="1"/>
    </row>
    <row r="21" spans="2:10">
      <c r="B21">
        <f>+D21*E21</f>
        <v>5511.7700000000068</v>
      </c>
      <c r="D21">
        <v>280.07</v>
      </c>
      <c r="E21">
        <v>19.679972863926899</v>
      </c>
      <c r="F21">
        <v>1</v>
      </c>
      <c r="G21" t="s">
        <v>15</v>
      </c>
      <c r="H21">
        <v>15626.31</v>
      </c>
      <c r="I21">
        <v>5511.77</v>
      </c>
      <c r="J21">
        <v>10114.540000000001</v>
      </c>
    </row>
  </sheetData>
  <mergeCells count="2">
    <mergeCell ref="D9:I9"/>
    <mergeCell ref="D3:K3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2017-05-11T09:14:00Z</dcterms:created>
  <dcterms:modified xsi:type="dcterms:W3CDTF">2017-05-12T06:44:43Z</dcterms:modified>
</cp:coreProperties>
</file>