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 defaultThemeVersion="166925"/>
  <mc:AlternateContent xmlns:mc="http://schemas.openxmlformats.org/markup-compatibility/2006">
    <mc:Choice Requires="x15">
      <x15ac:absPath xmlns:x15ac="http://schemas.microsoft.com/office/spreadsheetml/2010/11/ac" url="E:\Repositoris\C#\Meus\InversionsV2\Docs\"/>
    </mc:Choice>
  </mc:AlternateContent>
  <xr:revisionPtr revIDLastSave="0" documentId="13_ncr:1_{9EA9DC4B-749A-4B06-A6B7-9D286E0DFFCA}" xr6:coauthVersionLast="47" xr6:coauthVersionMax="47" xr10:uidLastSave="{00000000-0000-0000-0000-000000000000}"/>
  <bookViews>
    <workbookView xWindow="19090" yWindow="-110" windowWidth="19420" windowHeight="10420" xr2:uid="{6BF5068B-93F7-4D64-8F2C-C2F86CB2EFA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C9" i="1"/>
  <c r="E2" i="1"/>
  <c r="D9" i="1"/>
</calcChain>
</file>

<file path=xl/sharedStrings.xml><?xml version="1.0" encoding="utf-8"?>
<sst xmlns="http://schemas.openxmlformats.org/spreadsheetml/2006/main" count="15" uniqueCount="15">
  <si>
    <t>19-NB Capital Plus FI</t>
  </si>
  <si>
    <t>ES0125240038</t>
  </si>
  <si>
    <t>5-Deutschland</t>
  </si>
  <si>
    <t>DE0008490962</t>
  </si>
  <si>
    <t>28-Aberdeen Standard Liquidity Fund Euro Fund A-2 Ac</t>
  </si>
  <si>
    <t>LU0090865873</t>
  </si>
  <si>
    <t>27-Global Technology A-Acc-EUR</t>
  </si>
  <si>
    <t>LU1213836080</t>
  </si>
  <si>
    <t>16-DWS Aktien Strategie Deutschland</t>
  </si>
  <si>
    <t>30-BGF World Energy E2</t>
  </si>
  <si>
    <t>1036-CS (Lux) Commodity Idx Plus USD B</t>
  </si>
  <si>
    <t>Total</t>
  </si>
  <si>
    <t>PiG Meu</t>
  </si>
  <si>
    <t>PiG Self</t>
  </si>
  <si>
    <t>Dif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</si>
</sst>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#,##0.00\ &quot;€&quot;;[Red]\-#,##0.00\ &quot;€&quot;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8" fontId="0" fillId="0" borderId="0" xfId="0" applyNumberFormat="1"/>
    <xf numFmtId="8" fontId="1" fillId="0" borderId="0" xfId="0" applyNumberFormat="1" applyFont="1"/>
    <xf numFmtId="0" fontId="1" fillId="0" borderId="0" xfId="0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l'Office">
  <a:themeElements>
    <a:clrScheme name="Oficina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icina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icin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E2FDD-37DA-447A-A5FE-605F87D6A64A}">
  <dimension ref="A1:E9"/>
  <sheetViews>
    <sheetView tabSelected="1" topLeftCell="B1" zoomScale="130" zoomScaleNormal="130" workbookViewId="0">
      <selection activeCell="B11" sqref="B11"/>
    </sheetView>
  </sheetViews>
  <sheetFormatPr defaultColWidth="10.90625" defaultRowHeight="14.5" x14ac:dyDescent="0.35"/>
  <cols>
    <col min="1" max="1" width="47.08984375" bestFit="1" customWidth="1"/>
    <col min="2" max="2" width="12.7265625" bestFit="1" customWidth="1"/>
  </cols>
  <sheetData>
    <row r="1" spans="1:5" x14ac:dyDescent="0.35">
      <c r="C1" s="4" t="s">
        <v>12</v>
      </c>
      <c r="D1" s="4" t="s">
        <v>13</v>
      </c>
      <c r="E1" s="4" t="s">
        <v>14</v>
      </c>
    </row>
    <row r="2" spans="1:5" x14ac:dyDescent="0.35">
      <c r="A2" t="s">
        <v>0</v>
      </c>
      <c r="B2" t="s">
        <v>1</v>
      </c>
      <c r="C2" s="1">
        <v>1854.47</v>
      </c>
      <c r="D2" s="1">
        <v>2551.2199999999998</v>
      </c>
      <c r="E2" s="1">
        <f>+C2-D2</f>
        <v>-696.74999999999977</v>
      </c>
    </row>
    <row r="3" spans="1:5" x14ac:dyDescent="0.35">
      <c r="A3" t="s">
        <v>2</v>
      </c>
      <c r="B3" t="s">
        <v>3</v>
      </c>
      <c r="C3" s="1">
        <v>156.88999999999999</v>
      </c>
      <c r="D3" s="1">
        <v>156.9</v>
      </c>
      <c r="E3" s="1">
        <f t="shared" ref="E3:E9" si="0">+C3-D3</f>
        <v>-1.0000000000019327E-2</v>
      </c>
    </row>
    <row r="4" spans="1:5" x14ac:dyDescent="0.35">
      <c r="A4" t="s">
        <v>10</v>
      </c>
      <c r="C4" s="1">
        <v>7180.02</v>
      </c>
      <c r="D4" s="1">
        <v>7180.02</v>
      </c>
      <c r="E4" s="1">
        <f t="shared" si="0"/>
        <v>0</v>
      </c>
    </row>
    <row r="5" spans="1:5" x14ac:dyDescent="0.35">
      <c r="A5" t="s">
        <v>4</v>
      </c>
      <c r="B5" t="s">
        <v>5</v>
      </c>
      <c r="C5" s="1">
        <v>34127.129999999997</v>
      </c>
      <c r="D5" s="1">
        <v>34510.11</v>
      </c>
      <c r="E5" s="1">
        <f t="shared" si="0"/>
        <v>-382.9800000000032</v>
      </c>
    </row>
    <row r="6" spans="1:5" x14ac:dyDescent="0.35">
      <c r="A6" t="s">
        <v>6</v>
      </c>
      <c r="B6" t="s">
        <v>7</v>
      </c>
      <c r="C6" s="1">
        <v>12966.15</v>
      </c>
      <c r="D6" s="1">
        <v>12965.13</v>
      </c>
      <c r="E6" s="1">
        <f t="shared" si="0"/>
        <v>1.0200000000004366</v>
      </c>
    </row>
    <row r="7" spans="1:5" x14ac:dyDescent="0.35">
      <c r="A7" t="s">
        <v>8</v>
      </c>
      <c r="C7" s="1">
        <v>259</v>
      </c>
      <c r="D7" s="1">
        <v>259.13</v>
      </c>
      <c r="E7" s="1">
        <f t="shared" si="0"/>
        <v>-0.12999999999999545</v>
      </c>
    </row>
    <row r="8" spans="1:5" x14ac:dyDescent="0.35">
      <c r="A8" t="s">
        <v>9</v>
      </c>
      <c r="C8" s="1">
        <v>5851.94</v>
      </c>
      <c r="D8" s="1">
        <v>5853.83</v>
      </c>
      <c r="E8" s="1">
        <f t="shared" si="0"/>
        <v>-1.8900000000003274</v>
      </c>
    </row>
    <row r="9" spans="1:5" x14ac:dyDescent="0.35">
      <c r="A9" s="3" t="s">
        <v>11</v>
      </c>
      <c r="C9" s="2">
        <f>SUM(C2:C8)</f>
        <v>62395.6</v>
      </c>
      <c r="D9" s="2">
        <f>SUM(D2:D8)</f>
        <v>63476.34</v>
      </c>
      <c r="E9" s="2">
        <f t="shared" si="0"/>
        <v>-1080.739999999998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Fulls de càlcul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joanp</dc:creator>
  <cp:lastModifiedBy>joanp</cp:lastModifiedBy>
  <dcterms:created xsi:type="dcterms:W3CDTF">2022-10-12T08:46:21Z</dcterms:created>
  <dcterms:modified xsi:type="dcterms:W3CDTF">2022-10-12T09:32:28Z</dcterms:modified>
</cp:coreProperties>
</file>