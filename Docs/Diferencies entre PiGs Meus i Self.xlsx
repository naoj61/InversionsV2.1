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Meus\InversionsV2\Docs\"/>
    </mc:Choice>
  </mc:AlternateContent>
  <xr:revisionPtr revIDLastSave="0" documentId="13_ncr:1_{71836F31-A402-4074-BC26-05E3D274F1E3}" xr6:coauthVersionLast="47" xr6:coauthVersionMax="47" xr10:uidLastSave="{00000000-0000-0000-0000-000000000000}"/>
  <bookViews>
    <workbookView xWindow="-110" yWindow="-110" windowWidth="19420" windowHeight="10420" activeTab="1" xr2:uid="{6BF5068B-93F7-4D64-8F2C-C2F86CB2EFAE}"/>
  </bookViews>
  <sheets>
    <sheet name="PiGs 12-12-2022" sheetId="3" r:id="rId1"/>
    <sheet name="PiGs 03-11-2022" sheetId="1" r:id="rId2"/>
    <sheet name="Accio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3" l="1"/>
  <c r="D3" i="3"/>
  <c r="D4" i="3"/>
  <c r="D5" i="3"/>
  <c r="D6" i="3"/>
  <c r="D7" i="3"/>
  <c r="B49" i="3"/>
  <c r="C45" i="3"/>
  <c r="C38" i="3"/>
  <c r="D37" i="3"/>
  <c r="D35" i="3"/>
  <c r="D33" i="3"/>
  <c r="D32" i="3"/>
  <c r="D30" i="3"/>
  <c r="D29" i="3"/>
  <c r="D26" i="3"/>
  <c r="D24" i="3"/>
  <c r="E23" i="3"/>
  <c r="D21" i="3"/>
  <c r="D17" i="3"/>
  <c r="D15" i="3"/>
  <c r="F8" i="3"/>
  <c r="E8" i="3"/>
  <c r="C8" i="3"/>
  <c r="B8" i="3"/>
  <c r="G7" i="3"/>
  <c r="G6" i="3"/>
  <c r="G5" i="3"/>
  <c r="G4" i="3"/>
  <c r="G2" i="3"/>
  <c r="D2" i="3"/>
  <c r="E37" i="1"/>
  <c r="D38" i="1"/>
  <c r="C59" i="1"/>
  <c r="D44" i="1"/>
  <c r="D43" i="1"/>
  <c r="D51" i="1"/>
  <c r="D49" i="1"/>
  <c r="D47" i="1"/>
  <c r="D46" i="1"/>
  <c r="D40" i="1"/>
  <c r="D35" i="1"/>
  <c r="D31" i="1"/>
  <c r="D29" i="1"/>
  <c r="B63" i="1"/>
  <c r="C52" i="1"/>
  <c r="B23" i="1"/>
  <c r="D8" i="3" l="1"/>
  <c r="G8" i="3"/>
  <c r="D38" i="3"/>
  <c r="D52" i="1"/>
  <c r="D9" i="1"/>
  <c r="D8" i="1"/>
  <c r="D7" i="1"/>
  <c r="D6" i="1"/>
  <c r="D5" i="1"/>
  <c r="D4" i="1"/>
  <c r="D3" i="1"/>
  <c r="D2" i="1"/>
  <c r="B10" i="1"/>
  <c r="C10" i="1" l="1"/>
  <c r="D10" i="1" s="1"/>
  <c r="G5" i="1"/>
  <c r="F10" i="1" l="1"/>
  <c r="E10" i="1"/>
  <c r="G9" i="1"/>
  <c r="G8" i="1"/>
  <c r="G7" i="1"/>
  <c r="G6" i="1"/>
  <c r="G4" i="1"/>
  <c r="G3" i="1"/>
  <c r="G2" i="1"/>
  <c r="G10" i="1" l="1"/>
</calcChain>
</file>

<file path=xl/sharedStrings.xml><?xml version="1.0" encoding="utf-8"?>
<sst xmlns="http://schemas.openxmlformats.org/spreadsheetml/2006/main" count="123" uniqueCount="29">
  <si>
    <t>Total</t>
  </si>
  <si>
    <t>PiG Meu</t>
  </si>
  <si>
    <t>PiG Self</t>
  </si>
  <si>
    <t>Dif</t>
  </si>
  <si>
    <t>Threadneedle (Lux) Enhanced Cmdts</t>
  </si>
  <si>
    <t>CS (Lux) Commodity Idx Plus USD B</t>
  </si>
  <si>
    <t>Aberdeen Standard Liquidity Fund Euro Fund A-2 Ac</t>
  </si>
  <si>
    <t>Global Technology A-Acc-EUR</t>
  </si>
  <si>
    <t>DWS Aktien Strategie Deutschland</t>
  </si>
  <si>
    <t>BGF World Energy E2</t>
  </si>
  <si>
    <t>NB Capital Plus FI</t>
  </si>
  <si>
    <t>Deutschland</t>
  </si>
  <si>
    <t>Import Compra Orig Meu</t>
  </si>
  <si>
    <t>Import Compra Orig Self</t>
  </si>
  <si>
    <t>Threadneedle (Lux) Enhanced</t>
  </si>
  <si>
    <t>Optimal Income A-H Grs Acc Hdg EUR</t>
  </si>
  <si>
    <t>Total Return N Acc €-H1</t>
  </si>
  <si>
    <t>Biotechnology C USD Acc</t>
  </si>
  <si>
    <t>European Growth N Acc ?</t>
  </si>
  <si>
    <t>Bolsa Tecnología y Telecomunicaciones FI</t>
  </si>
  <si>
    <t>Imp compra Orig App</t>
  </si>
  <si>
    <t>Prod</t>
  </si>
  <si>
    <t>Prod Orig</t>
  </si>
  <si>
    <t>Productes actuals amb desgloç de compres originals</t>
  </si>
  <si>
    <t>Productes actuals amb compres originals</t>
  </si>
  <si>
    <t>Productes originals amb participacions en cartera</t>
  </si>
  <si>
    <t>Imp compra Orig Self</t>
  </si>
  <si>
    <t xml:space="preserve"> </t>
  </si>
  <si>
    <t>Abrdn US Dollar Fund 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</si>
</sst>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8" fontId="0" fillId="0" borderId="0" xfId="0" applyNumberFormat="1"/>
    <xf numFmtId="8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/>
    <xf numFmtId="164" fontId="1" fillId="0" borderId="0" xfId="0" applyNumberFormat="1" applyFont="1" applyAlignment="1">
      <alignment horizontal="center" wrapText="1"/>
    </xf>
    <xf numFmtId="164" fontId="0" fillId="0" borderId="0" xfId="0" applyNumberFormat="1"/>
    <xf numFmtId="164" fontId="1" fillId="0" borderId="0" xfId="0" applyNumberFormat="1" applyFon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5D0D-B8B5-43EE-9A3C-77A80F538C29}">
  <dimension ref="A1:G54"/>
  <sheetViews>
    <sheetView zoomScale="115" zoomScaleNormal="115" workbookViewId="0">
      <selection activeCell="A4" sqref="A4"/>
    </sheetView>
  </sheetViews>
  <sheetFormatPr defaultColWidth="10.90625" defaultRowHeight="14.5" x14ac:dyDescent="0.35"/>
  <cols>
    <col min="1" max="1" width="33" customWidth="1"/>
    <col min="2" max="3" width="13.7265625" customWidth="1"/>
    <col min="4" max="4" width="10.6328125" bestFit="1" customWidth="1"/>
    <col min="8" max="8" width="1.6328125" customWidth="1"/>
  </cols>
  <sheetData>
    <row r="1" spans="1:7" ht="29" x14ac:dyDescent="0.35">
      <c r="A1" s="5">
        <v>44907</v>
      </c>
      <c r="B1" s="6" t="s">
        <v>12</v>
      </c>
      <c r="C1" s="6" t="s">
        <v>13</v>
      </c>
      <c r="D1" s="6" t="s">
        <v>3</v>
      </c>
      <c r="E1" s="4" t="s">
        <v>1</v>
      </c>
      <c r="F1" s="4" t="s">
        <v>2</v>
      </c>
      <c r="G1" s="4" t="s">
        <v>3</v>
      </c>
    </row>
    <row r="2" spans="1:7" x14ac:dyDescent="0.35">
      <c r="A2" t="s">
        <v>11</v>
      </c>
      <c r="B2" s="1">
        <v>777.36049221571</v>
      </c>
      <c r="C2" s="1">
        <v>777.35</v>
      </c>
      <c r="D2" s="1">
        <f t="shared" ref="D2:D8" si="0">+B2-C2</f>
        <v>1.0492215709973607E-2</v>
      </c>
      <c r="E2" s="1">
        <v>350.35</v>
      </c>
      <c r="F2" s="1">
        <v>350.36</v>
      </c>
      <c r="G2" s="1">
        <f t="shared" ref="G2:G8" si="1">+E2-F2</f>
        <v>-9.9999999999909051E-3</v>
      </c>
    </row>
    <row r="3" spans="1:7" x14ac:dyDescent="0.35">
      <c r="A3" t="s">
        <v>28</v>
      </c>
      <c r="B3" s="1">
        <v>1856.35</v>
      </c>
      <c r="C3" s="1">
        <v>1861.77</v>
      </c>
      <c r="D3" s="1">
        <f t="shared" si="0"/>
        <v>-5.4200000000000728</v>
      </c>
      <c r="E3" s="1">
        <v>748.54</v>
      </c>
      <c r="F3" s="1">
        <v>743.12</v>
      </c>
      <c r="G3" s="1">
        <f t="shared" si="1"/>
        <v>5.4199999999999591</v>
      </c>
    </row>
    <row r="4" spans="1:7" x14ac:dyDescent="0.35">
      <c r="A4" t="s">
        <v>6</v>
      </c>
      <c r="B4" s="1">
        <v>31915.82</v>
      </c>
      <c r="C4" s="1">
        <v>30830.71</v>
      </c>
      <c r="D4" s="1">
        <f t="shared" si="0"/>
        <v>1085.1100000000006</v>
      </c>
      <c r="E4" s="1">
        <v>41476.33</v>
      </c>
      <c r="F4" s="1">
        <v>42561.45</v>
      </c>
      <c r="G4" s="1">
        <f t="shared" si="1"/>
        <v>-1085.1199999999953</v>
      </c>
    </row>
    <row r="5" spans="1:7" x14ac:dyDescent="0.35">
      <c r="A5" t="s">
        <v>7</v>
      </c>
      <c r="B5" s="1">
        <v>5754.79</v>
      </c>
      <c r="C5" s="1">
        <v>5755.81</v>
      </c>
      <c r="D5" s="1">
        <f t="shared" si="0"/>
        <v>-1.0200000000004366</v>
      </c>
      <c r="E5" s="1">
        <v>13810.84</v>
      </c>
      <c r="F5" s="1">
        <v>13809.82</v>
      </c>
      <c r="G5" s="1">
        <f t="shared" si="1"/>
        <v>1.0200000000004366</v>
      </c>
    </row>
    <row r="6" spans="1:7" x14ac:dyDescent="0.35">
      <c r="A6" t="s">
        <v>8</v>
      </c>
      <c r="B6" s="1">
        <v>365.32</v>
      </c>
      <c r="C6" s="1">
        <v>365.18</v>
      </c>
      <c r="D6" s="1">
        <f t="shared" si="0"/>
        <v>0.13999999999998636</v>
      </c>
      <c r="E6" s="1">
        <v>372.34</v>
      </c>
      <c r="F6" s="1">
        <v>372.47</v>
      </c>
      <c r="G6" s="1">
        <f t="shared" si="1"/>
        <v>-0.1300000000000523</v>
      </c>
    </row>
    <row r="7" spans="1:7" x14ac:dyDescent="0.35">
      <c r="A7" t="s">
        <v>9</v>
      </c>
      <c r="B7" s="1">
        <v>5237.3599999999997</v>
      </c>
      <c r="C7" s="1">
        <v>5235.45</v>
      </c>
      <c r="D7" s="1">
        <f t="shared" si="0"/>
        <v>1.9099999999998545</v>
      </c>
      <c r="E7" s="1">
        <v>5573.34</v>
      </c>
      <c r="F7" s="1">
        <v>5575.25</v>
      </c>
      <c r="G7" s="1">
        <f t="shared" si="1"/>
        <v>-1.9099999999998545</v>
      </c>
    </row>
    <row r="8" spans="1:7" x14ac:dyDescent="0.35">
      <c r="A8" s="3" t="s">
        <v>0</v>
      </c>
      <c r="B8" s="2">
        <f>SUM(B2:B7)</f>
        <v>45907.00049221571</v>
      </c>
      <c r="C8" s="2">
        <f>SUM(C2:C7)</f>
        <v>44826.27</v>
      </c>
      <c r="D8" s="2">
        <f t="shared" si="0"/>
        <v>1080.7304922157127</v>
      </c>
      <c r="E8" s="2">
        <f>SUM(E2:E7)</f>
        <v>62331.739999999991</v>
      </c>
      <c r="F8" s="2">
        <f>SUM(F2:F7)</f>
        <v>63412.47</v>
      </c>
      <c r="G8" s="2">
        <f t="shared" si="1"/>
        <v>-1080.7300000000105</v>
      </c>
    </row>
    <row r="11" spans="1:7" x14ac:dyDescent="0.35">
      <c r="A11" s="3" t="s">
        <v>23</v>
      </c>
      <c r="B11" s="3"/>
      <c r="C11" s="3"/>
    </row>
    <row r="12" spans="1:7" x14ac:dyDescent="0.35">
      <c r="A12" s="3" t="s">
        <v>21</v>
      </c>
      <c r="B12" s="3" t="s">
        <v>22</v>
      </c>
      <c r="C12" s="3" t="s">
        <v>20</v>
      </c>
    </row>
    <row r="13" spans="1:7" x14ac:dyDescent="0.35">
      <c r="A13" t="s">
        <v>10</v>
      </c>
    </row>
    <row r="14" spans="1:7" x14ac:dyDescent="0.35">
      <c r="B14" t="s">
        <v>10</v>
      </c>
      <c r="C14" s="7">
        <v>1000</v>
      </c>
      <c r="D14" s="3" t="s">
        <v>16</v>
      </c>
    </row>
    <row r="15" spans="1:7" x14ac:dyDescent="0.35">
      <c r="B15" t="s">
        <v>16</v>
      </c>
      <c r="C15" s="7">
        <v>366.05200000000002</v>
      </c>
      <c r="D15" s="7">
        <f>+C15</f>
        <v>366.05200000000002</v>
      </c>
    </row>
    <row r="16" spans="1:7" x14ac:dyDescent="0.35">
      <c r="B16" t="s">
        <v>15</v>
      </c>
      <c r="C16" s="7">
        <v>222.61600000000001</v>
      </c>
    </row>
    <row r="17" spans="1:5" x14ac:dyDescent="0.35">
      <c r="B17" t="s">
        <v>16</v>
      </c>
      <c r="C17" s="7">
        <v>273.11200000000002</v>
      </c>
      <c r="D17" s="7">
        <f>+C17</f>
        <v>273.11200000000002</v>
      </c>
    </row>
    <row r="18" spans="1:5" x14ac:dyDescent="0.35">
      <c r="A18" t="s">
        <v>11</v>
      </c>
      <c r="C18" s="7"/>
    </row>
    <row r="19" spans="1:5" x14ac:dyDescent="0.35">
      <c r="B19" t="s">
        <v>15</v>
      </c>
      <c r="C19" s="7">
        <v>777.36</v>
      </c>
    </row>
    <row r="20" spans="1:5" x14ac:dyDescent="0.35">
      <c r="A20" t="s">
        <v>5</v>
      </c>
      <c r="C20" s="7"/>
    </row>
    <row r="21" spans="1:5" x14ac:dyDescent="0.35">
      <c r="B21" t="s">
        <v>16</v>
      </c>
      <c r="C21" s="7">
        <v>2897.3580000000002</v>
      </c>
      <c r="D21" s="7">
        <f>+C21</f>
        <v>2897.3580000000002</v>
      </c>
    </row>
    <row r="22" spans="1:5" x14ac:dyDescent="0.35">
      <c r="A22" s="9" t="s">
        <v>14</v>
      </c>
      <c r="C22" s="7"/>
      <c r="E22" s="3" t="s">
        <v>19</v>
      </c>
    </row>
    <row r="23" spans="1:5" x14ac:dyDescent="0.35">
      <c r="B23" t="s">
        <v>19</v>
      </c>
      <c r="C23" s="7">
        <v>7395.8220000000001</v>
      </c>
      <c r="E23" s="7">
        <f>C23</f>
        <v>7395.8220000000001</v>
      </c>
    </row>
    <row r="24" spans="1:5" x14ac:dyDescent="0.35">
      <c r="B24" s="9" t="s">
        <v>16</v>
      </c>
      <c r="C24" s="7">
        <v>5.2999999999999999E-2</v>
      </c>
      <c r="D24" s="7">
        <f>+C24</f>
        <v>5.2999999999999999E-2</v>
      </c>
    </row>
    <row r="25" spans="1:5" x14ac:dyDescent="0.35">
      <c r="A25" t="s">
        <v>6</v>
      </c>
      <c r="B25" t="s">
        <v>27</v>
      </c>
      <c r="C25" s="7"/>
    </row>
    <row r="26" spans="1:5" x14ac:dyDescent="0.35">
      <c r="B26" t="s">
        <v>16</v>
      </c>
      <c r="C26" s="7">
        <v>4480.9009999999998</v>
      </c>
      <c r="D26" s="7">
        <f>+C26</f>
        <v>4480.9009999999998</v>
      </c>
    </row>
    <row r="27" spans="1:5" x14ac:dyDescent="0.35">
      <c r="B27" t="s">
        <v>17</v>
      </c>
      <c r="C27" s="7">
        <v>5511.21</v>
      </c>
    </row>
    <row r="28" spans="1:5" x14ac:dyDescent="0.35">
      <c r="B28" t="s">
        <v>18</v>
      </c>
      <c r="C28" s="7">
        <v>1000</v>
      </c>
    </row>
    <row r="29" spans="1:5" x14ac:dyDescent="0.35">
      <c r="B29" t="s">
        <v>16</v>
      </c>
      <c r="C29" s="7">
        <v>7841.5749999999998</v>
      </c>
      <c r="D29" s="7">
        <f>+C29</f>
        <v>7841.5749999999998</v>
      </c>
    </row>
    <row r="30" spans="1:5" x14ac:dyDescent="0.35">
      <c r="B30" t="s">
        <v>16</v>
      </c>
      <c r="C30" s="7">
        <v>2785.4949999999999</v>
      </c>
      <c r="D30" s="7">
        <f>+C30</f>
        <v>2785.4949999999999</v>
      </c>
    </row>
    <row r="31" spans="1:5" x14ac:dyDescent="0.35">
      <c r="A31" t="s">
        <v>7</v>
      </c>
      <c r="C31" s="7"/>
    </row>
    <row r="32" spans="1:5" x14ac:dyDescent="0.35">
      <c r="B32" t="s">
        <v>16</v>
      </c>
      <c r="C32" s="7">
        <v>4043.9810000000002</v>
      </c>
      <c r="D32" s="7">
        <f>+C32</f>
        <v>4043.9810000000002</v>
      </c>
    </row>
    <row r="33" spans="1:4" x14ac:dyDescent="0.35">
      <c r="B33" t="s">
        <v>16</v>
      </c>
      <c r="C33" s="7">
        <v>1710.337</v>
      </c>
      <c r="D33" s="7">
        <f>+C33</f>
        <v>1710.337</v>
      </c>
    </row>
    <row r="34" spans="1:4" x14ac:dyDescent="0.35">
      <c r="A34" t="s">
        <v>8</v>
      </c>
      <c r="C34" s="7"/>
    </row>
    <row r="35" spans="1:4" x14ac:dyDescent="0.35">
      <c r="B35" t="s">
        <v>16</v>
      </c>
      <c r="C35" s="7">
        <v>365.21600000000001</v>
      </c>
      <c r="D35" s="7">
        <f>+C35</f>
        <v>365.21600000000001</v>
      </c>
    </row>
    <row r="36" spans="1:4" x14ac:dyDescent="0.35">
      <c r="A36" t="s">
        <v>9</v>
      </c>
      <c r="C36" s="7"/>
    </row>
    <row r="37" spans="1:4" x14ac:dyDescent="0.35">
      <c r="B37" t="s">
        <v>16</v>
      </c>
      <c r="C37" s="7">
        <v>5235.9089999999997</v>
      </c>
      <c r="D37" s="7">
        <f>+C37</f>
        <v>5235.9089999999997</v>
      </c>
    </row>
    <row r="38" spans="1:4" x14ac:dyDescent="0.35">
      <c r="C38" s="8">
        <f>SUM(C14:C37)</f>
        <v>45906.996999999996</v>
      </c>
      <c r="D38" s="8">
        <f>SUM(D13:D37)</f>
        <v>29999.988999999998</v>
      </c>
    </row>
    <row r="40" spans="1:4" x14ac:dyDescent="0.35">
      <c r="A40" s="3" t="s">
        <v>25</v>
      </c>
    </row>
    <row r="41" spans="1:4" x14ac:dyDescent="0.35">
      <c r="A41" s="3" t="s">
        <v>21</v>
      </c>
      <c r="B41" s="3" t="s">
        <v>26</v>
      </c>
    </row>
    <row r="42" spans="1:4" x14ac:dyDescent="0.35">
      <c r="A42" t="s">
        <v>10</v>
      </c>
      <c r="B42" s="7">
        <v>1000</v>
      </c>
    </row>
    <row r="43" spans="1:4" x14ac:dyDescent="0.35">
      <c r="A43" t="s">
        <v>17</v>
      </c>
      <c r="B43" s="7">
        <v>5511.21</v>
      </c>
    </row>
    <row r="44" spans="1:4" x14ac:dyDescent="0.35">
      <c r="A44" t="s">
        <v>15</v>
      </c>
      <c r="B44" s="7">
        <v>999.976</v>
      </c>
    </row>
    <row r="45" spans="1:4" x14ac:dyDescent="0.35">
      <c r="A45" s="9" t="s">
        <v>16</v>
      </c>
      <c r="B45" s="10">
        <v>19999.989000000001</v>
      </c>
      <c r="C45" s="7">
        <f>+B45+B46</f>
        <v>29999.988000000001</v>
      </c>
    </row>
    <row r="46" spans="1:4" x14ac:dyDescent="0.35">
      <c r="A46" s="9" t="s">
        <v>16</v>
      </c>
      <c r="B46" s="10">
        <v>9999.9989999999998</v>
      </c>
    </row>
    <row r="47" spans="1:4" x14ac:dyDescent="0.35">
      <c r="A47" t="s">
        <v>18</v>
      </c>
      <c r="B47" s="7">
        <v>1000</v>
      </c>
    </row>
    <row r="48" spans="1:4" x14ac:dyDescent="0.35">
      <c r="A48" t="s">
        <v>19</v>
      </c>
      <c r="B48" s="7">
        <v>7395.8220000000001</v>
      </c>
    </row>
    <row r="49" spans="2:2" x14ac:dyDescent="0.35">
      <c r="B49" s="8">
        <f>SUM(B42:B48)</f>
        <v>45906.995999999999</v>
      </c>
    </row>
    <row r="53" spans="2:2" x14ac:dyDescent="0.35">
      <c r="B53" s="8">
        <v>42086.609398132998</v>
      </c>
    </row>
    <row r="54" spans="2:2" x14ac:dyDescent="0.35">
      <c r="B54" s="7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2FDD-37DA-447A-A5FE-605F87D6A64A}">
  <dimension ref="A1:G68"/>
  <sheetViews>
    <sheetView tabSelected="1" zoomScale="115" zoomScaleNormal="115" workbookViewId="0">
      <selection activeCell="A5" sqref="A5"/>
    </sheetView>
  </sheetViews>
  <sheetFormatPr defaultColWidth="10.90625" defaultRowHeight="14.5" x14ac:dyDescent="0.35"/>
  <cols>
    <col min="1" max="1" width="33" customWidth="1"/>
    <col min="2" max="3" width="15" customWidth="1"/>
    <col min="4" max="4" width="10.6328125" bestFit="1" customWidth="1"/>
    <col min="8" max="8" width="1.6328125" customWidth="1"/>
  </cols>
  <sheetData>
    <row r="1" spans="1:7" ht="29" x14ac:dyDescent="0.35">
      <c r="A1" s="5">
        <v>44868</v>
      </c>
      <c r="B1" s="6" t="s">
        <v>12</v>
      </c>
      <c r="C1" s="6" t="s">
        <v>13</v>
      </c>
      <c r="D1" s="6" t="s">
        <v>3</v>
      </c>
      <c r="E1" s="4" t="s">
        <v>1</v>
      </c>
      <c r="F1" s="4" t="s">
        <v>2</v>
      </c>
      <c r="G1" s="4" t="s">
        <v>3</v>
      </c>
    </row>
    <row r="2" spans="1:7" x14ac:dyDescent="0.35">
      <c r="A2" t="s">
        <v>10</v>
      </c>
      <c r="B2" s="1">
        <v>1861.77942651227</v>
      </c>
      <c r="C2" s="1">
        <v>1861.77</v>
      </c>
      <c r="D2" s="1">
        <f>+B2-C2</f>
        <v>9.4265122700107895E-3</v>
      </c>
      <c r="E2" s="1">
        <v>896.66</v>
      </c>
      <c r="F2" s="1">
        <v>891.27</v>
      </c>
      <c r="G2" s="1">
        <f>+E2-F2</f>
        <v>5.3899999999999864</v>
      </c>
    </row>
    <row r="3" spans="1:7" x14ac:dyDescent="0.35">
      <c r="A3" t="s">
        <v>11</v>
      </c>
      <c r="B3" s="1">
        <v>777.36049221571</v>
      </c>
      <c r="C3" s="1">
        <v>777.35</v>
      </c>
      <c r="D3" s="1">
        <f t="shared" ref="D3:D10" si="0">+B3-C3</f>
        <v>1.0492215709973607E-2</v>
      </c>
      <c r="E3" s="1">
        <v>256.39999999999998</v>
      </c>
      <c r="F3" s="1">
        <v>256.39999999999998</v>
      </c>
      <c r="G3" s="1">
        <f t="shared" ref="G3:G5" si="1">+E3-F3</f>
        <v>0</v>
      </c>
    </row>
    <row r="4" spans="1:7" x14ac:dyDescent="0.35">
      <c r="A4" t="s">
        <v>5</v>
      </c>
      <c r="B4" s="1">
        <v>2897.3580237798001</v>
      </c>
      <c r="C4" s="1">
        <v>2897.36</v>
      </c>
      <c r="D4" s="1">
        <f t="shared" si="0"/>
        <v>-1.9762202000492834E-3</v>
      </c>
      <c r="E4" s="1">
        <v>6771.2</v>
      </c>
      <c r="F4" s="1">
        <v>6771.2</v>
      </c>
      <c r="G4" s="1">
        <f t="shared" si="1"/>
        <v>0</v>
      </c>
    </row>
    <row r="5" spans="1:7" x14ac:dyDescent="0.35">
      <c r="A5" t="s">
        <v>4</v>
      </c>
      <c r="B5" s="1">
        <v>7395.8748393039796</v>
      </c>
      <c r="C5" s="1">
        <v>6693.74</v>
      </c>
      <c r="D5" s="1">
        <f t="shared" si="0"/>
        <v>702.13483930397979</v>
      </c>
      <c r="E5" s="1">
        <v>944.42</v>
      </c>
      <c r="F5" s="1">
        <v>1646.6</v>
      </c>
      <c r="G5" s="1">
        <f t="shared" si="1"/>
        <v>-702.18</v>
      </c>
    </row>
    <row r="6" spans="1:7" x14ac:dyDescent="0.35">
      <c r="A6" t="s">
        <v>6</v>
      </c>
      <c r="B6" s="1">
        <v>21619.181022556499</v>
      </c>
      <c r="C6" s="1">
        <v>21239.61</v>
      </c>
      <c r="D6" s="1">
        <f t="shared" si="0"/>
        <v>379.57102255649806</v>
      </c>
      <c r="E6" s="1">
        <v>34148.36</v>
      </c>
      <c r="F6" s="1">
        <v>34531.339999999997</v>
      </c>
      <c r="G6" s="1">
        <f t="shared" ref="G6:G10" si="2">+E6-F6</f>
        <v>-382.97999999999593</v>
      </c>
    </row>
    <row r="7" spans="1:7" x14ac:dyDescent="0.35">
      <c r="A7" t="s">
        <v>7</v>
      </c>
      <c r="B7" s="1">
        <v>5754.3174082974501</v>
      </c>
      <c r="C7" s="1">
        <v>5755.81</v>
      </c>
      <c r="D7" s="1">
        <f t="shared" si="0"/>
        <v>-1.4925917025502713</v>
      </c>
      <c r="E7" s="1">
        <v>13583.19</v>
      </c>
      <c r="F7" s="1">
        <v>13582.17</v>
      </c>
      <c r="G7" s="1">
        <f t="shared" si="2"/>
        <v>1.0200000000004366</v>
      </c>
    </row>
    <row r="8" spans="1:7" x14ac:dyDescent="0.35">
      <c r="A8" t="s">
        <v>8</v>
      </c>
      <c r="B8" s="1">
        <v>365.215777443364</v>
      </c>
      <c r="C8" s="1">
        <v>365.18</v>
      </c>
      <c r="D8" s="1">
        <f t="shared" si="0"/>
        <v>3.5777443363997463E-2</v>
      </c>
      <c r="E8" s="1">
        <v>313.20999999999998</v>
      </c>
      <c r="F8" s="1">
        <v>313.35000000000002</v>
      </c>
      <c r="G8" s="1">
        <f t="shared" si="2"/>
        <v>-0.1400000000000432</v>
      </c>
    </row>
    <row r="9" spans="1:7" x14ac:dyDescent="0.35">
      <c r="A9" t="s">
        <v>9</v>
      </c>
      <c r="B9" s="1">
        <v>5235.9091225654602</v>
      </c>
      <c r="C9" s="1">
        <v>5235.45</v>
      </c>
      <c r="D9" s="1">
        <f t="shared" si="0"/>
        <v>0.45912256546034769</v>
      </c>
      <c r="E9" s="1">
        <v>6871.1</v>
      </c>
      <c r="F9" s="1">
        <v>6873.02</v>
      </c>
      <c r="G9" s="1">
        <f t="shared" si="2"/>
        <v>-1.9200000000000728</v>
      </c>
    </row>
    <row r="10" spans="1:7" x14ac:dyDescent="0.35">
      <c r="A10" s="3" t="s">
        <v>0</v>
      </c>
      <c r="B10" s="2">
        <f>SUM(B2:B9)</f>
        <v>45906.99611267454</v>
      </c>
      <c r="C10" s="2">
        <f>SUM(C2:C9)</f>
        <v>44826.27</v>
      </c>
      <c r="D10" s="2">
        <f t="shared" si="0"/>
        <v>1080.7261126745434</v>
      </c>
      <c r="E10" s="2">
        <f>SUM(E2:E9)</f>
        <v>63784.54</v>
      </c>
      <c r="F10" s="2">
        <f>SUM(F2:F9)</f>
        <v>64865.349999999991</v>
      </c>
      <c r="G10" s="2">
        <f t="shared" si="2"/>
        <v>-1080.8099999999904</v>
      </c>
    </row>
    <row r="13" spans="1:7" x14ac:dyDescent="0.35">
      <c r="A13" s="3" t="s">
        <v>24</v>
      </c>
      <c r="B13" s="3"/>
    </row>
    <row r="14" spans="1:7" x14ac:dyDescent="0.35">
      <c r="A14" s="3" t="s">
        <v>21</v>
      </c>
      <c r="B14" s="3" t="s">
        <v>20</v>
      </c>
    </row>
    <row r="15" spans="1:7" x14ac:dyDescent="0.35">
      <c r="A15" t="s">
        <v>10</v>
      </c>
      <c r="B15" s="7">
        <v>1861.779</v>
      </c>
    </row>
    <row r="16" spans="1:7" x14ac:dyDescent="0.35">
      <c r="A16" t="s">
        <v>11</v>
      </c>
      <c r="B16" s="7">
        <v>777.36</v>
      </c>
    </row>
    <row r="17" spans="1:4" x14ac:dyDescent="0.35">
      <c r="A17" t="s">
        <v>5</v>
      </c>
      <c r="B17" s="7">
        <v>2897.3580000000002</v>
      </c>
    </row>
    <row r="18" spans="1:4" x14ac:dyDescent="0.35">
      <c r="A18" s="9" t="s">
        <v>14</v>
      </c>
      <c r="B18" s="7">
        <v>7395.875</v>
      </c>
    </row>
    <row r="19" spans="1:4" x14ac:dyDescent="0.35">
      <c r="A19" t="s">
        <v>6</v>
      </c>
      <c r="B19" s="7">
        <v>21619.181</v>
      </c>
    </row>
    <row r="20" spans="1:4" x14ac:dyDescent="0.35">
      <c r="A20" t="s">
        <v>7</v>
      </c>
      <c r="B20" s="7">
        <v>5754.317</v>
      </c>
    </row>
    <row r="21" spans="1:4" x14ac:dyDescent="0.35">
      <c r="A21" t="s">
        <v>8</v>
      </c>
      <c r="B21" s="7">
        <v>365.21600000000001</v>
      </c>
    </row>
    <row r="22" spans="1:4" x14ac:dyDescent="0.35">
      <c r="A22" t="s">
        <v>9</v>
      </c>
      <c r="B22" s="7">
        <v>5235.9089999999997</v>
      </c>
    </row>
    <row r="23" spans="1:4" x14ac:dyDescent="0.35">
      <c r="B23" s="8">
        <f>SUM(B15:B22)</f>
        <v>45906.995000000003</v>
      </c>
    </row>
    <row r="25" spans="1:4" x14ac:dyDescent="0.35">
      <c r="A25" s="3" t="s">
        <v>23</v>
      </c>
      <c r="B25" s="3"/>
      <c r="C25" s="3"/>
    </row>
    <row r="26" spans="1:4" x14ac:dyDescent="0.35">
      <c r="A26" s="3" t="s">
        <v>21</v>
      </c>
      <c r="B26" s="3" t="s">
        <v>22</v>
      </c>
      <c r="C26" s="3" t="s">
        <v>20</v>
      </c>
    </row>
    <row r="27" spans="1:4" x14ac:dyDescent="0.35">
      <c r="A27" t="s">
        <v>10</v>
      </c>
    </row>
    <row r="28" spans="1:4" x14ac:dyDescent="0.35">
      <c r="B28" t="s">
        <v>10</v>
      </c>
      <c r="C28" s="7">
        <v>1000</v>
      </c>
      <c r="D28" s="3" t="s">
        <v>16</v>
      </c>
    </row>
    <row r="29" spans="1:4" x14ac:dyDescent="0.35">
      <c r="B29" t="s">
        <v>16</v>
      </c>
      <c r="C29" s="7">
        <v>366.05200000000002</v>
      </c>
      <c r="D29" s="7">
        <f>+C29</f>
        <v>366.05200000000002</v>
      </c>
    </row>
    <row r="30" spans="1:4" x14ac:dyDescent="0.35">
      <c r="B30" t="s">
        <v>15</v>
      </c>
      <c r="C30" s="7">
        <v>222.61600000000001</v>
      </c>
    </row>
    <row r="31" spans="1:4" x14ac:dyDescent="0.35">
      <c r="B31" t="s">
        <v>16</v>
      </c>
      <c r="C31" s="7">
        <v>273.11200000000002</v>
      </c>
      <c r="D31" s="7">
        <f>+C31</f>
        <v>273.11200000000002</v>
      </c>
    </row>
    <row r="32" spans="1:4" x14ac:dyDescent="0.35">
      <c r="A32" t="s">
        <v>11</v>
      </c>
      <c r="C32" s="7"/>
    </row>
    <row r="33" spans="1:5" x14ac:dyDescent="0.35">
      <c r="B33" t="s">
        <v>15</v>
      </c>
      <c r="C33" s="7">
        <v>777.36</v>
      </c>
    </row>
    <row r="34" spans="1:5" x14ac:dyDescent="0.35">
      <c r="A34" t="s">
        <v>5</v>
      </c>
      <c r="C34" s="7"/>
    </row>
    <row r="35" spans="1:5" x14ac:dyDescent="0.35">
      <c r="B35" t="s">
        <v>16</v>
      </c>
      <c r="C35" s="7">
        <v>2897.3580000000002</v>
      </c>
      <c r="D35" s="7">
        <f>+C35</f>
        <v>2897.3580000000002</v>
      </c>
    </row>
    <row r="36" spans="1:5" x14ac:dyDescent="0.35">
      <c r="A36" s="9" t="s">
        <v>14</v>
      </c>
      <c r="C36" s="7"/>
      <c r="E36" s="3" t="s">
        <v>19</v>
      </c>
    </row>
    <row r="37" spans="1:5" x14ac:dyDescent="0.35">
      <c r="B37" t="s">
        <v>19</v>
      </c>
      <c r="C37" s="7">
        <v>7395.8220000000001</v>
      </c>
      <c r="E37" s="7">
        <f>C37</f>
        <v>7395.8220000000001</v>
      </c>
    </row>
    <row r="38" spans="1:5" x14ac:dyDescent="0.35">
      <c r="B38" s="9" t="s">
        <v>16</v>
      </c>
      <c r="C38" s="7">
        <v>5.2999999999999999E-2</v>
      </c>
      <c r="D38" s="7">
        <f>+C38</f>
        <v>5.2999999999999999E-2</v>
      </c>
    </row>
    <row r="39" spans="1:5" x14ac:dyDescent="0.35">
      <c r="A39" t="s">
        <v>6</v>
      </c>
      <c r="B39" t="s">
        <v>27</v>
      </c>
      <c r="C39" s="7"/>
    </row>
    <row r="40" spans="1:5" x14ac:dyDescent="0.35">
      <c r="B40" t="s">
        <v>16</v>
      </c>
      <c r="C40" s="7">
        <v>4480.9009999999998</v>
      </c>
      <c r="D40" s="7">
        <f>+C40</f>
        <v>4480.9009999999998</v>
      </c>
    </row>
    <row r="41" spans="1:5" x14ac:dyDescent="0.35">
      <c r="B41" t="s">
        <v>17</v>
      </c>
      <c r="C41" s="7">
        <v>5511.21</v>
      </c>
    </row>
    <row r="42" spans="1:5" x14ac:dyDescent="0.35">
      <c r="B42" t="s">
        <v>18</v>
      </c>
      <c r="C42" s="7">
        <v>1000</v>
      </c>
    </row>
    <row r="43" spans="1:5" x14ac:dyDescent="0.35">
      <c r="B43" t="s">
        <v>16</v>
      </c>
      <c r="C43" s="7">
        <v>7841.5749999999998</v>
      </c>
      <c r="D43" s="7">
        <f>+C43</f>
        <v>7841.5749999999998</v>
      </c>
    </row>
    <row r="44" spans="1:5" x14ac:dyDescent="0.35">
      <c r="B44" t="s">
        <v>16</v>
      </c>
      <c r="C44" s="7">
        <v>2785.4949999999999</v>
      </c>
      <c r="D44" s="7">
        <f>+C44</f>
        <v>2785.4949999999999</v>
      </c>
    </row>
    <row r="45" spans="1:5" x14ac:dyDescent="0.35">
      <c r="A45" t="s">
        <v>7</v>
      </c>
      <c r="C45" s="7"/>
    </row>
    <row r="46" spans="1:5" x14ac:dyDescent="0.35">
      <c r="B46" t="s">
        <v>16</v>
      </c>
      <c r="C46" s="7">
        <v>4043.9810000000002</v>
      </c>
      <c r="D46" s="7">
        <f>+C46</f>
        <v>4043.9810000000002</v>
      </c>
    </row>
    <row r="47" spans="1:5" x14ac:dyDescent="0.35">
      <c r="B47" t="s">
        <v>16</v>
      </c>
      <c r="C47" s="7">
        <v>1710.337</v>
      </c>
      <c r="D47" s="7">
        <f>+C47</f>
        <v>1710.337</v>
      </c>
    </row>
    <row r="48" spans="1:5" x14ac:dyDescent="0.35">
      <c r="A48" t="s">
        <v>8</v>
      </c>
      <c r="C48" s="7"/>
    </row>
    <row r="49" spans="1:4" x14ac:dyDescent="0.35">
      <c r="B49" t="s">
        <v>16</v>
      </c>
      <c r="C49" s="7">
        <v>365.21600000000001</v>
      </c>
      <c r="D49" s="7">
        <f>+C49</f>
        <v>365.21600000000001</v>
      </c>
    </row>
    <row r="50" spans="1:4" x14ac:dyDescent="0.35">
      <c r="A50" t="s">
        <v>9</v>
      </c>
      <c r="C50" s="7"/>
    </row>
    <row r="51" spans="1:4" x14ac:dyDescent="0.35">
      <c r="B51" t="s">
        <v>16</v>
      </c>
      <c r="C51" s="7">
        <v>5235.9089999999997</v>
      </c>
      <c r="D51" s="7">
        <f>+C51</f>
        <v>5235.9089999999997</v>
      </c>
    </row>
    <row r="52" spans="1:4" x14ac:dyDescent="0.35">
      <c r="C52" s="8">
        <f>SUM(C28:C51)</f>
        <v>45906.996999999996</v>
      </c>
      <c r="D52" s="8">
        <f>SUM(D27:D51)</f>
        <v>29999.988999999998</v>
      </c>
    </row>
    <row r="54" spans="1:4" x14ac:dyDescent="0.35">
      <c r="A54" s="3" t="s">
        <v>25</v>
      </c>
    </row>
    <row r="55" spans="1:4" x14ac:dyDescent="0.35">
      <c r="A55" s="3" t="s">
        <v>21</v>
      </c>
      <c r="B55" s="3" t="s">
        <v>26</v>
      </c>
    </row>
    <row r="56" spans="1:4" x14ac:dyDescent="0.35">
      <c r="A56" t="s">
        <v>10</v>
      </c>
      <c r="B56" s="7">
        <v>1000</v>
      </c>
    </row>
    <row r="57" spans="1:4" x14ac:dyDescent="0.35">
      <c r="A57" t="s">
        <v>17</v>
      </c>
      <c r="B57" s="7">
        <v>5511.21</v>
      </c>
    </row>
    <row r="58" spans="1:4" x14ac:dyDescent="0.35">
      <c r="A58" t="s">
        <v>15</v>
      </c>
      <c r="B58" s="7">
        <v>999.976</v>
      </c>
    </row>
    <row r="59" spans="1:4" x14ac:dyDescent="0.35">
      <c r="A59" s="9" t="s">
        <v>16</v>
      </c>
      <c r="B59" s="10">
        <v>19999.989000000001</v>
      </c>
      <c r="C59" s="7">
        <f>+B59+B60</f>
        <v>29999.988000000001</v>
      </c>
    </row>
    <row r="60" spans="1:4" x14ac:dyDescent="0.35">
      <c r="A60" s="9" t="s">
        <v>16</v>
      </c>
      <c r="B60" s="10">
        <v>9999.9989999999998</v>
      </c>
    </row>
    <row r="61" spans="1:4" x14ac:dyDescent="0.35">
      <c r="A61" t="s">
        <v>18</v>
      </c>
      <c r="B61" s="7">
        <v>1000</v>
      </c>
    </row>
    <row r="62" spans="1:4" x14ac:dyDescent="0.35">
      <c r="A62" t="s">
        <v>19</v>
      </c>
      <c r="B62" s="7">
        <v>7395.8220000000001</v>
      </c>
    </row>
    <row r="63" spans="1:4" x14ac:dyDescent="0.35">
      <c r="B63" s="8">
        <f>SUM(B56:B62)</f>
        <v>45906.995999999999</v>
      </c>
    </row>
    <row r="67" spans="2:2" x14ac:dyDescent="0.35">
      <c r="B67" s="8">
        <v>42086.609398132998</v>
      </c>
    </row>
    <row r="68" spans="2:2" x14ac:dyDescent="0.35">
      <c r="B68" s="7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BA40-DCEF-47E5-85BB-56C68AEE75F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PiGs 12-12-2022</vt:lpstr>
      <vt:lpstr>PiGs 03-11-2022</vt:lpstr>
      <vt:lpstr>Accions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2022-10-12T08:46:21Z</dcterms:created>
  <dcterms:modified xsi:type="dcterms:W3CDTF">2022-12-12T17:23:12Z</dcterms:modified>
</cp:coreProperties>
</file>