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mp\____\"/>
    </mc:Choice>
  </mc:AlternateContent>
  <xr:revisionPtr revIDLastSave="0" documentId="13_ncr:1_{83B067B2-5807-4A84-8085-EC5AC1B5F8C0}" xr6:coauthVersionLast="47" xr6:coauthVersionMax="47" xr10:uidLastSave="{00000000-0000-0000-0000-000000000000}"/>
  <bookViews>
    <workbookView xWindow="22932" yWindow="0" windowWidth="23256" windowHeight="12576" activeTab="1" xr2:uid="{CFE75038-AD5F-4A09-ACF9-52DE856301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2" l="1"/>
  <c r="A28" i="1"/>
  <c r="B28" i="1"/>
  <c r="C28" i="1"/>
  <c r="D28" i="1"/>
  <c r="E28" i="1"/>
  <c r="F28" i="1"/>
  <c r="G28" i="1"/>
  <c r="H28" i="1"/>
  <c r="I28" i="1"/>
  <c r="J28" i="1"/>
  <c r="K28" i="1"/>
  <c r="A29" i="1"/>
  <c r="B29" i="1"/>
  <c r="C29" i="1"/>
  <c r="D29" i="1"/>
  <c r="E29" i="1"/>
  <c r="F29" i="1"/>
  <c r="G29" i="1"/>
  <c r="H29" i="1"/>
  <c r="I29" i="1"/>
  <c r="J29" i="1"/>
  <c r="K29" i="1"/>
  <c r="A30" i="1"/>
  <c r="B30" i="1"/>
  <c r="C30" i="1"/>
  <c r="D30" i="1"/>
  <c r="E30" i="1"/>
  <c r="F30" i="1"/>
  <c r="G30" i="1"/>
  <c r="H30" i="1"/>
  <c r="I30" i="1"/>
  <c r="J30" i="1"/>
  <c r="K30" i="1"/>
  <c r="A31" i="1"/>
  <c r="B31" i="1"/>
  <c r="C31" i="1"/>
  <c r="D31" i="1"/>
  <c r="E31" i="1"/>
  <c r="F31" i="1"/>
  <c r="G31" i="1"/>
  <c r="H31" i="1"/>
  <c r="I31" i="1"/>
  <c r="J31" i="1"/>
  <c r="K31" i="1"/>
  <c r="A32" i="1"/>
  <c r="B32" i="1"/>
  <c r="C32" i="1"/>
  <c r="D32" i="1"/>
  <c r="E32" i="1"/>
  <c r="F32" i="1"/>
  <c r="G32" i="1"/>
  <c r="H32" i="1"/>
  <c r="I32" i="1"/>
  <c r="J32" i="1"/>
  <c r="K32" i="1"/>
  <c r="A33" i="1"/>
  <c r="B33" i="1"/>
  <c r="C33" i="1"/>
  <c r="D33" i="1"/>
  <c r="E33" i="1"/>
  <c r="F33" i="1"/>
  <c r="G33" i="1"/>
  <c r="H33" i="1"/>
  <c r="I33" i="1"/>
  <c r="J33" i="1"/>
  <c r="K33" i="1"/>
  <c r="A34" i="1"/>
  <c r="B34" i="1"/>
  <c r="C34" i="1"/>
  <c r="D34" i="1"/>
  <c r="E34" i="1"/>
  <c r="F34" i="1"/>
  <c r="G34" i="1"/>
  <c r="H34" i="1"/>
  <c r="I34" i="1"/>
  <c r="J34" i="1"/>
  <c r="K34" i="1"/>
  <c r="A35" i="1"/>
  <c r="B35" i="1"/>
  <c r="C35" i="1"/>
  <c r="D35" i="1"/>
  <c r="E35" i="1"/>
  <c r="F35" i="1"/>
  <c r="G35" i="1"/>
  <c r="H35" i="1"/>
  <c r="I35" i="1"/>
  <c r="J35" i="1"/>
  <c r="K35" i="1"/>
  <c r="A36" i="1"/>
  <c r="B36" i="1"/>
  <c r="C36" i="1"/>
  <c r="D36" i="1"/>
  <c r="E36" i="1"/>
  <c r="F36" i="1"/>
  <c r="G36" i="1"/>
  <c r="H36" i="1"/>
  <c r="I36" i="1"/>
  <c r="J36" i="1"/>
  <c r="K36" i="1"/>
  <c r="A37" i="1"/>
  <c r="B37" i="1"/>
  <c r="C37" i="1"/>
  <c r="D37" i="1"/>
  <c r="E37" i="1"/>
  <c r="F37" i="1"/>
  <c r="G37" i="1"/>
  <c r="H37" i="1"/>
  <c r="I37" i="1"/>
  <c r="J37" i="1"/>
  <c r="K37" i="1"/>
  <c r="A38" i="1"/>
  <c r="B38" i="1"/>
  <c r="C38" i="1"/>
  <c r="D38" i="1"/>
  <c r="E38" i="1"/>
  <c r="F38" i="1"/>
  <c r="G38" i="1"/>
  <c r="H38" i="1"/>
  <c r="I38" i="1"/>
  <c r="J38" i="1"/>
  <c r="K38" i="1"/>
  <c r="B27" i="1"/>
  <c r="C27" i="1"/>
  <c r="D27" i="1"/>
  <c r="E27" i="1"/>
  <c r="F27" i="1"/>
  <c r="G27" i="1"/>
  <c r="H27" i="1"/>
  <c r="I27" i="1"/>
  <c r="J27" i="1"/>
  <c r="K27" i="1"/>
  <c r="A27" i="1"/>
</calcChain>
</file>

<file path=xl/sharedStrings.xml><?xml version="1.0" encoding="utf-8"?>
<sst xmlns="http://schemas.openxmlformats.org/spreadsheetml/2006/main" count="70" uniqueCount="18">
  <si>
    <t>Fons Orig</t>
  </si>
  <si>
    <t>Id</t>
  </si>
  <si>
    <t>Data Compra</t>
  </si>
  <si>
    <t>Parts</t>
  </si>
  <si>
    <t>Parts Disp.</t>
  </si>
  <si>
    <t>PiG</t>
  </si>
  <si>
    <t>Id Orig</t>
  </si>
  <si>
    <t>Data Orig Compra</t>
  </si>
  <si>
    <t>Pig Origen</t>
  </si>
  <si>
    <t>Pig Orig. Disp.</t>
  </si>
  <si>
    <t>Parts Util</t>
  </si>
  <si>
    <t>Pig Origen Util</t>
  </si>
  <si>
    <t>Valor Act.</t>
  </si>
  <si>
    <t>Total Return N Acc €-H1</t>
  </si>
  <si>
    <t>Biotechnology C USD Acc</t>
  </si>
  <si>
    <t>Optimal Income A-H Grs Acc Hdg EUR</t>
  </si>
  <si>
    <t>European Growth N Acc ?</t>
  </si>
  <si>
    <t>Trea Renta Fija Ahorro S 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</si>
</sst>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_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8" fontId="0" fillId="0" borderId="0" xfId="0" applyNumberFormat="1" applyAlignment="1">
      <alignment vertical="center"/>
    </xf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0314-E530-4287-BD65-AB85D046FD35}">
  <dimension ref="A1:N38"/>
  <sheetViews>
    <sheetView topLeftCell="A16" workbookViewId="0">
      <selection activeCell="K28" sqref="K28"/>
    </sheetView>
  </sheetViews>
  <sheetFormatPr defaultRowHeight="14.5" x14ac:dyDescent="0.35"/>
  <cols>
    <col min="1" max="1" width="32.1796875" bestFit="1" customWidth="1"/>
    <col min="2" max="2" width="6.36328125" bestFit="1" customWidth="1"/>
    <col min="3" max="3" width="4.81640625" bestFit="1" customWidth="1"/>
    <col min="4" max="4" width="11.90625" bestFit="1" customWidth="1"/>
    <col min="5" max="5" width="6.81640625" bestFit="1" customWidth="1"/>
    <col min="6" max="6" width="15.90625" bestFit="1" customWidth="1"/>
    <col min="7" max="7" width="7.7265625" bestFit="1" customWidth="1"/>
    <col min="8" max="8" width="8.54296875" bestFit="1" customWidth="1"/>
    <col min="9" max="9" width="10.26953125" bestFit="1" customWidth="1"/>
    <col min="10" max="10" width="12.6328125" bestFit="1" customWidth="1"/>
    <col min="11" max="11" width="9.26953125" bestFit="1" customWidth="1"/>
    <col min="12" max="12" width="9.81640625" bestFit="1" customWidth="1"/>
    <col min="13" max="13" width="12.36328125" bestFit="1" customWidth="1"/>
    <col min="15" max="15" width="9.26953125" bestFit="1" customWidth="1"/>
  </cols>
  <sheetData>
    <row r="1" spans="1:14" x14ac:dyDescent="0.35">
      <c r="A1" s="7" t="s">
        <v>0</v>
      </c>
      <c r="B1" s="7" t="s">
        <v>6</v>
      </c>
      <c r="C1" s="7" t="s">
        <v>1</v>
      </c>
      <c r="D1" s="7" t="s">
        <v>2</v>
      </c>
      <c r="E1" s="7" t="s">
        <v>3</v>
      </c>
      <c r="F1" s="7" t="s">
        <v>7</v>
      </c>
      <c r="G1" s="7" t="s">
        <v>5</v>
      </c>
      <c r="H1" s="7" t="s">
        <v>10</v>
      </c>
      <c r="I1" s="7" t="s">
        <v>8</v>
      </c>
      <c r="J1" s="7" t="s">
        <v>11</v>
      </c>
      <c r="K1" s="7" t="s">
        <v>12</v>
      </c>
      <c r="L1" s="7" t="s">
        <v>4</v>
      </c>
      <c r="M1" s="7" t="s">
        <v>9</v>
      </c>
      <c r="N1" s="7"/>
    </row>
    <row r="2" spans="1:14" x14ac:dyDescent="0.35">
      <c r="A2" t="s">
        <v>13</v>
      </c>
      <c r="B2">
        <v>16</v>
      </c>
      <c r="C2">
        <v>217</v>
      </c>
      <c r="D2" s="1">
        <v>44725</v>
      </c>
      <c r="E2">
        <v>23.23</v>
      </c>
      <c r="F2" s="1">
        <v>41166</v>
      </c>
      <c r="G2" s="2">
        <v>174.52</v>
      </c>
      <c r="H2">
        <v>4.2295999999999996</v>
      </c>
      <c r="I2" s="2">
        <v>8238.17</v>
      </c>
      <c r="J2" s="2">
        <v>1499.96</v>
      </c>
      <c r="K2" s="2">
        <v>2007.13</v>
      </c>
      <c r="L2">
        <v>0</v>
      </c>
      <c r="M2" s="2">
        <v>0</v>
      </c>
    </row>
    <row r="3" spans="1:14" x14ac:dyDescent="0.35">
      <c r="A3" t="s">
        <v>13</v>
      </c>
      <c r="B3">
        <v>16</v>
      </c>
      <c r="C3">
        <v>1235</v>
      </c>
      <c r="D3" s="1">
        <v>44893</v>
      </c>
      <c r="E3">
        <v>21.81</v>
      </c>
      <c r="F3" s="1">
        <v>41166</v>
      </c>
      <c r="G3" s="2">
        <v>21.23</v>
      </c>
      <c r="H3">
        <v>21.81</v>
      </c>
      <c r="I3" s="2">
        <v>7452.45</v>
      </c>
      <c r="J3" s="2">
        <v>176.79</v>
      </c>
      <c r="K3" s="2">
        <v>245.53</v>
      </c>
      <c r="L3">
        <v>21.2926</v>
      </c>
      <c r="M3" s="2">
        <v>7275.66</v>
      </c>
    </row>
    <row r="4" spans="1:14" x14ac:dyDescent="0.35">
      <c r="A4" t="s">
        <v>13</v>
      </c>
      <c r="B4">
        <v>16</v>
      </c>
      <c r="C4">
        <v>1239</v>
      </c>
      <c r="D4" s="1">
        <v>44893</v>
      </c>
      <c r="E4">
        <v>4.0000000000000002E-4</v>
      </c>
      <c r="F4" s="1">
        <v>41166</v>
      </c>
      <c r="G4" s="2">
        <v>0</v>
      </c>
      <c r="H4">
        <v>4.0000000000000002E-4</v>
      </c>
      <c r="I4" s="2">
        <v>0.14000000000000001</v>
      </c>
      <c r="J4" s="2">
        <v>0</v>
      </c>
      <c r="K4" s="2">
        <v>0</v>
      </c>
      <c r="L4">
        <v>4.0000000000000002E-4</v>
      </c>
      <c r="M4" s="2">
        <v>0.14000000000000001</v>
      </c>
    </row>
    <row r="5" spans="1:14" x14ac:dyDescent="0.35">
      <c r="A5" t="s">
        <v>13</v>
      </c>
      <c r="B5">
        <v>16</v>
      </c>
      <c r="C5">
        <v>1241</v>
      </c>
      <c r="D5" s="1">
        <v>44939</v>
      </c>
      <c r="E5">
        <v>2.0112999999999999</v>
      </c>
      <c r="F5" s="1">
        <v>41166</v>
      </c>
      <c r="G5" s="2">
        <v>0</v>
      </c>
      <c r="H5">
        <v>2.0112999999999999</v>
      </c>
      <c r="I5" s="2">
        <v>681.34</v>
      </c>
      <c r="J5" s="2">
        <v>0</v>
      </c>
      <c r="K5" s="2">
        <v>0</v>
      </c>
      <c r="L5">
        <v>2.0112999999999999</v>
      </c>
      <c r="M5" s="2">
        <v>681.34</v>
      </c>
    </row>
    <row r="6" spans="1:14" x14ac:dyDescent="0.35">
      <c r="A6" t="s">
        <v>13</v>
      </c>
      <c r="B6">
        <v>17</v>
      </c>
      <c r="C6">
        <v>197</v>
      </c>
      <c r="D6" s="1">
        <v>44473</v>
      </c>
      <c r="E6">
        <v>24.54</v>
      </c>
      <c r="F6" s="1">
        <v>41377</v>
      </c>
      <c r="G6" s="2">
        <v>0</v>
      </c>
      <c r="H6">
        <v>24.54</v>
      </c>
      <c r="I6" s="2">
        <v>7163.17</v>
      </c>
      <c r="J6" s="2">
        <v>0</v>
      </c>
      <c r="K6" s="2">
        <v>0</v>
      </c>
      <c r="L6">
        <v>24.54</v>
      </c>
      <c r="M6" s="2">
        <v>7163.17</v>
      </c>
    </row>
    <row r="7" spans="1:14" x14ac:dyDescent="0.35">
      <c r="A7" t="s">
        <v>13</v>
      </c>
      <c r="B7">
        <v>17</v>
      </c>
      <c r="C7">
        <v>205</v>
      </c>
      <c r="D7" s="1">
        <v>44524</v>
      </c>
      <c r="E7">
        <v>46.265999999999998</v>
      </c>
      <c r="F7" s="1">
        <v>41377</v>
      </c>
      <c r="G7" s="2">
        <v>0</v>
      </c>
      <c r="H7">
        <v>46.265999999999998</v>
      </c>
      <c r="I7" s="2">
        <v>14111.52</v>
      </c>
      <c r="J7" s="2">
        <v>0</v>
      </c>
      <c r="K7" s="2">
        <v>0</v>
      </c>
      <c r="L7">
        <v>46.265999999999998</v>
      </c>
      <c r="M7" s="2">
        <v>14111.52</v>
      </c>
    </row>
    <row r="8" spans="1:14" x14ac:dyDescent="0.35">
      <c r="A8" t="s">
        <v>13</v>
      </c>
      <c r="B8">
        <v>17</v>
      </c>
      <c r="C8">
        <v>1241</v>
      </c>
      <c r="D8" s="1">
        <v>44939</v>
      </c>
      <c r="E8">
        <v>1.1525000000000001</v>
      </c>
      <c r="F8" s="1">
        <v>41377</v>
      </c>
      <c r="G8" s="2">
        <v>0</v>
      </c>
      <c r="H8">
        <v>1.1525000000000001</v>
      </c>
      <c r="I8" s="2">
        <v>186.29</v>
      </c>
      <c r="J8" s="2">
        <v>0</v>
      </c>
      <c r="K8" s="2">
        <v>0</v>
      </c>
      <c r="L8">
        <v>1.1525000000000001</v>
      </c>
      <c r="M8" s="2">
        <v>186.29</v>
      </c>
    </row>
    <row r="9" spans="1:14" x14ac:dyDescent="0.35">
      <c r="A9" t="s">
        <v>14</v>
      </c>
      <c r="B9">
        <v>7</v>
      </c>
      <c r="C9">
        <v>203</v>
      </c>
      <c r="D9" s="1">
        <v>44496</v>
      </c>
      <c r="E9">
        <v>29.760999999999999</v>
      </c>
      <c r="F9" s="1">
        <v>41492</v>
      </c>
      <c r="G9" s="2">
        <v>0</v>
      </c>
      <c r="H9">
        <v>29.760999999999999</v>
      </c>
      <c r="I9" s="2">
        <v>8611.7000000000007</v>
      </c>
      <c r="J9" s="2">
        <v>0</v>
      </c>
      <c r="K9" s="2">
        <v>0</v>
      </c>
      <c r="L9">
        <v>29.760999999999999</v>
      </c>
      <c r="M9" s="2">
        <v>8611.7000000000007</v>
      </c>
    </row>
    <row r="10" spans="1:14" x14ac:dyDescent="0.35">
      <c r="A10" t="s">
        <v>15</v>
      </c>
      <c r="B10">
        <v>27</v>
      </c>
      <c r="C10">
        <v>1241</v>
      </c>
      <c r="D10" s="1">
        <v>44939</v>
      </c>
      <c r="E10">
        <v>0.64380000000000004</v>
      </c>
      <c r="F10" s="1">
        <v>41521</v>
      </c>
      <c r="G10" s="2">
        <v>0</v>
      </c>
      <c r="H10">
        <v>0.64380000000000004</v>
      </c>
      <c r="I10" s="2">
        <v>82.89</v>
      </c>
      <c r="J10" s="2">
        <v>0</v>
      </c>
      <c r="K10" s="2">
        <v>0</v>
      </c>
      <c r="L10">
        <v>0.64380000000000004</v>
      </c>
      <c r="M10" s="2">
        <v>82.89</v>
      </c>
    </row>
    <row r="11" spans="1:14" x14ac:dyDescent="0.35">
      <c r="A11" t="s">
        <v>16</v>
      </c>
      <c r="B11">
        <v>37</v>
      </c>
      <c r="C11">
        <v>203</v>
      </c>
      <c r="D11" s="1">
        <v>44496</v>
      </c>
      <c r="E11">
        <v>4.9630000000000001</v>
      </c>
      <c r="F11" s="1">
        <v>41534</v>
      </c>
      <c r="G11" s="2">
        <v>0</v>
      </c>
      <c r="H11">
        <v>4.9630000000000001</v>
      </c>
      <c r="I11" s="2">
        <v>1355.16</v>
      </c>
      <c r="J11" s="2">
        <v>0</v>
      </c>
      <c r="K11" s="2">
        <v>0</v>
      </c>
      <c r="L11">
        <v>4.9630000000000001</v>
      </c>
      <c r="M11" s="2">
        <v>1355.16</v>
      </c>
    </row>
    <row r="12" spans="1:14" x14ac:dyDescent="0.35">
      <c r="A12" t="s">
        <v>17</v>
      </c>
      <c r="B12">
        <v>108</v>
      </c>
      <c r="C12">
        <v>1241</v>
      </c>
      <c r="D12" s="1">
        <v>44939</v>
      </c>
      <c r="E12">
        <v>2.0644</v>
      </c>
      <c r="F12" s="1">
        <v>42387</v>
      </c>
      <c r="G12" s="2">
        <v>0</v>
      </c>
      <c r="H12">
        <v>2.0644</v>
      </c>
      <c r="I12" s="2">
        <v>-20.350000000000001</v>
      </c>
      <c r="J12" s="2">
        <v>0</v>
      </c>
      <c r="K12" s="2">
        <v>0</v>
      </c>
      <c r="L12">
        <v>2.0644</v>
      </c>
      <c r="M12" s="2">
        <v>-20.350000000000001</v>
      </c>
    </row>
    <row r="14" spans="1:14" x14ac:dyDescent="0.35">
      <c r="A14" s="3" t="s">
        <v>0</v>
      </c>
      <c r="B14" s="3" t="s">
        <v>6</v>
      </c>
      <c r="C14" s="3" t="s">
        <v>1</v>
      </c>
      <c r="D14" s="3" t="s">
        <v>2</v>
      </c>
      <c r="E14" s="3" t="s">
        <v>3</v>
      </c>
      <c r="F14" s="3" t="s">
        <v>7</v>
      </c>
      <c r="G14" s="3" t="s">
        <v>5</v>
      </c>
      <c r="H14" s="3" t="s">
        <v>10</v>
      </c>
      <c r="I14" s="3" t="s">
        <v>8</v>
      </c>
      <c r="J14" s="3" t="s">
        <v>11</v>
      </c>
      <c r="K14" s="3" t="s">
        <v>12</v>
      </c>
    </row>
    <row r="15" spans="1:14" x14ac:dyDescent="0.35">
      <c r="A15" s="4" t="s">
        <v>13</v>
      </c>
      <c r="B15" s="4">
        <v>16</v>
      </c>
      <c r="C15" s="4">
        <v>217</v>
      </c>
      <c r="D15" s="5">
        <v>44725</v>
      </c>
      <c r="E15" s="4">
        <v>23.23</v>
      </c>
      <c r="F15" s="5">
        <v>41166</v>
      </c>
      <c r="G15" s="6">
        <v>174.52</v>
      </c>
      <c r="H15" s="4">
        <v>4.2295999999999996</v>
      </c>
      <c r="I15" s="6">
        <v>8238.17</v>
      </c>
      <c r="J15" s="6">
        <v>1499.96</v>
      </c>
      <c r="K15" s="6">
        <v>2007.13</v>
      </c>
    </row>
    <row r="16" spans="1:14" x14ac:dyDescent="0.35">
      <c r="A16" s="4" t="s">
        <v>13</v>
      </c>
      <c r="B16" s="4">
        <v>16</v>
      </c>
      <c r="C16" s="4">
        <v>1235</v>
      </c>
      <c r="D16" s="5">
        <v>44893</v>
      </c>
      <c r="E16" s="4">
        <v>21.81</v>
      </c>
      <c r="F16" s="5">
        <v>41166</v>
      </c>
      <c r="G16" s="6">
        <v>800.69</v>
      </c>
      <c r="H16" s="4">
        <v>21.81</v>
      </c>
      <c r="I16" s="6">
        <v>7452.45</v>
      </c>
      <c r="J16" s="6">
        <v>6669.07</v>
      </c>
      <c r="K16" s="6">
        <v>9261.8700000000008</v>
      </c>
    </row>
    <row r="17" spans="1:11" x14ac:dyDescent="0.35">
      <c r="A17" s="4" t="s">
        <v>13</v>
      </c>
      <c r="B17" s="4">
        <v>16</v>
      </c>
      <c r="C17" s="4">
        <v>1239</v>
      </c>
      <c r="D17" s="5">
        <v>44893</v>
      </c>
      <c r="E17" s="4">
        <v>4.0000000000000002E-4</v>
      </c>
      <c r="F17" s="5">
        <v>41166</v>
      </c>
      <c r="G17" s="6">
        <v>0</v>
      </c>
      <c r="H17" s="4">
        <v>4.0000000000000002E-4</v>
      </c>
      <c r="I17" s="6">
        <v>0.14000000000000001</v>
      </c>
      <c r="J17" s="6">
        <v>0</v>
      </c>
      <c r="K17" s="6">
        <v>0</v>
      </c>
    </row>
    <row r="18" spans="1:11" x14ac:dyDescent="0.35">
      <c r="A18" s="4" t="s">
        <v>13</v>
      </c>
      <c r="B18" s="4">
        <v>16</v>
      </c>
      <c r="C18" s="4">
        <v>1241</v>
      </c>
      <c r="D18" s="5">
        <v>44939</v>
      </c>
      <c r="E18" s="4">
        <v>2.0112999999999999</v>
      </c>
      <c r="F18" s="5">
        <v>41166</v>
      </c>
      <c r="G18" s="6">
        <v>0</v>
      </c>
      <c r="H18" s="4">
        <v>2.0112999999999999</v>
      </c>
      <c r="I18" s="6">
        <v>681.34</v>
      </c>
      <c r="J18" s="6">
        <v>0</v>
      </c>
      <c r="K18" s="6">
        <v>0</v>
      </c>
    </row>
    <row r="19" spans="1:11" x14ac:dyDescent="0.35">
      <c r="A19" s="4" t="s">
        <v>13</v>
      </c>
      <c r="B19" s="4">
        <v>17</v>
      </c>
      <c r="C19" s="4">
        <v>197</v>
      </c>
      <c r="D19" s="5">
        <v>44473</v>
      </c>
      <c r="E19" s="4">
        <v>24.54</v>
      </c>
      <c r="F19" s="5">
        <v>41377</v>
      </c>
      <c r="G19" s="6">
        <v>0</v>
      </c>
      <c r="H19" s="4">
        <v>24.54</v>
      </c>
      <c r="I19" s="6">
        <v>7163.17</v>
      </c>
      <c r="J19" s="6">
        <v>0</v>
      </c>
      <c r="K19" s="6">
        <v>0</v>
      </c>
    </row>
    <row r="20" spans="1:11" x14ac:dyDescent="0.35">
      <c r="A20" s="4" t="s">
        <v>13</v>
      </c>
      <c r="B20" s="4">
        <v>17</v>
      </c>
      <c r="C20" s="4">
        <v>205</v>
      </c>
      <c r="D20" s="5">
        <v>44524</v>
      </c>
      <c r="E20" s="4">
        <v>46.265999999999998</v>
      </c>
      <c r="F20" s="5">
        <v>41377</v>
      </c>
      <c r="G20" s="6">
        <v>0</v>
      </c>
      <c r="H20" s="4">
        <v>46.265999999999998</v>
      </c>
      <c r="I20" s="6">
        <v>14111.52</v>
      </c>
      <c r="J20" s="6">
        <v>0</v>
      </c>
      <c r="K20" s="6">
        <v>0</v>
      </c>
    </row>
    <row r="21" spans="1:11" x14ac:dyDescent="0.35">
      <c r="A21" s="4" t="s">
        <v>13</v>
      </c>
      <c r="B21" s="4">
        <v>17</v>
      </c>
      <c r="C21" s="4">
        <v>1241</v>
      </c>
      <c r="D21" s="5">
        <v>44939</v>
      </c>
      <c r="E21" s="4">
        <v>1.1525000000000001</v>
      </c>
      <c r="F21" s="5">
        <v>41377</v>
      </c>
      <c r="G21" s="6">
        <v>0</v>
      </c>
      <c r="H21" s="4">
        <v>1.1525000000000001</v>
      </c>
      <c r="I21" s="6">
        <v>186.29</v>
      </c>
      <c r="J21" s="6">
        <v>0</v>
      </c>
      <c r="K21" s="6">
        <v>0</v>
      </c>
    </row>
    <row r="22" spans="1:11" x14ac:dyDescent="0.35">
      <c r="A22" s="4" t="s">
        <v>14</v>
      </c>
      <c r="B22" s="4">
        <v>7</v>
      </c>
      <c r="C22" s="4">
        <v>203</v>
      </c>
      <c r="D22" s="5">
        <v>44496</v>
      </c>
      <c r="E22" s="4">
        <v>29.760999999999999</v>
      </c>
      <c r="F22" s="5">
        <v>41492</v>
      </c>
      <c r="G22" s="6">
        <v>0</v>
      </c>
      <c r="H22" s="4">
        <v>29.760999999999999</v>
      </c>
      <c r="I22" s="6">
        <v>8611.7000000000007</v>
      </c>
      <c r="J22" s="6">
        <v>0</v>
      </c>
      <c r="K22" s="6">
        <v>0</v>
      </c>
    </row>
    <row r="23" spans="1:11" x14ac:dyDescent="0.35">
      <c r="A23" s="4" t="s">
        <v>15</v>
      </c>
      <c r="B23" s="4">
        <v>27</v>
      </c>
      <c r="C23" s="4">
        <v>1241</v>
      </c>
      <c r="D23" s="5">
        <v>44939</v>
      </c>
      <c r="E23" s="4">
        <v>0.64380000000000004</v>
      </c>
      <c r="F23" s="5">
        <v>41521</v>
      </c>
      <c r="G23" s="6">
        <v>0</v>
      </c>
      <c r="H23" s="4">
        <v>0.64380000000000004</v>
      </c>
      <c r="I23" s="6">
        <v>82.89</v>
      </c>
      <c r="J23" s="6">
        <v>0</v>
      </c>
      <c r="K23" s="6">
        <v>0</v>
      </c>
    </row>
    <row r="24" spans="1:11" x14ac:dyDescent="0.35">
      <c r="A24" s="4" t="s">
        <v>16</v>
      </c>
      <c r="B24" s="4">
        <v>37</v>
      </c>
      <c r="C24" s="4">
        <v>203</v>
      </c>
      <c r="D24" s="5">
        <v>44496</v>
      </c>
      <c r="E24" s="4">
        <v>4.9630000000000001</v>
      </c>
      <c r="F24" s="5">
        <v>41534</v>
      </c>
      <c r="G24" s="6">
        <v>0</v>
      </c>
      <c r="H24" s="4">
        <v>4.9630000000000001</v>
      </c>
      <c r="I24" s="6">
        <v>1355.16</v>
      </c>
      <c r="J24" s="6">
        <v>0</v>
      </c>
      <c r="K24" s="6">
        <v>0</v>
      </c>
    </row>
    <row r="25" spans="1:11" x14ac:dyDescent="0.35">
      <c r="A25" s="4" t="s">
        <v>17</v>
      </c>
      <c r="B25" s="4">
        <v>108</v>
      </c>
      <c r="C25" s="4">
        <v>1241</v>
      </c>
      <c r="D25" s="5">
        <v>44939</v>
      </c>
      <c r="E25" s="4">
        <v>2.0644</v>
      </c>
      <c r="F25" s="5">
        <v>42387</v>
      </c>
      <c r="G25" s="6">
        <v>0</v>
      </c>
      <c r="H25" s="4">
        <v>2.0644</v>
      </c>
      <c r="I25" s="6">
        <v>-20.350000000000001</v>
      </c>
      <c r="J25" s="6">
        <v>0</v>
      </c>
      <c r="K25" s="6">
        <v>0</v>
      </c>
    </row>
    <row r="26" spans="1:11" ht="15" thickBot="1" x14ac:dyDescent="0.4"/>
    <row r="27" spans="1:11" ht="15" thickBot="1" x14ac:dyDescent="0.4">
      <c r="A27" s="8" t="str">
        <f>IF(A2&lt;&gt;A15,"KO","")</f>
        <v/>
      </c>
      <c r="B27" s="8" t="str">
        <f t="shared" ref="B27:K27" si="0">IF(B2&lt;&gt;B15,"KO","")</f>
        <v/>
      </c>
      <c r="C27" s="8" t="str">
        <f t="shared" si="0"/>
        <v/>
      </c>
      <c r="D27" s="8" t="str">
        <f t="shared" si="0"/>
        <v/>
      </c>
      <c r="E27" s="8" t="str">
        <f t="shared" si="0"/>
        <v/>
      </c>
      <c r="F27" s="8" t="str">
        <f t="shared" si="0"/>
        <v/>
      </c>
      <c r="G27" s="8" t="str">
        <f t="shared" si="0"/>
        <v/>
      </c>
      <c r="H27" s="8" t="str">
        <f t="shared" si="0"/>
        <v/>
      </c>
      <c r="I27" s="8" t="str">
        <f t="shared" si="0"/>
        <v/>
      </c>
      <c r="J27" s="8" t="str">
        <f t="shared" si="0"/>
        <v/>
      </c>
      <c r="K27" s="8" t="str">
        <f t="shared" si="0"/>
        <v/>
      </c>
    </row>
    <row r="28" spans="1:11" ht="15" thickBot="1" x14ac:dyDescent="0.4">
      <c r="A28" s="8" t="str">
        <f t="shared" ref="A28:K28" si="1">IF(A3&lt;&gt;A16,"KO","")</f>
        <v/>
      </c>
      <c r="B28" s="8" t="str">
        <f t="shared" si="1"/>
        <v/>
      </c>
      <c r="C28" s="8" t="str">
        <f t="shared" si="1"/>
        <v/>
      </c>
      <c r="D28" s="8" t="str">
        <f t="shared" si="1"/>
        <v/>
      </c>
      <c r="E28" s="8" t="str">
        <f t="shared" si="1"/>
        <v/>
      </c>
      <c r="F28" s="8" t="str">
        <f t="shared" si="1"/>
        <v/>
      </c>
      <c r="G28" s="8" t="str">
        <f t="shared" si="1"/>
        <v>KO</v>
      </c>
      <c r="H28" s="8" t="str">
        <f t="shared" si="1"/>
        <v/>
      </c>
      <c r="I28" s="8" t="str">
        <f t="shared" si="1"/>
        <v/>
      </c>
      <c r="J28" s="8" t="str">
        <f t="shared" si="1"/>
        <v>KO</v>
      </c>
      <c r="K28" s="8" t="str">
        <f t="shared" si="1"/>
        <v>KO</v>
      </c>
    </row>
    <row r="29" spans="1:11" ht="15" thickBot="1" x14ac:dyDescent="0.4">
      <c r="A29" s="8" t="str">
        <f t="shared" ref="A29:K29" si="2">IF(A4&lt;&gt;A17,"KO","")</f>
        <v/>
      </c>
      <c r="B29" s="8" t="str">
        <f t="shared" si="2"/>
        <v/>
      </c>
      <c r="C29" s="8" t="str">
        <f t="shared" si="2"/>
        <v/>
      </c>
      <c r="D29" s="8" t="str">
        <f t="shared" si="2"/>
        <v/>
      </c>
      <c r="E29" s="8" t="str">
        <f t="shared" si="2"/>
        <v/>
      </c>
      <c r="F29" s="8" t="str">
        <f t="shared" si="2"/>
        <v/>
      </c>
      <c r="G29" s="8" t="str">
        <f t="shared" si="2"/>
        <v/>
      </c>
      <c r="H29" s="8" t="str">
        <f t="shared" si="2"/>
        <v/>
      </c>
      <c r="I29" s="8" t="str">
        <f t="shared" si="2"/>
        <v/>
      </c>
      <c r="J29" s="8" t="str">
        <f t="shared" si="2"/>
        <v/>
      </c>
      <c r="K29" s="8" t="str">
        <f t="shared" si="2"/>
        <v/>
      </c>
    </row>
    <row r="30" spans="1:11" ht="15" thickBot="1" x14ac:dyDescent="0.4">
      <c r="A30" s="8" t="str">
        <f t="shared" ref="A30:K30" si="3">IF(A5&lt;&gt;A18,"KO","")</f>
        <v/>
      </c>
      <c r="B30" s="8" t="str">
        <f t="shared" si="3"/>
        <v/>
      </c>
      <c r="C30" s="8" t="str">
        <f t="shared" si="3"/>
        <v/>
      </c>
      <c r="D30" s="8" t="str">
        <f t="shared" si="3"/>
        <v/>
      </c>
      <c r="E30" s="8" t="str">
        <f t="shared" si="3"/>
        <v/>
      </c>
      <c r="F30" s="8" t="str">
        <f t="shared" si="3"/>
        <v/>
      </c>
      <c r="G30" s="8" t="str">
        <f t="shared" si="3"/>
        <v/>
      </c>
      <c r="H30" s="8" t="str">
        <f t="shared" si="3"/>
        <v/>
      </c>
      <c r="I30" s="8" t="str">
        <f t="shared" si="3"/>
        <v/>
      </c>
      <c r="J30" s="8" t="str">
        <f t="shared" si="3"/>
        <v/>
      </c>
      <c r="K30" s="8" t="str">
        <f t="shared" si="3"/>
        <v/>
      </c>
    </row>
    <row r="31" spans="1:11" ht="15" thickBot="1" x14ac:dyDescent="0.4">
      <c r="A31" s="8" t="str">
        <f t="shared" ref="A31:K31" si="4">IF(A6&lt;&gt;A19,"KO","")</f>
        <v/>
      </c>
      <c r="B31" s="8" t="str">
        <f t="shared" si="4"/>
        <v/>
      </c>
      <c r="C31" s="8" t="str">
        <f t="shared" si="4"/>
        <v/>
      </c>
      <c r="D31" s="8" t="str">
        <f t="shared" si="4"/>
        <v/>
      </c>
      <c r="E31" s="8" t="str">
        <f t="shared" si="4"/>
        <v/>
      </c>
      <c r="F31" s="8" t="str">
        <f t="shared" si="4"/>
        <v/>
      </c>
      <c r="G31" s="8" t="str">
        <f t="shared" si="4"/>
        <v/>
      </c>
      <c r="H31" s="8" t="str">
        <f t="shared" si="4"/>
        <v/>
      </c>
      <c r="I31" s="8" t="str">
        <f t="shared" si="4"/>
        <v/>
      </c>
      <c r="J31" s="8" t="str">
        <f t="shared" si="4"/>
        <v/>
      </c>
      <c r="K31" s="8" t="str">
        <f t="shared" si="4"/>
        <v/>
      </c>
    </row>
    <row r="32" spans="1:11" ht="15" thickBot="1" x14ac:dyDescent="0.4">
      <c r="A32" s="8" t="str">
        <f t="shared" ref="A32:K32" si="5">IF(A7&lt;&gt;A20,"KO","")</f>
        <v/>
      </c>
      <c r="B32" s="8" t="str">
        <f t="shared" si="5"/>
        <v/>
      </c>
      <c r="C32" s="8" t="str">
        <f t="shared" si="5"/>
        <v/>
      </c>
      <c r="D32" s="8" t="str">
        <f t="shared" si="5"/>
        <v/>
      </c>
      <c r="E32" s="8" t="str">
        <f t="shared" si="5"/>
        <v/>
      </c>
      <c r="F32" s="8" t="str">
        <f t="shared" si="5"/>
        <v/>
      </c>
      <c r="G32" s="8" t="str">
        <f t="shared" si="5"/>
        <v/>
      </c>
      <c r="H32" s="8" t="str">
        <f t="shared" si="5"/>
        <v/>
      </c>
      <c r="I32" s="8" t="str">
        <f t="shared" si="5"/>
        <v/>
      </c>
      <c r="J32" s="8" t="str">
        <f t="shared" si="5"/>
        <v/>
      </c>
      <c r="K32" s="8" t="str">
        <f t="shared" si="5"/>
        <v/>
      </c>
    </row>
    <row r="33" spans="1:11" ht="15" thickBot="1" x14ac:dyDescent="0.4">
      <c r="A33" s="8" t="str">
        <f t="shared" ref="A33:K33" si="6">IF(A8&lt;&gt;A21,"KO","")</f>
        <v/>
      </c>
      <c r="B33" s="8" t="str">
        <f t="shared" si="6"/>
        <v/>
      </c>
      <c r="C33" s="8" t="str">
        <f t="shared" si="6"/>
        <v/>
      </c>
      <c r="D33" s="8" t="str">
        <f t="shared" si="6"/>
        <v/>
      </c>
      <c r="E33" s="8" t="str">
        <f t="shared" si="6"/>
        <v/>
      </c>
      <c r="F33" s="8" t="str">
        <f t="shared" si="6"/>
        <v/>
      </c>
      <c r="G33" s="8" t="str">
        <f t="shared" si="6"/>
        <v/>
      </c>
      <c r="H33" s="8" t="str">
        <f t="shared" si="6"/>
        <v/>
      </c>
      <c r="I33" s="8" t="str">
        <f t="shared" si="6"/>
        <v/>
      </c>
      <c r="J33" s="8" t="str">
        <f t="shared" si="6"/>
        <v/>
      </c>
      <c r="K33" s="8" t="str">
        <f t="shared" si="6"/>
        <v/>
      </c>
    </row>
    <row r="34" spans="1:11" ht="15" thickBot="1" x14ac:dyDescent="0.4">
      <c r="A34" s="8" t="str">
        <f t="shared" ref="A34:K34" si="7">IF(A9&lt;&gt;A22,"KO","")</f>
        <v/>
      </c>
      <c r="B34" s="8" t="str">
        <f t="shared" si="7"/>
        <v/>
      </c>
      <c r="C34" s="8" t="str">
        <f t="shared" si="7"/>
        <v/>
      </c>
      <c r="D34" s="8" t="str">
        <f t="shared" si="7"/>
        <v/>
      </c>
      <c r="E34" s="8" t="str">
        <f t="shared" si="7"/>
        <v/>
      </c>
      <c r="F34" s="8" t="str">
        <f t="shared" si="7"/>
        <v/>
      </c>
      <c r="G34" s="8" t="str">
        <f t="shared" si="7"/>
        <v/>
      </c>
      <c r="H34" s="8" t="str">
        <f t="shared" si="7"/>
        <v/>
      </c>
      <c r="I34" s="8" t="str">
        <f t="shared" si="7"/>
        <v/>
      </c>
      <c r="J34" s="8" t="str">
        <f t="shared" si="7"/>
        <v/>
      </c>
      <c r="K34" s="8" t="str">
        <f t="shared" si="7"/>
        <v/>
      </c>
    </row>
    <row r="35" spans="1:11" ht="15" thickBot="1" x14ac:dyDescent="0.4">
      <c r="A35" s="8" t="str">
        <f t="shared" ref="A35:K35" si="8">IF(A10&lt;&gt;A23,"KO","")</f>
        <v/>
      </c>
      <c r="B35" s="8" t="str">
        <f t="shared" si="8"/>
        <v/>
      </c>
      <c r="C35" s="8" t="str">
        <f t="shared" si="8"/>
        <v/>
      </c>
      <c r="D35" s="8" t="str">
        <f t="shared" si="8"/>
        <v/>
      </c>
      <c r="E35" s="8" t="str">
        <f t="shared" si="8"/>
        <v/>
      </c>
      <c r="F35" s="8" t="str">
        <f t="shared" si="8"/>
        <v/>
      </c>
      <c r="G35" s="8" t="str">
        <f t="shared" si="8"/>
        <v/>
      </c>
      <c r="H35" s="8" t="str">
        <f t="shared" si="8"/>
        <v/>
      </c>
      <c r="I35" s="8" t="str">
        <f t="shared" si="8"/>
        <v/>
      </c>
      <c r="J35" s="8" t="str">
        <f t="shared" si="8"/>
        <v/>
      </c>
      <c r="K35" s="8" t="str">
        <f t="shared" si="8"/>
        <v/>
      </c>
    </row>
    <row r="36" spans="1:11" ht="15" thickBot="1" x14ac:dyDescent="0.4">
      <c r="A36" s="8" t="str">
        <f t="shared" ref="A36:K36" si="9">IF(A11&lt;&gt;A24,"KO","")</f>
        <v/>
      </c>
      <c r="B36" s="8" t="str">
        <f t="shared" si="9"/>
        <v/>
      </c>
      <c r="C36" s="8" t="str">
        <f t="shared" si="9"/>
        <v/>
      </c>
      <c r="D36" s="8" t="str">
        <f t="shared" si="9"/>
        <v/>
      </c>
      <c r="E36" s="8" t="str">
        <f t="shared" si="9"/>
        <v/>
      </c>
      <c r="F36" s="8" t="str">
        <f t="shared" si="9"/>
        <v/>
      </c>
      <c r="G36" s="8" t="str">
        <f t="shared" si="9"/>
        <v/>
      </c>
      <c r="H36" s="8" t="str">
        <f t="shared" si="9"/>
        <v/>
      </c>
      <c r="I36" s="8" t="str">
        <f t="shared" si="9"/>
        <v/>
      </c>
      <c r="J36" s="8" t="str">
        <f t="shared" si="9"/>
        <v/>
      </c>
      <c r="K36" s="8" t="str">
        <f t="shared" si="9"/>
        <v/>
      </c>
    </row>
    <row r="37" spans="1:11" ht="15" thickBot="1" x14ac:dyDescent="0.4">
      <c r="A37" s="8" t="str">
        <f t="shared" ref="A37:K37" si="10">IF(A12&lt;&gt;A25,"KO","")</f>
        <v/>
      </c>
      <c r="B37" s="8" t="str">
        <f t="shared" si="10"/>
        <v/>
      </c>
      <c r="C37" s="8" t="str">
        <f t="shared" si="10"/>
        <v/>
      </c>
      <c r="D37" s="8" t="str">
        <f t="shared" si="10"/>
        <v/>
      </c>
      <c r="E37" s="8" t="str">
        <f t="shared" si="10"/>
        <v/>
      </c>
      <c r="F37" s="8" t="str">
        <f t="shared" si="10"/>
        <v/>
      </c>
      <c r="G37" s="8" t="str">
        <f t="shared" si="10"/>
        <v/>
      </c>
      <c r="H37" s="8" t="str">
        <f t="shared" si="10"/>
        <v/>
      </c>
      <c r="I37" s="8" t="str">
        <f t="shared" si="10"/>
        <v/>
      </c>
      <c r="J37" s="8" t="str">
        <f t="shared" si="10"/>
        <v/>
      </c>
      <c r="K37" s="8" t="str">
        <f t="shared" si="10"/>
        <v/>
      </c>
    </row>
    <row r="38" spans="1:11" x14ac:dyDescent="0.35">
      <c r="A38" s="8" t="str">
        <f t="shared" ref="A38:K38" si="11">IF(A13&lt;&gt;A26,"KO","")</f>
        <v/>
      </c>
      <c r="B38" s="8" t="str">
        <f t="shared" si="11"/>
        <v/>
      </c>
      <c r="C38" s="8" t="str">
        <f t="shared" si="11"/>
        <v/>
      </c>
      <c r="D38" s="8" t="str">
        <f t="shared" si="11"/>
        <v/>
      </c>
      <c r="E38" s="8" t="str">
        <f t="shared" si="11"/>
        <v/>
      </c>
      <c r="F38" s="8" t="str">
        <f t="shared" si="11"/>
        <v/>
      </c>
      <c r="G38" s="8" t="str">
        <f t="shared" si="11"/>
        <v/>
      </c>
      <c r="H38" s="8" t="str">
        <f t="shared" si="11"/>
        <v/>
      </c>
      <c r="I38" s="8" t="str">
        <f t="shared" si="11"/>
        <v/>
      </c>
      <c r="J38" s="8" t="str">
        <f t="shared" si="11"/>
        <v/>
      </c>
      <c r="K38" s="8" t="str">
        <f t="shared" si="11"/>
        <v/>
      </c>
    </row>
  </sheetData>
  <conditionalFormatting sqref="A27:K38 A39:A41">
    <cfRule type="cellIs" dxfId="0" priority="1" operator="equal">
      <formula>"KO"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9D19-2A9A-43FE-BA45-56EBB9C868C1}">
  <dimension ref="A1:P20"/>
  <sheetViews>
    <sheetView tabSelected="1" zoomScale="145" zoomScaleNormal="145" workbookViewId="0">
      <selection activeCell="A14" sqref="A14"/>
    </sheetView>
  </sheetViews>
  <sheetFormatPr defaultRowHeight="14.5" x14ac:dyDescent="0.35"/>
  <cols>
    <col min="1" max="1" width="23.90625" customWidth="1"/>
    <col min="2" max="2" width="4.90625" bestFit="1" customWidth="1"/>
    <col min="3" max="3" width="11.1796875" customWidth="1"/>
    <col min="4" max="4" width="6.81640625" bestFit="1" customWidth="1"/>
    <col min="5" max="5" width="7.1796875" bestFit="1" customWidth="1"/>
    <col min="6" max="6" width="9.54296875" customWidth="1"/>
    <col min="7" max="7" width="2" customWidth="1"/>
    <col min="8" max="8" width="4.81640625" customWidth="1"/>
    <col min="9" max="9" width="9.54296875" customWidth="1"/>
    <col min="10" max="10" width="10.81640625" bestFit="1" customWidth="1"/>
    <col min="11" max="11" width="12.36328125" bestFit="1" customWidth="1"/>
    <col min="12" max="12" width="2" customWidth="1"/>
    <col min="13" max="13" width="6.26953125" customWidth="1"/>
    <col min="14" max="14" width="8" customWidth="1"/>
    <col min="15" max="15" width="2" customWidth="1"/>
    <col min="16" max="16" width="9" bestFit="1" customWidth="1"/>
  </cols>
  <sheetData>
    <row r="1" spans="1:16" ht="43.5" x14ac:dyDescent="0.35">
      <c r="A1" s="1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/>
      <c r="H1" s="9" t="s">
        <v>6</v>
      </c>
      <c r="I1" s="9" t="s">
        <v>7</v>
      </c>
      <c r="J1" s="9" t="s">
        <v>8</v>
      </c>
      <c r="K1" s="9" t="s">
        <v>9</v>
      </c>
      <c r="L1" s="9"/>
      <c r="M1" s="9" t="s">
        <v>10</v>
      </c>
      <c r="N1" s="9" t="s">
        <v>11</v>
      </c>
      <c r="O1" s="9"/>
      <c r="P1" s="9" t="s">
        <v>12</v>
      </c>
    </row>
    <row r="2" spans="1:16" x14ac:dyDescent="0.35">
      <c r="A2" t="s">
        <v>13</v>
      </c>
      <c r="B2">
        <v>217</v>
      </c>
      <c r="C2" s="1">
        <v>44725</v>
      </c>
      <c r="D2">
        <v>23.23</v>
      </c>
      <c r="E2">
        <v>4.2295999999999996</v>
      </c>
      <c r="F2" s="2">
        <v>958.5</v>
      </c>
      <c r="H2">
        <v>16</v>
      </c>
      <c r="I2" s="1">
        <v>41166</v>
      </c>
      <c r="J2" s="2">
        <v>8238.17</v>
      </c>
      <c r="K2" s="2">
        <v>1499.96</v>
      </c>
      <c r="M2">
        <v>0</v>
      </c>
      <c r="N2" s="2">
        <v>0</v>
      </c>
      <c r="P2" s="2">
        <v>0</v>
      </c>
    </row>
    <row r="3" spans="1:16" x14ac:dyDescent="0.35">
      <c r="A3" t="s">
        <v>13</v>
      </c>
      <c r="B3">
        <v>1235</v>
      </c>
      <c r="C3" s="1">
        <v>44893</v>
      </c>
      <c r="D3">
        <v>21.81</v>
      </c>
      <c r="E3">
        <v>21.81</v>
      </c>
      <c r="F3" s="2">
        <v>894.74</v>
      </c>
      <c r="H3">
        <v>16</v>
      </c>
      <c r="I3" s="1">
        <v>41166</v>
      </c>
      <c r="J3" s="2">
        <v>7452.45</v>
      </c>
      <c r="K3" s="2">
        <v>7452.45</v>
      </c>
      <c r="M3">
        <v>0</v>
      </c>
      <c r="N3" s="2">
        <v>0</v>
      </c>
      <c r="P3" s="2">
        <v>0</v>
      </c>
    </row>
    <row r="4" spans="1:16" x14ac:dyDescent="0.35">
      <c r="A4" t="s">
        <v>13</v>
      </c>
      <c r="B4">
        <v>1239</v>
      </c>
      <c r="C4" s="1">
        <v>44893</v>
      </c>
      <c r="D4">
        <v>4.0000000000000002E-4</v>
      </c>
      <c r="E4">
        <v>4.0000000000000002E-4</v>
      </c>
      <c r="F4" s="2">
        <v>0.02</v>
      </c>
      <c r="H4">
        <v>16</v>
      </c>
      <c r="I4" s="1">
        <v>41166</v>
      </c>
      <c r="J4" s="2">
        <v>0.14000000000000001</v>
      </c>
      <c r="K4" s="2">
        <v>0.14000000000000001</v>
      </c>
      <c r="M4">
        <v>0</v>
      </c>
      <c r="N4" s="2">
        <v>0</v>
      </c>
      <c r="P4" s="2">
        <v>0</v>
      </c>
    </row>
    <row r="5" spans="1:16" x14ac:dyDescent="0.35">
      <c r="A5" t="s">
        <v>13</v>
      </c>
      <c r="B5">
        <v>1241</v>
      </c>
      <c r="C5" s="1">
        <v>44939</v>
      </c>
      <c r="D5">
        <v>2.0112999999999999</v>
      </c>
      <c r="E5">
        <v>2.0112999999999999</v>
      </c>
      <c r="F5" s="2">
        <v>80.64</v>
      </c>
      <c r="H5">
        <v>16</v>
      </c>
      <c r="I5" s="1">
        <v>41166</v>
      </c>
      <c r="J5" s="2">
        <v>681.34</v>
      </c>
      <c r="K5" s="2">
        <v>681.34</v>
      </c>
      <c r="M5">
        <v>0</v>
      </c>
      <c r="N5" s="2">
        <v>0</v>
      </c>
      <c r="P5" s="2">
        <v>0</v>
      </c>
    </row>
    <row r="6" spans="1:16" x14ac:dyDescent="0.35">
      <c r="A6" t="s">
        <v>13</v>
      </c>
      <c r="B6">
        <v>197</v>
      </c>
      <c r="C6" s="1">
        <v>44473</v>
      </c>
      <c r="D6">
        <v>24.54</v>
      </c>
      <c r="E6">
        <v>24.54</v>
      </c>
      <c r="F6" s="2">
        <v>967.91</v>
      </c>
      <c r="H6">
        <v>17</v>
      </c>
      <c r="I6" s="1">
        <v>41377</v>
      </c>
      <c r="J6" s="2">
        <v>7163.17</v>
      </c>
      <c r="K6" s="2">
        <v>7163.17</v>
      </c>
      <c r="M6">
        <v>0</v>
      </c>
      <c r="N6" s="2">
        <v>0</v>
      </c>
      <c r="P6" s="2">
        <v>0</v>
      </c>
    </row>
    <row r="7" spans="1:16" x14ac:dyDescent="0.35">
      <c r="A7" t="s">
        <v>13</v>
      </c>
      <c r="B7">
        <v>205</v>
      </c>
      <c r="C7" s="1">
        <v>44524</v>
      </c>
      <c r="D7">
        <v>46.265999999999998</v>
      </c>
      <c r="E7">
        <v>46.265999999999998</v>
      </c>
      <c r="F7" s="2">
        <v>1840.76</v>
      </c>
      <c r="H7">
        <v>17</v>
      </c>
      <c r="I7" s="1">
        <v>41377</v>
      </c>
      <c r="J7" s="2">
        <v>14111.52</v>
      </c>
      <c r="K7" s="2">
        <v>14111.52</v>
      </c>
      <c r="M7">
        <v>0</v>
      </c>
      <c r="N7" s="2">
        <v>0</v>
      </c>
      <c r="P7" s="2">
        <v>0</v>
      </c>
    </row>
    <row r="8" spans="1:16" x14ac:dyDescent="0.35">
      <c r="A8" t="s">
        <v>13</v>
      </c>
      <c r="B8">
        <v>1241</v>
      </c>
      <c r="C8" s="1">
        <v>44939</v>
      </c>
      <c r="D8">
        <v>1.1525000000000001</v>
      </c>
      <c r="E8">
        <v>1.1525000000000001</v>
      </c>
      <c r="F8" s="2">
        <v>46.21</v>
      </c>
      <c r="H8">
        <v>17</v>
      </c>
      <c r="I8" s="1">
        <v>41377</v>
      </c>
      <c r="J8" s="2">
        <v>186.29</v>
      </c>
      <c r="K8" s="2">
        <v>186.29</v>
      </c>
      <c r="M8">
        <v>0</v>
      </c>
      <c r="N8" s="2">
        <v>0</v>
      </c>
      <c r="P8" s="2">
        <v>0</v>
      </c>
    </row>
    <row r="9" spans="1:16" x14ac:dyDescent="0.35">
      <c r="A9" t="s">
        <v>14</v>
      </c>
      <c r="B9">
        <v>203</v>
      </c>
      <c r="C9" s="1">
        <v>44496</v>
      </c>
      <c r="D9">
        <v>29.760999999999999</v>
      </c>
      <c r="E9">
        <v>29.760999999999999</v>
      </c>
      <c r="F9" s="2">
        <v>1178.46</v>
      </c>
      <c r="H9">
        <v>7</v>
      </c>
      <c r="I9" s="1">
        <v>41492</v>
      </c>
      <c r="J9" s="2">
        <v>8611.7000000000007</v>
      </c>
      <c r="K9" s="2">
        <v>8611.7000000000007</v>
      </c>
      <c r="M9">
        <v>0</v>
      </c>
      <c r="N9" s="2">
        <v>0</v>
      </c>
      <c r="P9" s="2">
        <v>0</v>
      </c>
    </row>
    <row r="10" spans="1:16" x14ac:dyDescent="0.35">
      <c r="A10" t="s">
        <v>15</v>
      </c>
      <c r="B10">
        <v>1241</v>
      </c>
      <c r="C10" s="1">
        <v>44939</v>
      </c>
      <c r="D10">
        <v>0.64380000000000004</v>
      </c>
      <c r="E10">
        <v>0.64380000000000004</v>
      </c>
      <c r="F10" s="2">
        <v>25.81</v>
      </c>
      <c r="H10">
        <v>27</v>
      </c>
      <c r="I10" s="1">
        <v>41521</v>
      </c>
      <c r="J10" s="2">
        <v>82.89</v>
      </c>
      <c r="K10" s="2">
        <v>82.89</v>
      </c>
      <c r="M10">
        <v>0</v>
      </c>
      <c r="N10" s="2">
        <v>0</v>
      </c>
      <c r="P10" s="2">
        <v>0</v>
      </c>
    </row>
    <row r="11" spans="1:16" x14ac:dyDescent="0.35">
      <c r="A11" t="s">
        <v>16</v>
      </c>
      <c r="B11">
        <v>203</v>
      </c>
      <c r="C11" s="1">
        <v>44496</v>
      </c>
      <c r="D11">
        <v>4.9630000000000001</v>
      </c>
      <c r="E11">
        <v>4.9630000000000001</v>
      </c>
      <c r="F11" s="2">
        <v>196.52</v>
      </c>
      <c r="H11">
        <v>37</v>
      </c>
      <c r="I11" s="1">
        <v>41534</v>
      </c>
      <c r="J11" s="2">
        <v>1355.16</v>
      </c>
      <c r="K11" s="2">
        <v>1355.16</v>
      </c>
      <c r="M11">
        <v>0</v>
      </c>
      <c r="N11" s="2">
        <v>0</v>
      </c>
      <c r="P11" s="2">
        <v>0</v>
      </c>
    </row>
    <row r="12" spans="1:16" x14ac:dyDescent="0.35">
      <c r="A12" t="s">
        <v>17</v>
      </c>
      <c r="B12">
        <v>1241</v>
      </c>
      <c r="C12" s="1">
        <v>44939</v>
      </c>
      <c r="D12">
        <v>2.0644</v>
      </c>
      <c r="E12">
        <v>2.0644</v>
      </c>
      <c r="F12" s="2">
        <v>82.77</v>
      </c>
      <c r="H12">
        <v>108</v>
      </c>
      <c r="I12" s="1">
        <v>42387</v>
      </c>
      <c r="J12" s="2">
        <v>-20.350000000000001</v>
      </c>
      <c r="K12" s="2">
        <v>-20.350000000000001</v>
      </c>
      <c r="M12">
        <v>0</v>
      </c>
      <c r="N12" s="2">
        <v>0</v>
      </c>
      <c r="P12" s="2">
        <v>0</v>
      </c>
    </row>
    <row r="15" spans="1:16" x14ac:dyDescent="0.35">
      <c r="C15" s="11"/>
      <c r="K15" s="2"/>
    </row>
    <row r="16" spans="1:16" x14ac:dyDescent="0.35">
      <c r="K16" s="2"/>
    </row>
    <row r="20" spans="11:11" x14ac:dyDescent="0.35">
      <c r="K20" s="2">
        <f>C15-SUM(K15:K19)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p</dc:creator>
  <cp:lastModifiedBy>Joan p</cp:lastModifiedBy>
  <dcterms:created xsi:type="dcterms:W3CDTF">2026-01-17T19:47:13Z</dcterms:created>
  <dcterms:modified xsi:type="dcterms:W3CDTF">2026-01-21T10:01:41Z</dcterms:modified>
</cp:coreProperties>
</file>