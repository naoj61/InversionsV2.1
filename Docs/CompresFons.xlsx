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itoris\C#\Meus\InversionsV2\Docs\"/>
    </mc:Choice>
  </mc:AlternateContent>
  <xr:revisionPtr revIDLastSave="0" documentId="13_ncr:1_{C99E1E66-25FD-4B53-BACB-8E7FE1A21054}" xr6:coauthVersionLast="47" xr6:coauthVersionMax="47" xr10:uidLastSave="{00000000-0000-0000-0000-000000000000}"/>
  <bookViews>
    <workbookView xWindow="-110" yWindow="-110" windowWidth="19420" windowHeight="10420" xr2:uid="{CE784C98-76DF-421E-B573-A43035C4A1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6" i="1" l="1"/>
  <c r="M44" i="1"/>
  <c r="M43" i="1"/>
  <c r="M42" i="1"/>
  <c r="M40" i="1"/>
  <c r="M34" i="1"/>
  <c r="M27" i="1"/>
  <c r="M36" i="1"/>
  <c r="M29" i="1"/>
  <c r="M26" i="1"/>
  <c r="M23" i="1"/>
  <c r="M18" i="1"/>
  <c r="K91" i="1"/>
  <c r="L91" i="1" s="1"/>
  <c r="K92" i="1"/>
  <c r="L92" i="1"/>
  <c r="K85" i="1"/>
  <c r="L85" i="1" s="1"/>
  <c r="K86" i="1"/>
  <c r="L86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3" i="1"/>
  <c r="L83" i="1" s="1"/>
  <c r="K84" i="1"/>
  <c r="L84" i="1" s="1"/>
  <c r="K87" i="1"/>
  <c r="L87" i="1" s="1"/>
  <c r="K88" i="1"/>
  <c r="L88" i="1" s="1"/>
  <c r="K89" i="1"/>
  <c r="L89" i="1"/>
  <c r="K90" i="1"/>
  <c r="L90" i="1" s="1"/>
  <c r="K74" i="1"/>
  <c r="L74" i="1" s="1"/>
  <c r="K72" i="1"/>
  <c r="L72" i="1" s="1"/>
  <c r="K71" i="1"/>
  <c r="L71" i="1" s="1"/>
  <c r="K69" i="1"/>
  <c r="L69" i="1" s="1"/>
  <c r="K70" i="1"/>
  <c r="L70" i="1" s="1"/>
  <c r="L54" i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3" i="1"/>
  <c r="L63" i="1" s="1"/>
  <c r="K64" i="1"/>
  <c r="L64" i="1" s="1"/>
  <c r="K65" i="1"/>
  <c r="L65" i="1" s="1"/>
  <c r="K66" i="1"/>
  <c r="L66" i="1" s="1"/>
  <c r="K67" i="1"/>
  <c r="L67" i="1" s="1"/>
  <c r="K68" i="1"/>
  <c r="L68" i="1" s="1"/>
  <c r="K53" i="1"/>
  <c r="L53" i="1" s="1"/>
  <c r="L7" i="1"/>
  <c r="K48" i="1"/>
  <c r="L48" i="1" s="1"/>
  <c r="N48" i="1"/>
  <c r="K47" i="1"/>
  <c r="L47" i="1" s="1"/>
  <c r="N47" i="1"/>
  <c r="K46" i="1"/>
  <c r="L46" i="1" s="1"/>
  <c r="N46" i="1"/>
  <c r="K45" i="1"/>
  <c r="L45" i="1" s="1"/>
  <c r="N45" i="1"/>
  <c r="K44" i="1"/>
  <c r="L44" i="1" s="1"/>
  <c r="N44" i="1"/>
  <c r="K43" i="1"/>
  <c r="L43" i="1" s="1"/>
  <c r="N43" i="1"/>
  <c r="K41" i="1"/>
  <c r="L41" i="1" s="1"/>
  <c r="N41" i="1"/>
  <c r="K42" i="1"/>
  <c r="L42" i="1" s="1"/>
  <c r="N42" i="1"/>
  <c r="K28" i="1"/>
  <c r="L28" i="1" s="1"/>
  <c r="N28" i="1"/>
  <c r="K29" i="1"/>
  <c r="L29" i="1" s="1"/>
  <c r="N29" i="1"/>
  <c r="K30" i="1"/>
  <c r="L30" i="1" s="1"/>
  <c r="N30" i="1"/>
  <c r="K31" i="1"/>
  <c r="L31" i="1" s="1"/>
  <c r="N31" i="1"/>
  <c r="K32" i="1"/>
  <c r="L32" i="1" s="1"/>
  <c r="N32" i="1"/>
  <c r="K33" i="1"/>
  <c r="L33" i="1" s="1"/>
  <c r="N33" i="1"/>
  <c r="K34" i="1"/>
  <c r="L34" i="1" s="1"/>
  <c r="N34" i="1"/>
  <c r="K35" i="1"/>
  <c r="L35" i="1" s="1"/>
  <c r="N35" i="1"/>
  <c r="K36" i="1"/>
  <c r="L36" i="1" s="1"/>
  <c r="N36" i="1"/>
  <c r="K37" i="1"/>
  <c r="L37" i="1" s="1"/>
  <c r="N37" i="1"/>
  <c r="K38" i="1"/>
  <c r="L38" i="1" s="1"/>
  <c r="N38" i="1"/>
  <c r="K39" i="1"/>
  <c r="L39" i="1" s="1"/>
  <c r="N39" i="1"/>
  <c r="K40" i="1"/>
  <c r="L40" i="1" s="1"/>
  <c r="N40" i="1"/>
  <c r="K24" i="1"/>
  <c r="L24" i="1" s="1"/>
  <c r="N24" i="1"/>
  <c r="K25" i="1"/>
  <c r="L25" i="1" s="1"/>
  <c r="N25" i="1"/>
  <c r="K26" i="1"/>
  <c r="L26" i="1" s="1"/>
  <c r="N26" i="1"/>
  <c r="K27" i="1"/>
  <c r="L27" i="1" s="1"/>
  <c r="N27" i="1"/>
  <c r="K21" i="1"/>
  <c r="L21" i="1" s="1"/>
  <c r="N21" i="1"/>
  <c r="K22" i="1"/>
  <c r="L22" i="1" s="1"/>
  <c r="N22" i="1"/>
  <c r="K23" i="1"/>
  <c r="L23" i="1" s="1"/>
  <c r="N23" i="1"/>
  <c r="K20" i="1"/>
  <c r="L20" i="1" s="1"/>
  <c r="N20" i="1"/>
  <c r="K12" i="1"/>
  <c r="L12" i="1" s="1"/>
  <c r="K4" i="1"/>
  <c r="L4" i="1" s="1"/>
  <c r="N4" i="1"/>
  <c r="K5" i="1"/>
  <c r="L5" i="1" s="1"/>
  <c r="N5" i="1"/>
  <c r="K6" i="1"/>
  <c r="L6" i="1" s="1"/>
  <c r="N6" i="1"/>
  <c r="K8" i="1"/>
  <c r="L8" i="1" s="1"/>
  <c r="N8" i="1"/>
  <c r="K9" i="1"/>
  <c r="L9" i="1" s="1"/>
  <c r="N9" i="1"/>
  <c r="K10" i="1"/>
  <c r="L10" i="1" s="1"/>
  <c r="N10" i="1"/>
  <c r="K11" i="1"/>
  <c r="L11" i="1" s="1"/>
  <c r="N11" i="1"/>
  <c r="K13" i="1"/>
  <c r="L13" i="1" s="1"/>
  <c r="N13" i="1"/>
  <c r="K14" i="1"/>
  <c r="L14" i="1" s="1"/>
  <c r="N14" i="1"/>
  <c r="K15" i="1"/>
  <c r="L15" i="1" s="1"/>
  <c r="N15" i="1"/>
  <c r="K16" i="1"/>
  <c r="L16" i="1" s="1"/>
  <c r="N16" i="1"/>
  <c r="K17" i="1"/>
  <c r="L17" i="1" s="1"/>
  <c r="N17" i="1"/>
  <c r="K18" i="1"/>
  <c r="L18" i="1" s="1"/>
  <c r="N18" i="1"/>
  <c r="K19" i="1"/>
  <c r="L19" i="1" s="1"/>
  <c r="N19" i="1"/>
  <c r="N3" i="1"/>
  <c r="K3" i="1"/>
  <c r="L3" i="1" s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6" i="1"/>
  <c r="I85" i="1"/>
  <c r="I87" i="1"/>
  <c r="I88" i="1"/>
  <c r="I89" i="1"/>
  <c r="I90" i="1"/>
  <c r="I92" i="1"/>
  <c r="I91" i="1"/>
  <c r="I52" i="1"/>
</calcChain>
</file>

<file path=xl/sharedStrings.xml><?xml version="1.0" encoding="utf-8"?>
<sst xmlns="http://schemas.openxmlformats.org/spreadsheetml/2006/main" count="396" uniqueCount="78">
  <si>
    <t>Bolsa Tecnología y Telecomunicaciones FI</t>
  </si>
  <si>
    <t>Total Return N Acc €-H1</t>
  </si>
  <si>
    <t>American Extended Alpha R USD Acc</t>
  </si>
  <si>
    <t>Asian Smaller Companies Fund</t>
  </si>
  <si>
    <t>Patrimoine A EUR Acc</t>
  </si>
  <si>
    <t>Indonesia Fund A-USD</t>
  </si>
  <si>
    <t>DWS Deutschland LC</t>
  </si>
  <si>
    <t>Biotechnology C USD Acc</t>
  </si>
  <si>
    <t>Optimal Income A-H Grs Acc Hdg EUR</t>
  </si>
  <si>
    <t>European Growth N Acc ?</t>
  </si>
  <si>
    <t>Thailand A-USD</t>
  </si>
  <si>
    <t>Templeton Emerging Mkts Sm Cos N Acc $</t>
  </si>
  <si>
    <t>DWS Aktien Strategie Deutschland</t>
  </si>
  <si>
    <t>Trea Renta Fija Ahorro S FI</t>
  </si>
  <si>
    <t>Global Technology Fund A-acc-eur</t>
  </si>
  <si>
    <t>Euro Fund A-2 Acc</t>
  </si>
  <si>
    <t>CS Corto Plazo B FI</t>
  </si>
  <si>
    <t>BGF World Energy E2</t>
  </si>
  <si>
    <t>CS (Lux) Commodity Idx Plus USD B</t>
  </si>
  <si>
    <t>Threadneedle (Lux) Enhanced</t>
  </si>
  <si>
    <t>Abrdn US Dollar Fund A-2</t>
  </si>
  <si>
    <t>Carmignac Court Terme A Eur Acc</t>
  </si>
  <si>
    <t>World Gold Fund E2</t>
  </si>
  <si>
    <t>Pictet-short-term Money Market Chf R</t>
  </si>
  <si>
    <t>UsuariId</t>
  </si>
  <si>
    <t>ProdId</t>
  </si>
  <si>
    <t>Fons</t>
  </si>
  <si>
    <t>IdMov</t>
  </si>
  <si>
    <t>Data</t>
  </si>
  <si>
    <t>TipusMov</t>
  </si>
  <si>
    <t>Parts</t>
  </si>
  <si>
    <t>PreuPart</t>
  </si>
  <si>
    <t>PreuPartReal</t>
  </si>
  <si>
    <t>Import</t>
  </si>
  <si>
    <t>Fecha</t>
  </si>
  <si>
    <t>Movimiento</t>
  </si>
  <si>
    <t>Valor</t>
  </si>
  <si>
    <t>Cantidad</t>
  </si>
  <si>
    <t>Precio Ejecución</t>
  </si>
  <si>
    <t>Importe Bruto</t>
  </si>
  <si>
    <t>Importe total</t>
  </si>
  <si>
    <t>Plusvalía/Minusvalía</t>
  </si>
  <si>
    <t>Suscripción fondo</t>
  </si>
  <si>
    <t>Templeton Global Ttl Ret N(acc)EUR-H1</t>
  </si>
  <si>
    <t>Threadneedle Amer Extnd Alpha Rtl AccUSD</t>
  </si>
  <si>
    <t>Traspaso de efectivo de entrada</t>
  </si>
  <si>
    <t>abrdnI-Asian Smaller Companies A Acc USD</t>
  </si>
  <si>
    <t>Compra</t>
  </si>
  <si>
    <t>Traspaso de efectivo de salida</t>
  </si>
  <si>
    <t>Entrada títulos por split</t>
  </si>
  <si>
    <t>Anulación Entrada títulos por split</t>
  </si>
  <si>
    <t>Anulación Salida títulos por split</t>
  </si>
  <si>
    <t>Salida títulos por split</t>
  </si>
  <si>
    <t>Suscripción traspaso de fondo</t>
  </si>
  <si>
    <t>Reembolso traspaso fondo</t>
  </si>
  <si>
    <t>Fidelity Indonesia A-Dis-USD</t>
  </si>
  <si>
    <t>Reembolso fondo</t>
  </si>
  <si>
    <t>Venta</t>
  </si>
  <si>
    <t>Candriam Eqs L Biotech C USD Cap</t>
  </si>
  <si>
    <t>M G Optimal Income Euro A-H Acc</t>
  </si>
  <si>
    <t>Templeton European Opps N(acc)EUR</t>
  </si>
  <si>
    <t>Fidelity Thailand A-Dis-USD</t>
  </si>
  <si>
    <t>Dividendo</t>
  </si>
  <si>
    <t>Compensacion error</t>
  </si>
  <si>
    <t>Templeton Em Mkts Smlr Coms N(acc)USD</t>
  </si>
  <si>
    <t>Anulación Dividendo</t>
  </si>
  <si>
    <t>Anulación Suscripción fondo</t>
  </si>
  <si>
    <t>Regularización de cuenta</t>
  </si>
  <si>
    <t>DWS Aktien Strategie Deutschland LC</t>
  </si>
  <si>
    <t>Fidelity Global Technology A-ACC-EUR</t>
  </si>
  <si>
    <t>abrdn Euro Fund A-2</t>
  </si>
  <si>
    <t>Ajustes canjes / evento corporativo</t>
  </si>
  <si>
    <t>Threadneedle (Lux) Enhanced Cmdts DU</t>
  </si>
  <si>
    <t>abrdn US Dollar Fund A-2</t>
  </si>
  <si>
    <t>Carmignac Court Terme A EUR Acc</t>
  </si>
  <si>
    <t>BGF World Gold E2</t>
  </si>
  <si>
    <t>Pictet-Short-Term Money Market CHF R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</si>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</sst>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\ &quot;€&quot;"/>
    <numFmt numFmtId="165" formatCode="#,##0.0000"/>
    <numFmt numFmtId="166" formatCode="#,##0.00\ &quot;€&quot;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5" fontId="1" fillId="0" borderId="0" xfId="0" applyNumberFormat="1" applyFont="1" applyAlignment="1">
      <alignment horizontal="center"/>
    </xf>
    <xf numFmtId="165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66" fontId="0" fillId="0" borderId="0" xfId="0" applyNumberFormat="1"/>
    <xf numFmtId="0" fontId="1" fillId="0" borderId="0" xfId="0" applyFont="1"/>
    <xf numFmtId="166" fontId="1" fillId="0" borderId="0" xfId="0" applyNumberFormat="1" applyFont="1"/>
    <xf numFmtId="166" fontId="0" fillId="2" borderId="0" xfId="0" applyNumberFormat="1" applyFill="1"/>
    <xf numFmtId="164" fontId="0" fillId="2" borderId="0" xfId="0" applyNumberFormat="1" applyFill="1"/>
    <xf numFmtId="166" fontId="0" fillId="3" borderId="0" xfId="0" applyNumberFormat="1" applyFill="1"/>
    <xf numFmtId="166" fontId="0" fillId="4" borderId="0" xfId="0" applyNumberFormat="1" applyFill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29D7-DE55-4F24-990F-C420FEBBF2D2}">
  <dimension ref="A1:P93"/>
  <sheetViews>
    <sheetView tabSelected="1" topLeftCell="E1" workbookViewId="0">
      <pane ySplit="1" topLeftCell="A47" activePane="bottomLeft" state="frozen"/>
      <selection pane="bottomLeft" activeCell="M56" sqref="M56"/>
    </sheetView>
  </sheetViews>
  <sheetFormatPr defaultRowHeight="14.5" x14ac:dyDescent="0.35"/>
  <cols>
    <col min="1" max="1" width="7.90625" bestFit="1" customWidth="1"/>
    <col min="2" max="2" width="6.453125" bestFit="1" customWidth="1"/>
    <col min="3" max="3" width="36.36328125" bestFit="1" customWidth="1"/>
    <col min="4" max="4" width="6.36328125" bestFit="1" customWidth="1"/>
    <col min="5" max="5" width="10.453125" style="7" bestFit="1" customWidth="1"/>
    <col min="6" max="6" width="9.08984375" bestFit="1" customWidth="1"/>
    <col min="7" max="7" width="10" style="5" bestFit="1" customWidth="1"/>
    <col min="8" max="8" width="11.453125" style="3" bestFit="1" customWidth="1"/>
    <col min="9" max="9" width="11.453125" style="3" customWidth="1"/>
    <col min="10" max="10" width="1.90625" customWidth="1"/>
    <col min="11" max="11" width="11.81640625" style="3" bestFit="1" customWidth="1"/>
    <col min="12" max="13" width="11.81640625" style="3" customWidth="1"/>
    <col min="14" max="14" width="37.81640625" bestFit="1" customWidth="1"/>
  </cols>
  <sheetData>
    <row r="1" spans="1:16" x14ac:dyDescent="0.35">
      <c r="A1" s="1" t="s">
        <v>24</v>
      </c>
      <c r="B1" s="1" t="s">
        <v>25</v>
      </c>
      <c r="C1" s="1" t="s">
        <v>26</v>
      </c>
      <c r="D1" s="1" t="s">
        <v>27</v>
      </c>
      <c r="E1" s="6" t="s">
        <v>28</v>
      </c>
      <c r="F1" s="1" t="s">
        <v>29</v>
      </c>
      <c r="G1" s="4" t="s">
        <v>30</v>
      </c>
      <c r="H1" s="2" t="s">
        <v>31</v>
      </c>
      <c r="I1" s="2" t="s">
        <v>33</v>
      </c>
      <c r="J1" s="2"/>
      <c r="K1" s="2" t="s">
        <v>32</v>
      </c>
      <c r="L1" s="2" t="s">
        <v>77</v>
      </c>
      <c r="M1" s="2"/>
      <c r="N1" s="2"/>
      <c r="O1" s="2"/>
      <c r="P1" s="2"/>
    </row>
    <row r="2" spans="1:16" x14ac:dyDescent="0.35">
      <c r="A2">
        <v>1</v>
      </c>
      <c r="B2">
        <v>10</v>
      </c>
      <c r="C2" t="s">
        <v>0</v>
      </c>
      <c r="D2">
        <v>15</v>
      </c>
      <c r="E2" s="7">
        <v>36841</v>
      </c>
      <c r="F2">
        <v>0</v>
      </c>
      <c r="G2" s="5">
        <v>679.64</v>
      </c>
      <c r="H2" s="12">
        <v>22.9920399034783</v>
      </c>
      <c r="I2" s="8">
        <f t="shared" ref="I2:I48" si="0">G2*H2</f>
        <v>15626.309999999992</v>
      </c>
      <c r="K2" s="8"/>
      <c r="L2" s="8"/>
      <c r="M2" s="8"/>
    </row>
    <row r="3" spans="1:16" x14ac:dyDescent="0.35">
      <c r="A3">
        <v>1</v>
      </c>
      <c r="B3">
        <v>11</v>
      </c>
      <c r="C3" t="s">
        <v>1</v>
      </c>
      <c r="D3">
        <v>16</v>
      </c>
      <c r="E3" s="7">
        <v>41166</v>
      </c>
      <c r="F3">
        <v>0</v>
      </c>
      <c r="G3" s="5">
        <v>547.645126</v>
      </c>
      <c r="H3" s="12">
        <v>18.259999998612201</v>
      </c>
      <c r="I3" s="8">
        <f t="shared" si="0"/>
        <v>9999.9999999999782</v>
      </c>
      <c r="K3" s="8">
        <f>Sheet2!E2</f>
        <v>18.260000000000002</v>
      </c>
      <c r="L3" s="8" t="str">
        <f>IF(ROUND(H3-K3,2)=0,"",H3-K3)</f>
        <v/>
      </c>
      <c r="M3" s="8"/>
      <c r="N3" t="str">
        <f>Sheet2!C2</f>
        <v>Templeton Global Ttl Ret N(acc)EUR-H1</v>
      </c>
    </row>
    <row r="4" spans="1:16" x14ac:dyDescent="0.35">
      <c r="A4">
        <v>1</v>
      </c>
      <c r="B4">
        <v>12</v>
      </c>
      <c r="C4" t="s">
        <v>2</v>
      </c>
      <c r="D4">
        <v>32</v>
      </c>
      <c r="E4" s="7">
        <v>41166.000011574077</v>
      </c>
      <c r="F4">
        <v>0</v>
      </c>
      <c r="G4" s="5">
        <v>5006.5078999999996</v>
      </c>
      <c r="H4" s="12">
        <v>1.9974000000000001</v>
      </c>
      <c r="I4" s="8">
        <f t="shared" si="0"/>
        <v>9999.9988794599994</v>
      </c>
      <c r="K4" s="8">
        <f>Sheet2!E3</f>
        <v>2</v>
      </c>
      <c r="L4" s="8" t="str">
        <f t="shared" ref="L4:L48" si="1">IF(ROUND(H4-K4,2)=0,"",H4-K4)</f>
        <v/>
      </c>
      <c r="M4" s="8"/>
      <c r="N4" t="str">
        <f>Sheet2!C3</f>
        <v>Threadneedle Amer Extnd Alpha Rtl AccUSD</v>
      </c>
    </row>
    <row r="5" spans="1:16" x14ac:dyDescent="0.35">
      <c r="A5">
        <v>1</v>
      </c>
      <c r="B5">
        <v>3</v>
      </c>
      <c r="C5" t="s">
        <v>3</v>
      </c>
      <c r="D5">
        <v>1</v>
      </c>
      <c r="E5" s="7">
        <v>41172</v>
      </c>
      <c r="F5">
        <v>0</v>
      </c>
      <c r="G5" s="5">
        <v>325.52199999999999</v>
      </c>
      <c r="H5" s="12">
        <v>30.719859180024699</v>
      </c>
      <c r="I5" s="8">
        <f t="shared" si="0"/>
        <v>9999.99</v>
      </c>
      <c r="K5" s="8">
        <f>Sheet2!E4</f>
        <v>30.72</v>
      </c>
      <c r="L5" s="8" t="str">
        <f t="shared" si="1"/>
        <v/>
      </c>
      <c r="M5" s="8"/>
      <c r="N5" t="str">
        <f>Sheet2!C4</f>
        <v>abrdnI-Asian Smaller Companies A Acc USD</v>
      </c>
    </row>
    <row r="6" spans="1:16" x14ac:dyDescent="0.35">
      <c r="A6">
        <v>1</v>
      </c>
      <c r="B6">
        <v>3</v>
      </c>
      <c r="C6" t="s">
        <v>3</v>
      </c>
      <c r="D6">
        <v>2</v>
      </c>
      <c r="E6" s="7">
        <v>41187</v>
      </c>
      <c r="F6">
        <v>0</v>
      </c>
      <c r="G6" s="5">
        <v>1267.6880000000001</v>
      </c>
      <c r="H6" s="12">
        <v>31.5534895021487</v>
      </c>
      <c r="I6" s="8">
        <f t="shared" si="0"/>
        <v>39999.979999999887</v>
      </c>
      <c r="K6" s="8">
        <f>Sheet2!E5</f>
        <v>31.55</v>
      </c>
      <c r="L6" s="8" t="str">
        <f t="shared" si="1"/>
        <v/>
      </c>
      <c r="M6" s="8"/>
      <c r="N6" t="str">
        <f>Sheet2!C5</f>
        <v>abrdnI-Asian Smaller Companies A Acc USD</v>
      </c>
    </row>
    <row r="7" spans="1:16" x14ac:dyDescent="0.35">
      <c r="A7">
        <v>1</v>
      </c>
      <c r="B7">
        <v>14</v>
      </c>
      <c r="C7" t="s">
        <v>4</v>
      </c>
      <c r="D7">
        <v>35</v>
      </c>
      <c r="E7" s="7">
        <v>41201</v>
      </c>
      <c r="F7">
        <v>0</v>
      </c>
      <c r="G7" s="5">
        <v>21.84</v>
      </c>
      <c r="H7" s="12">
        <v>549.56456043955995</v>
      </c>
      <c r="I7" s="8">
        <f t="shared" si="0"/>
        <v>12002.489999999989</v>
      </c>
      <c r="L7" s="13">
        <f t="shared" si="1"/>
        <v>549.56456043955995</v>
      </c>
      <c r="M7" s="13"/>
    </row>
    <row r="8" spans="1:16" x14ac:dyDescent="0.35">
      <c r="A8">
        <v>1</v>
      </c>
      <c r="B8">
        <v>11</v>
      </c>
      <c r="C8" t="s">
        <v>1</v>
      </c>
      <c r="D8">
        <v>17</v>
      </c>
      <c r="E8" s="7">
        <v>41377</v>
      </c>
      <c r="F8">
        <v>0</v>
      </c>
      <c r="G8" s="5">
        <v>1010.611</v>
      </c>
      <c r="H8" s="12">
        <v>19.7899983277443</v>
      </c>
      <c r="I8" s="8">
        <f t="shared" si="0"/>
        <v>19999.989999999994</v>
      </c>
      <c r="K8" s="8">
        <f>Sheet2!E6</f>
        <v>19.79</v>
      </c>
      <c r="L8" s="8" t="str">
        <f t="shared" si="1"/>
        <v/>
      </c>
      <c r="M8" s="8"/>
      <c r="N8" t="str">
        <f>Sheet2!C6</f>
        <v>Templeton Global Ttl Ret N(acc)EUR-H1</v>
      </c>
    </row>
    <row r="9" spans="1:16" x14ac:dyDescent="0.35">
      <c r="A9">
        <v>1</v>
      </c>
      <c r="B9">
        <v>11</v>
      </c>
      <c r="C9" t="s">
        <v>1</v>
      </c>
      <c r="D9">
        <v>24</v>
      </c>
      <c r="E9" s="7">
        <v>41383.000011574077</v>
      </c>
      <c r="F9">
        <v>0</v>
      </c>
      <c r="G9" s="5">
        <v>280.07</v>
      </c>
      <c r="H9" s="12">
        <v>19.6799728639268</v>
      </c>
      <c r="I9" s="8">
        <f t="shared" si="0"/>
        <v>5511.7699999999786</v>
      </c>
      <c r="K9" s="8">
        <f>Sheet2!E7</f>
        <v>19.68</v>
      </c>
      <c r="L9" s="8" t="str">
        <f t="shared" si="1"/>
        <v/>
      </c>
      <c r="M9" s="8"/>
      <c r="N9" t="str">
        <f>Sheet2!C7</f>
        <v>Templeton Global Ttl Ret N(acc)EUR-H1</v>
      </c>
    </row>
    <row r="10" spans="1:16" x14ac:dyDescent="0.35">
      <c r="A10">
        <v>1</v>
      </c>
      <c r="B10">
        <v>13</v>
      </c>
      <c r="C10" t="s">
        <v>5</v>
      </c>
      <c r="D10">
        <v>34</v>
      </c>
      <c r="E10" s="7">
        <v>41385.000011574077</v>
      </c>
      <c r="F10">
        <v>0</v>
      </c>
      <c r="G10" s="5">
        <v>394.85</v>
      </c>
      <c r="H10" s="12">
        <v>26.279093326579702</v>
      </c>
      <c r="I10" s="8">
        <f t="shared" si="0"/>
        <v>10376.299999999996</v>
      </c>
      <c r="K10" s="8">
        <f>Sheet2!E10</f>
        <v>26.28</v>
      </c>
      <c r="L10" s="8" t="str">
        <f t="shared" si="1"/>
        <v/>
      </c>
      <c r="M10" s="8"/>
      <c r="N10" t="str">
        <f>Sheet2!C10</f>
        <v>Fidelity Indonesia A-Dis-USD</v>
      </c>
    </row>
    <row r="11" spans="1:16" x14ac:dyDescent="0.35">
      <c r="A11">
        <v>1</v>
      </c>
      <c r="B11">
        <v>3</v>
      </c>
      <c r="C11" t="s">
        <v>3</v>
      </c>
      <c r="D11">
        <v>3</v>
      </c>
      <c r="E11" s="7">
        <v>41410</v>
      </c>
      <c r="F11">
        <v>0</v>
      </c>
      <c r="G11" s="5">
        <v>522.37400000000002</v>
      </c>
      <c r="H11" s="12">
        <v>38.286783032846103</v>
      </c>
      <c r="I11" s="8">
        <f t="shared" si="0"/>
        <v>20000.01999999995</v>
      </c>
      <c r="K11" s="8">
        <f>Sheet2!E11</f>
        <v>38.29</v>
      </c>
      <c r="L11" s="8" t="str">
        <f t="shared" si="1"/>
        <v/>
      </c>
      <c r="M11" s="8"/>
      <c r="N11" t="str">
        <f>Sheet2!C11</f>
        <v>abrdnI-Asian Smaller Companies A Acc USD</v>
      </c>
    </row>
    <row r="12" spans="1:16" x14ac:dyDescent="0.35">
      <c r="A12">
        <v>1</v>
      </c>
      <c r="B12">
        <v>5</v>
      </c>
      <c r="C12" t="s">
        <v>6</v>
      </c>
      <c r="D12">
        <v>26</v>
      </c>
      <c r="E12" s="7">
        <v>41439.000011574077</v>
      </c>
      <c r="F12">
        <v>0</v>
      </c>
      <c r="G12" s="5">
        <v>249.34710000000001</v>
      </c>
      <c r="H12" s="12">
        <v>139.70998660100699</v>
      </c>
      <c r="I12" s="8">
        <f t="shared" si="0"/>
        <v>34836.279999999948</v>
      </c>
      <c r="K12" s="3">
        <f>Sheet2!E12</f>
        <v>139.71</v>
      </c>
      <c r="L12" s="8" t="str">
        <f t="shared" si="1"/>
        <v/>
      </c>
      <c r="M12" s="8"/>
    </row>
    <row r="13" spans="1:16" x14ac:dyDescent="0.35">
      <c r="A13">
        <v>1</v>
      </c>
      <c r="B13">
        <v>6</v>
      </c>
      <c r="C13" t="s">
        <v>7</v>
      </c>
      <c r="D13">
        <v>7</v>
      </c>
      <c r="E13" s="7">
        <v>41492.000011574077</v>
      </c>
      <c r="F13">
        <v>0</v>
      </c>
      <c r="G13" s="5">
        <v>24.091999999999999</v>
      </c>
      <c r="H13" s="12">
        <v>250.44122530300501</v>
      </c>
      <c r="I13" s="8">
        <f t="shared" si="0"/>
        <v>6033.6299999999965</v>
      </c>
      <c r="K13" s="8">
        <f>Sheet2!E17</f>
        <v>250.44</v>
      </c>
      <c r="L13" s="8" t="str">
        <f t="shared" si="1"/>
        <v/>
      </c>
      <c r="M13" s="8"/>
      <c r="N13" t="str">
        <f>Sheet2!C17</f>
        <v>Candriam Eqs L Biotech C USD Cap</v>
      </c>
    </row>
    <row r="14" spans="1:16" x14ac:dyDescent="0.35">
      <c r="A14">
        <v>1</v>
      </c>
      <c r="B14">
        <v>1</v>
      </c>
      <c r="C14" t="s">
        <v>8</v>
      </c>
      <c r="D14">
        <v>27</v>
      </c>
      <c r="E14" s="7">
        <v>41521</v>
      </c>
      <c r="F14">
        <v>0</v>
      </c>
      <c r="G14" s="5">
        <v>58.502000000000002</v>
      </c>
      <c r="H14" s="12">
        <v>17.093261768828398</v>
      </c>
      <c r="I14" s="8">
        <f t="shared" si="0"/>
        <v>999.98999999999899</v>
      </c>
      <c r="K14" s="8">
        <f>Sheet2!E19</f>
        <v>17.09</v>
      </c>
      <c r="L14" s="8" t="str">
        <f t="shared" si="1"/>
        <v/>
      </c>
      <c r="M14" s="8"/>
      <c r="N14" t="str">
        <f>Sheet2!C19</f>
        <v>M G Optimal Income Euro A-H Acc</v>
      </c>
    </row>
    <row r="15" spans="1:16" x14ac:dyDescent="0.35">
      <c r="A15">
        <v>1</v>
      </c>
      <c r="B15">
        <v>2</v>
      </c>
      <c r="C15" t="s">
        <v>9</v>
      </c>
      <c r="D15">
        <v>37</v>
      </c>
      <c r="E15" s="7">
        <v>41534</v>
      </c>
      <c r="F15">
        <v>0</v>
      </c>
      <c r="G15" s="5">
        <v>76.745999999999995</v>
      </c>
      <c r="H15" s="12">
        <v>13.029995048601799</v>
      </c>
      <c r="I15" s="8">
        <f t="shared" si="0"/>
        <v>999.99999999999363</v>
      </c>
      <c r="K15" s="8">
        <f>Sheet2!E20</f>
        <v>13.03</v>
      </c>
      <c r="L15" s="8" t="str">
        <f t="shared" si="1"/>
        <v/>
      </c>
      <c r="M15" s="8"/>
      <c r="N15" t="str">
        <f>Sheet2!C20</f>
        <v>Templeton European Opps N(acc)EUR</v>
      </c>
    </row>
    <row r="16" spans="1:16" x14ac:dyDescent="0.35">
      <c r="A16">
        <v>1</v>
      </c>
      <c r="B16">
        <v>4</v>
      </c>
      <c r="C16" t="s">
        <v>10</v>
      </c>
      <c r="D16">
        <v>11</v>
      </c>
      <c r="E16" s="7">
        <v>41554</v>
      </c>
      <c r="F16">
        <v>0</v>
      </c>
      <c r="G16" s="5">
        <v>28.28</v>
      </c>
      <c r="H16" s="12">
        <v>35.357142857142797</v>
      </c>
      <c r="I16" s="8">
        <f t="shared" si="0"/>
        <v>999.89999999999839</v>
      </c>
      <c r="K16" s="8">
        <f>Sheet2!E21</f>
        <v>35.36</v>
      </c>
      <c r="L16" s="8" t="str">
        <f t="shared" si="1"/>
        <v/>
      </c>
      <c r="M16" s="8"/>
      <c r="N16" t="str">
        <f>Sheet2!C21</f>
        <v>Fidelity Thailand A-Dis-USD</v>
      </c>
    </row>
    <row r="17" spans="1:14" x14ac:dyDescent="0.35">
      <c r="A17">
        <v>1</v>
      </c>
      <c r="B17">
        <v>4</v>
      </c>
      <c r="C17" t="s">
        <v>10</v>
      </c>
      <c r="D17">
        <v>12</v>
      </c>
      <c r="E17" s="7">
        <v>41565</v>
      </c>
      <c r="F17">
        <v>0</v>
      </c>
      <c r="G17" s="5">
        <v>134.86000000000001</v>
      </c>
      <c r="H17" s="12">
        <v>37.076301349547599</v>
      </c>
      <c r="I17" s="8">
        <f t="shared" si="0"/>
        <v>5000.1099999999897</v>
      </c>
      <c r="K17" s="8">
        <f>Sheet2!E22</f>
        <v>37.08</v>
      </c>
      <c r="L17" s="8" t="str">
        <f t="shared" si="1"/>
        <v/>
      </c>
      <c r="M17" s="8"/>
      <c r="N17" t="str">
        <f>Sheet2!C22</f>
        <v>Fidelity Thailand A-Dis-USD</v>
      </c>
    </row>
    <row r="18" spans="1:14" x14ac:dyDescent="0.35">
      <c r="A18">
        <v>1</v>
      </c>
      <c r="B18">
        <v>6</v>
      </c>
      <c r="C18" t="s">
        <v>7</v>
      </c>
      <c r="D18">
        <v>39</v>
      </c>
      <c r="E18" s="7">
        <v>41673.000011574077</v>
      </c>
      <c r="F18">
        <v>0</v>
      </c>
      <c r="G18" s="5">
        <v>3.1440000000000001</v>
      </c>
      <c r="H18" s="12">
        <v>304.86641221373998</v>
      </c>
      <c r="I18" s="8">
        <f t="shared" si="0"/>
        <v>958.49999999999852</v>
      </c>
      <c r="K18" s="8">
        <f>Sheet2!E23</f>
        <v>304.86</v>
      </c>
      <c r="L18" s="13">
        <f t="shared" si="1"/>
        <v>6.4122137399635903E-3</v>
      </c>
      <c r="M18" s="13">
        <f>L18*G18</f>
        <v>2.0159999998445529E-2</v>
      </c>
      <c r="N18" t="str">
        <f>Sheet2!C23</f>
        <v>Candriam Eqs L Biotech C USD Cap</v>
      </c>
    </row>
    <row r="19" spans="1:14" x14ac:dyDescent="0.35">
      <c r="A19">
        <v>1</v>
      </c>
      <c r="B19">
        <v>1</v>
      </c>
      <c r="C19" t="s">
        <v>8</v>
      </c>
      <c r="D19">
        <v>29</v>
      </c>
      <c r="E19" s="7">
        <v>41794.000011574077</v>
      </c>
      <c r="F19">
        <v>0</v>
      </c>
      <c r="G19" s="5">
        <v>2347.326</v>
      </c>
      <c r="H19" s="12">
        <v>18.249684960674401</v>
      </c>
      <c r="I19" s="8">
        <f t="shared" si="0"/>
        <v>42837.96</v>
      </c>
      <c r="K19" s="8">
        <f>Sheet2!E24</f>
        <v>18.25</v>
      </c>
      <c r="L19" s="8" t="str">
        <f t="shared" si="1"/>
        <v/>
      </c>
      <c r="M19" s="8"/>
      <c r="N19" t="str">
        <f>Sheet2!C24</f>
        <v>M G Optimal Income Euro A-H Acc</v>
      </c>
    </row>
    <row r="20" spans="1:14" x14ac:dyDescent="0.35">
      <c r="A20">
        <v>1</v>
      </c>
      <c r="B20">
        <v>5</v>
      </c>
      <c r="C20" t="s">
        <v>6</v>
      </c>
      <c r="D20">
        <v>31</v>
      </c>
      <c r="E20" s="7">
        <v>41976</v>
      </c>
      <c r="F20">
        <v>0</v>
      </c>
      <c r="G20" s="5">
        <v>264.18049999999999</v>
      </c>
      <c r="H20" s="12">
        <v>168.57001179118001</v>
      </c>
      <c r="I20" s="8">
        <f t="shared" si="0"/>
        <v>44532.909999999829</v>
      </c>
      <c r="K20" s="8">
        <f>Sheet2!E29</f>
        <v>168.57</v>
      </c>
      <c r="L20" s="8" t="str">
        <f t="shared" si="1"/>
        <v/>
      </c>
      <c r="M20" s="8"/>
      <c r="N20">
        <f>Sheet2!C29</f>
        <v>0</v>
      </c>
    </row>
    <row r="21" spans="1:14" x14ac:dyDescent="0.35">
      <c r="A21">
        <v>1</v>
      </c>
      <c r="B21">
        <v>3</v>
      </c>
      <c r="C21" t="s">
        <v>3</v>
      </c>
      <c r="D21">
        <v>41</v>
      </c>
      <c r="E21" s="7">
        <v>42047.000011574077</v>
      </c>
      <c r="F21">
        <v>0</v>
      </c>
      <c r="G21" s="5">
        <v>174.22900000000001</v>
      </c>
      <c r="H21" s="12">
        <v>39.4291363665061</v>
      </c>
      <c r="I21" s="8">
        <f t="shared" si="0"/>
        <v>6869.6989999999914</v>
      </c>
      <c r="K21" s="8">
        <f>Sheet2!E35</f>
        <v>39.43</v>
      </c>
      <c r="L21" s="8" t="str">
        <f t="shared" si="1"/>
        <v/>
      </c>
      <c r="M21" s="8"/>
      <c r="N21" t="str">
        <f>Sheet2!C35</f>
        <v>abrdnI-Asian Smaller Companies A Acc USD</v>
      </c>
    </row>
    <row r="22" spans="1:14" x14ac:dyDescent="0.35">
      <c r="A22">
        <v>1</v>
      </c>
      <c r="B22">
        <v>1</v>
      </c>
      <c r="C22" t="s">
        <v>8</v>
      </c>
      <c r="D22">
        <v>92</v>
      </c>
      <c r="E22" s="7">
        <v>42202.719108796293</v>
      </c>
      <c r="F22">
        <v>0</v>
      </c>
      <c r="G22" s="5">
        <v>2922.36</v>
      </c>
      <c r="H22" s="12">
        <v>18.393100097181701</v>
      </c>
      <c r="I22" s="8">
        <f t="shared" si="0"/>
        <v>53751.259999999922</v>
      </c>
      <c r="K22" s="8">
        <f>Sheet2!E36</f>
        <v>18.39</v>
      </c>
      <c r="L22" s="8" t="str">
        <f t="shared" si="1"/>
        <v/>
      </c>
      <c r="M22" s="8"/>
      <c r="N22" t="str">
        <f>Sheet2!C36</f>
        <v>M G Optimal Income Euro A-H Acc</v>
      </c>
    </row>
    <row r="23" spans="1:14" x14ac:dyDescent="0.35">
      <c r="A23">
        <v>1</v>
      </c>
      <c r="B23">
        <v>6</v>
      </c>
      <c r="C23" t="s">
        <v>7</v>
      </c>
      <c r="D23">
        <v>96</v>
      </c>
      <c r="E23" s="7">
        <v>42208.759375000001</v>
      </c>
      <c r="F23">
        <v>0</v>
      </c>
      <c r="G23" s="5">
        <v>10.042999999999999</v>
      </c>
      <c r="H23" s="12">
        <v>591.12317036742002</v>
      </c>
      <c r="I23" s="8">
        <f t="shared" si="0"/>
        <v>5936.6499999999987</v>
      </c>
      <c r="K23" s="8">
        <f>Sheet2!E43</f>
        <v>591.15</v>
      </c>
      <c r="L23" s="14">
        <f t="shared" si="1"/>
        <v>-2.6829632579961071E-2</v>
      </c>
      <c r="M23" s="14">
        <f>L23*G23</f>
        <v>-0.26945000000054903</v>
      </c>
      <c r="N23" t="str">
        <f>Sheet2!C43</f>
        <v>Candriam Eqs L Biotech C USD Cap</v>
      </c>
    </row>
    <row r="24" spans="1:14" x14ac:dyDescent="0.35">
      <c r="A24">
        <v>1</v>
      </c>
      <c r="B24">
        <v>15</v>
      </c>
      <c r="C24" t="s">
        <v>11</v>
      </c>
      <c r="D24">
        <v>98</v>
      </c>
      <c r="E24" s="7">
        <v>42219.795451388891</v>
      </c>
      <c r="F24">
        <v>0</v>
      </c>
      <c r="G24" s="5">
        <v>112.246</v>
      </c>
      <c r="H24" s="12">
        <v>8.9090034388753203</v>
      </c>
      <c r="I24" s="8">
        <f t="shared" si="0"/>
        <v>999.9999999999992</v>
      </c>
      <c r="K24" s="8">
        <f>Sheet2!E44</f>
        <v>8.91</v>
      </c>
      <c r="L24" s="8" t="str">
        <f t="shared" si="1"/>
        <v/>
      </c>
      <c r="M24" s="8"/>
      <c r="N24" t="str">
        <f>Sheet2!C44</f>
        <v>Templeton Em Mkts Smlr Coms N(acc)USD</v>
      </c>
    </row>
    <row r="25" spans="1:14" x14ac:dyDescent="0.35">
      <c r="A25">
        <v>1</v>
      </c>
      <c r="B25">
        <v>16</v>
      </c>
      <c r="C25" t="s">
        <v>12</v>
      </c>
      <c r="D25">
        <v>101</v>
      </c>
      <c r="E25" s="7">
        <v>42279.463807870372</v>
      </c>
      <c r="F25">
        <v>0</v>
      </c>
      <c r="G25" s="5">
        <v>160.75280000000001</v>
      </c>
      <c r="H25" s="12">
        <v>323.52997894904399</v>
      </c>
      <c r="I25" s="8">
        <f t="shared" si="0"/>
        <v>52008.349999999882</v>
      </c>
      <c r="K25" s="8">
        <f>Sheet2!E45</f>
        <v>323.52999999999997</v>
      </c>
      <c r="L25" s="8" t="str">
        <f t="shared" si="1"/>
        <v/>
      </c>
      <c r="M25" s="8"/>
      <c r="N25">
        <f>Sheet2!C45</f>
        <v>0</v>
      </c>
    </row>
    <row r="26" spans="1:14" x14ac:dyDescent="0.35">
      <c r="A26">
        <v>1</v>
      </c>
      <c r="B26">
        <v>6</v>
      </c>
      <c r="C26" t="s">
        <v>7</v>
      </c>
      <c r="D26">
        <v>104</v>
      </c>
      <c r="E26" s="7">
        <v>42311.831203703703</v>
      </c>
      <c r="F26">
        <v>0</v>
      </c>
      <c r="G26" s="5">
        <v>4.7E-2</v>
      </c>
      <c r="H26" s="12">
        <v>507.02127659574398</v>
      </c>
      <c r="I26" s="8">
        <f t="shared" si="0"/>
        <v>23.829999999999966</v>
      </c>
      <c r="K26" s="8">
        <f>Sheet2!E51</f>
        <v>507.43</v>
      </c>
      <c r="L26" s="14">
        <f t="shared" si="1"/>
        <v>-0.4087234042560226</v>
      </c>
      <c r="M26" s="14">
        <f>L26*G26</f>
        <v>-1.9210000000033062E-2</v>
      </c>
      <c r="N26" t="str">
        <f>Sheet2!C51</f>
        <v>Candriam Eqs L Biotech C USD Cap</v>
      </c>
    </row>
    <row r="27" spans="1:14" x14ac:dyDescent="0.35">
      <c r="A27">
        <v>1</v>
      </c>
      <c r="B27">
        <v>19</v>
      </c>
      <c r="C27" t="s">
        <v>13</v>
      </c>
      <c r="D27">
        <v>108</v>
      </c>
      <c r="E27" s="7">
        <v>42387.492534722223</v>
      </c>
      <c r="F27">
        <v>0</v>
      </c>
      <c r="G27" s="5">
        <v>0.53749999999999998</v>
      </c>
      <c r="H27" s="12">
        <v>1860.4651162790699</v>
      </c>
      <c r="I27" s="8">
        <f t="shared" si="0"/>
        <v>1000</v>
      </c>
      <c r="K27" s="8">
        <f>Sheet2!E52</f>
        <v>1860.41</v>
      </c>
      <c r="L27" s="13">
        <f t="shared" si="1"/>
        <v>5.5116279069807206E-2</v>
      </c>
      <c r="M27" s="13">
        <f>L27*G27</f>
        <v>2.962500000002137E-2</v>
      </c>
      <c r="N27" t="str">
        <f>Sheet2!C52</f>
        <v>Trea Renta Fija Ahorro S FI</v>
      </c>
    </row>
    <row r="28" spans="1:14" x14ac:dyDescent="0.35">
      <c r="A28">
        <v>1</v>
      </c>
      <c r="B28">
        <v>15</v>
      </c>
      <c r="C28" t="s">
        <v>11</v>
      </c>
      <c r="D28">
        <v>122</v>
      </c>
      <c r="E28" s="7">
        <v>42635.715057870373</v>
      </c>
      <c r="F28">
        <v>0</v>
      </c>
      <c r="G28" s="5">
        <v>5585.1589999999997</v>
      </c>
      <c r="H28" s="12">
        <v>8.952</v>
      </c>
      <c r="I28" s="8">
        <f t="shared" si="0"/>
        <v>49998.343367999994</v>
      </c>
      <c r="K28" s="8">
        <f>Sheet2!E55</f>
        <v>8.9499999999999993</v>
      </c>
      <c r="L28" s="8" t="str">
        <f t="shared" si="1"/>
        <v/>
      </c>
      <c r="M28" s="8"/>
      <c r="N28" t="str">
        <f>Sheet2!C55</f>
        <v>Templeton Em Mkts Smlr Coms N(acc)USD</v>
      </c>
    </row>
    <row r="29" spans="1:14" x14ac:dyDescent="0.35">
      <c r="A29">
        <v>1</v>
      </c>
      <c r="B29">
        <v>19</v>
      </c>
      <c r="C29" t="s">
        <v>13</v>
      </c>
      <c r="D29">
        <v>171</v>
      </c>
      <c r="E29" s="7">
        <v>43516.387731481482</v>
      </c>
      <c r="F29">
        <v>0</v>
      </c>
      <c r="G29" s="5">
        <v>0.46779999999999999</v>
      </c>
      <c r="H29" s="12">
        <v>1895.2417</v>
      </c>
      <c r="I29" s="8">
        <f t="shared" si="0"/>
        <v>886.59406725999997</v>
      </c>
      <c r="K29" s="8">
        <f>Sheet2!E56</f>
        <v>1895.25</v>
      </c>
      <c r="L29" s="14">
        <f t="shared" si="1"/>
        <v>-8.2999999999628926E-3</v>
      </c>
      <c r="M29" s="14">
        <f>L29*G29</f>
        <v>-3.882739999982641E-3</v>
      </c>
      <c r="N29" t="str">
        <f>Sheet2!C56</f>
        <v>Trea Renta Fija Ahorro S FI</v>
      </c>
    </row>
    <row r="30" spans="1:14" x14ac:dyDescent="0.35">
      <c r="A30">
        <v>1</v>
      </c>
      <c r="B30">
        <v>27</v>
      </c>
      <c r="C30" t="s">
        <v>14</v>
      </c>
      <c r="D30">
        <v>173</v>
      </c>
      <c r="E30" s="7">
        <v>43525.444016203706</v>
      </c>
      <c r="F30">
        <v>0</v>
      </c>
      <c r="G30" s="5">
        <v>1778.69</v>
      </c>
      <c r="H30" s="12">
        <v>17.05</v>
      </c>
      <c r="I30" s="8">
        <f t="shared" si="0"/>
        <v>30326.664500000003</v>
      </c>
      <c r="K30" s="8">
        <f>Sheet2!E57</f>
        <v>17.05</v>
      </c>
      <c r="L30" s="8" t="str">
        <f t="shared" si="1"/>
        <v/>
      </c>
      <c r="M30" s="8"/>
      <c r="N30" t="str">
        <f>Sheet2!C57</f>
        <v>Fidelity Global Technology A-ACC-EUR</v>
      </c>
    </row>
    <row r="31" spans="1:14" x14ac:dyDescent="0.35">
      <c r="A31">
        <v>1</v>
      </c>
      <c r="B31">
        <v>28</v>
      </c>
      <c r="C31" t="s">
        <v>15</v>
      </c>
      <c r="D31">
        <v>197</v>
      </c>
      <c r="E31" s="7">
        <v>44473.584976851853</v>
      </c>
      <c r="F31">
        <v>0</v>
      </c>
      <c r="G31" s="5">
        <v>24.54</v>
      </c>
      <c r="H31" s="12">
        <v>435.10187449062698</v>
      </c>
      <c r="I31" s="8">
        <f t="shared" si="0"/>
        <v>10677.399999999985</v>
      </c>
      <c r="K31" s="8">
        <f>Sheet2!E58</f>
        <v>435.1</v>
      </c>
      <c r="L31" s="8" t="str">
        <f t="shared" si="1"/>
        <v/>
      </c>
      <c r="M31" s="8"/>
      <c r="N31" t="str">
        <f>Sheet2!C58</f>
        <v>abrdn Euro Fund A-2</v>
      </c>
    </row>
    <row r="32" spans="1:14" x14ac:dyDescent="0.35">
      <c r="A32">
        <v>1</v>
      </c>
      <c r="B32">
        <v>29</v>
      </c>
      <c r="C32" t="s">
        <v>16</v>
      </c>
      <c r="D32">
        <v>199</v>
      </c>
      <c r="E32" s="7">
        <v>44476.938761574071</v>
      </c>
      <c r="F32">
        <v>0</v>
      </c>
      <c r="G32" s="5">
        <v>765.3691</v>
      </c>
      <c r="H32" s="12">
        <v>13.039503554559399</v>
      </c>
      <c r="I32" s="8">
        <f t="shared" si="0"/>
        <v>9980.0330999999278</v>
      </c>
      <c r="K32" s="8">
        <f>Sheet2!E59</f>
        <v>13.04</v>
      </c>
      <c r="L32" s="8" t="str">
        <f t="shared" si="1"/>
        <v/>
      </c>
      <c r="M32" s="8"/>
      <c r="N32" t="str">
        <f>Sheet2!C59</f>
        <v>CS Corto Plazo B FI</v>
      </c>
    </row>
    <row r="33" spans="1:14" x14ac:dyDescent="0.35">
      <c r="A33">
        <v>1</v>
      </c>
      <c r="B33">
        <v>19</v>
      </c>
      <c r="C33" t="s">
        <v>13</v>
      </c>
      <c r="D33">
        <v>201</v>
      </c>
      <c r="E33" s="7">
        <v>44477.938761574071</v>
      </c>
      <c r="F33">
        <v>0</v>
      </c>
      <c r="G33" s="5">
        <v>5.1657999999999999</v>
      </c>
      <c r="H33" s="12">
        <v>1904.1616206589399</v>
      </c>
      <c r="I33" s="8">
        <f t="shared" si="0"/>
        <v>9836.518099999952</v>
      </c>
      <c r="K33" s="8">
        <f>Sheet2!E60</f>
        <v>1904.16</v>
      </c>
      <c r="L33" s="8" t="str">
        <f t="shared" si="1"/>
        <v/>
      </c>
      <c r="M33" s="8"/>
      <c r="N33" t="str">
        <f>Sheet2!C60</f>
        <v>Trea Renta Fija Ahorro S FI</v>
      </c>
    </row>
    <row r="34" spans="1:14" x14ac:dyDescent="0.35">
      <c r="A34">
        <v>1</v>
      </c>
      <c r="B34">
        <v>28</v>
      </c>
      <c r="C34" t="s">
        <v>15</v>
      </c>
      <c r="D34">
        <v>203</v>
      </c>
      <c r="E34" s="7">
        <v>44496.480810185189</v>
      </c>
      <c r="F34">
        <v>0</v>
      </c>
      <c r="G34" s="5">
        <v>34.723999999999997</v>
      </c>
      <c r="H34" s="12">
        <v>434.94679414813902</v>
      </c>
      <c r="I34" s="8">
        <f t="shared" si="0"/>
        <v>15103.092479999978</v>
      </c>
      <c r="K34" s="8">
        <f>Sheet2!E61</f>
        <v>434.94</v>
      </c>
      <c r="L34" s="13">
        <f t="shared" si="1"/>
        <v>6.794148139022127E-3</v>
      </c>
      <c r="M34" s="13">
        <f>L34*G34</f>
        <v>0.23591999997940433</v>
      </c>
      <c r="N34" t="str">
        <f>Sheet2!C61</f>
        <v>abrdn Euro Fund A-2</v>
      </c>
    </row>
    <row r="35" spans="1:14" x14ac:dyDescent="0.35">
      <c r="A35">
        <v>1</v>
      </c>
      <c r="B35">
        <v>28</v>
      </c>
      <c r="C35" t="s">
        <v>15</v>
      </c>
      <c r="D35">
        <v>205</v>
      </c>
      <c r="E35" s="7">
        <v>44524.517384259256</v>
      </c>
      <c r="F35">
        <v>0</v>
      </c>
      <c r="G35" s="5">
        <v>46.265999999999998</v>
      </c>
      <c r="H35" s="12">
        <v>434.75770544244102</v>
      </c>
      <c r="I35" s="8">
        <f t="shared" si="0"/>
        <v>20114.499999999975</v>
      </c>
      <c r="K35" s="8">
        <f>Sheet2!E62</f>
        <v>434.76</v>
      </c>
      <c r="L35" s="8" t="str">
        <f t="shared" si="1"/>
        <v/>
      </c>
      <c r="M35" s="8"/>
      <c r="N35" t="str">
        <f>Sheet2!C62</f>
        <v>abrdn Euro Fund A-2</v>
      </c>
    </row>
    <row r="36" spans="1:14" x14ac:dyDescent="0.35">
      <c r="A36">
        <v>1</v>
      </c>
      <c r="B36">
        <v>28</v>
      </c>
      <c r="C36" t="s">
        <v>15</v>
      </c>
      <c r="D36">
        <v>217</v>
      </c>
      <c r="E36" s="7">
        <v>44725.295381944445</v>
      </c>
      <c r="F36">
        <v>0</v>
      </c>
      <c r="G36" s="5">
        <v>23.23</v>
      </c>
      <c r="H36" s="12">
        <v>433.283090830822</v>
      </c>
      <c r="I36" s="8">
        <f t="shared" si="0"/>
        <v>10065.166199999996</v>
      </c>
      <c r="K36" s="8">
        <f>Sheet2!E63</f>
        <v>433.29</v>
      </c>
      <c r="L36" s="14">
        <f t="shared" si="1"/>
        <v>-6.9091691780158726E-3</v>
      </c>
      <c r="M36" s="14">
        <f>L36*G36</f>
        <v>-0.16050000000530873</v>
      </c>
      <c r="N36" t="str">
        <f>Sheet2!C63</f>
        <v>abrdn Euro Fund A-2</v>
      </c>
    </row>
    <row r="37" spans="1:14" x14ac:dyDescent="0.35">
      <c r="A37">
        <v>1</v>
      </c>
      <c r="B37">
        <v>30</v>
      </c>
      <c r="C37" t="s">
        <v>17</v>
      </c>
      <c r="D37">
        <v>219</v>
      </c>
      <c r="E37" s="7">
        <v>44736.475462962961</v>
      </c>
      <c r="F37">
        <v>0</v>
      </c>
      <c r="G37" s="5">
        <v>565.1</v>
      </c>
      <c r="H37" s="12">
        <v>17.241866409484999</v>
      </c>
      <c r="I37" s="8">
        <f t="shared" si="0"/>
        <v>9743.3787079999729</v>
      </c>
      <c r="K37" s="8">
        <f>Sheet2!E64</f>
        <v>17.239999999999998</v>
      </c>
      <c r="L37" s="8" t="str">
        <f t="shared" si="1"/>
        <v/>
      </c>
      <c r="M37" s="8"/>
      <c r="N37" t="str">
        <f>Sheet2!C64</f>
        <v>BGF World Energy E2</v>
      </c>
    </row>
    <row r="38" spans="1:14" x14ac:dyDescent="0.35">
      <c r="A38">
        <v>1</v>
      </c>
      <c r="B38">
        <v>1036</v>
      </c>
      <c r="C38" t="s">
        <v>18</v>
      </c>
      <c r="D38">
        <v>1228</v>
      </c>
      <c r="E38" s="7">
        <v>44832.414664351854</v>
      </c>
      <c r="F38">
        <v>0</v>
      </c>
      <c r="G38" s="5">
        <v>130.13999999999999</v>
      </c>
      <c r="H38" s="12">
        <v>76.532598739818596</v>
      </c>
      <c r="I38" s="8">
        <f t="shared" si="0"/>
        <v>9959.952399999991</v>
      </c>
      <c r="K38" s="8">
        <f>Sheet2!E65</f>
        <v>76.53</v>
      </c>
      <c r="L38" s="8" t="str">
        <f t="shared" si="1"/>
        <v/>
      </c>
      <c r="M38" s="8"/>
      <c r="N38" t="str">
        <f>Sheet2!C65</f>
        <v>CS (Lux) Commodity Idx Plus USD B</v>
      </c>
    </row>
    <row r="39" spans="1:14" x14ac:dyDescent="0.35">
      <c r="A39">
        <v>1</v>
      </c>
      <c r="B39">
        <v>1037</v>
      </c>
      <c r="C39" t="s">
        <v>19</v>
      </c>
      <c r="D39">
        <v>1231</v>
      </c>
      <c r="E39" s="7">
        <v>44861.454050925924</v>
      </c>
      <c r="F39">
        <v>0</v>
      </c>
      <c r="G39" s="5">
        <v>810.71400000000006</v>
      </c>
      <c r="H39" s="12">
        <v>10.2824726056537</v>
      </c>
      <c r="I39" s="8">
        <f t="shared" si="0"/>
        <v>8336.1444960199351</v>
      </c>
      <c r="K39" s="8">
        <f>Sheet2!E66</f>
        <v>10.28</v>
      </c>
      <c r="L39" s="8" t="str">
        <f t="shared" si="1"/>
        <v/>
      </c>
      <c r="M39" s="8"/>
      <c r="N39" t="str">
        <f>Sheet2!C66</f>
        <v>Threadneedle (Lux) Enhanced Cmdts DU</v>
      </c>
    </row>
    <row r="40" spans="1:14" x14ac:dyDescent="0.35">
      <c r="A40">
        <v>1</v>
      </c>
      <c r="B40">
        <v>1038</v>
      </c>
      <c r="C40" t="s">
        <v>20</v>
      </c>
      <c r="D40">
        <v>1233</v>
      </c>
      <c r="E40" s="7">
        <v>44879.427673611113</v>
      </c>
      <c r="F40">
        <v>0</v>
      </c>
      <c r="G40" s="5">
        <v>0.83</v>
      </c>
      <c r="H40" s="12">
        <v>3310.2666873509602</v>
      </c>
      <c r="I40" s="8">
        <f t="shared" si="0"/>
        <v>2747.5213505012966</v>
      </c>
      <c r="K40" s="8">
        <f>Sheet2!E67</f>
        <v>3308.42</v>
      </c>
      <c r="L40" s="13">
        <f t="shared" si="1"/>
        <v>1.8466873509601101</v>
      </c>
      <c r="M40" s="13">
        <f>L40*G40</f>
        <v>1.5327505012968912</v>
      </c>
      <c r="N40" t="str">
        <f>Sheet2!C67</f>
        <v>abrdn US Dollar Fund A-2</v>
      </c>
    </row>
    <row r="41" spans="1:14" x14ac:dyDescent="0.35">
      <c r="A41">
        <v>1</v>
      </c>
      <c r="B41">
        <v>28</v>
      </c>
      <c r="C41" t="s">
        <v>15</v>
      </c>
      <c r="D41">
        <v>1235</v>
      </c>
      <c r="E41" s="7">
        <v>44893.559050925927</v>
      </c>
      <c r="F41">
        <v>0</v>
      </c>
      <c r="G41" s="5">
        <v>21.81</v>
      </c>
      <c r="H41" s="12">
        <v>433.51991556808798</v>
      </c>
      <c r="I41" s="8">
        <f t="shared" si="0"/>
        <v>9455.0693585399986</v>
      </c>
      <c r="K41" s="8">
        <f>Sheet2!E68</f>
        <v>433.52</v>
      </c>
      <c r="L41" s="8" t="str">
        <f t="shared" si="1"/>
        <v/>
      </c>
      <c r="M41" s="8"/>
      <c r="N41" t="str">
        <f>Sheet2!C68</f>
        <v>abrdn Euro Fund A-2</v>
      </c>
    </row>
    <row r="42" spans="1:14" x14ac:dyDescent="0.35">
      <c r="A42">
        <v>1</v>
      </c>
      <c r="B42">
        <v>28</v>
      </c>
      <c r="C42" t="s">
        <v>15</v>
      </c>
      <c r="D42">
        <v>1239</v>
      </c>
      <c r="E42" s="7">
        <v>44893.572569444441</v>
      </c>
      <c r="F42">
        <v>0</v>
      </c>
      <c r="G42" s="5">
        <v>18.635999999999999</v>
      </c>
      <c r="H42" s="12">
        <v>433.54192724694099</v>
      </c>
      <c r="I42" s="8">
        <f t="shared" si="0"/>
        <v>8079.4873561739923</v>
      </c>
      <c r="K42" s="8">
        <f>Sheet2!E69</f>
        <v>433.52</v>
      </c>
      <c r="L42" s="13">
        <f t="shared" si="1"/>
        <v>2.1927246941004341E-2</v>
      </c>
      <c r="M42" s="13">
        <f t="shared" ref="M42:M44" si="2">L42*G42</f>
        <v>0.40863617399255686</v>
      </c>
      <c r="N42" t="str">
        <f>Sheet2!C69</f>
        <v>abrdn Euro Fund A-2</v>
      </c>
    </row>
    <row r="43" spans="1:14" x14ac:dyDescent="0.35">
      <c r="A43">
        <v>1</v>
      </c>
      <c r="B43">
        <v>28</v>
      </c>
      <c r="C43" t="s">
        <v>15</v>
      </c>
      <c r="D43">
        <v>1241</v>
      </c>
      <c r="E43" s="7">
        <v>44939.567002314812</v>
      </c>
      <c r="F43">
        <v>0</v>
      </c>
      <c r="G43" s="5">
        <v>5.8719999999999999</v>
      </c>
      <c r="H43" s="12">
        <v>434.45088886239699</v>
      </c>
      <c r="I43" s="8">
        <f t="shared" si="0"/>
        <v>2551.095619399995</v>
      </c>
      <c r="K43" s="8">
        <f>Sheet2!E70</f>
        <v>434.43</v>
      </c>
      <c r="L43" s="13">
        <f t="shared" si="1"/>
        <v>2.0888862396986951E-2</v>
      </c>
      <c r="M43" s="13">
        <f t="shared" si="2"/>
        <v>0.12265939999510737</v>
      </c>
      <c r="N43" t="str">
        <f>Sheet2!C70</f>
        <v>abrdn Euro Fund A-2</v>
      </c>
    </row>
    <row r="44" spans="1:14" x14ac:dyDescent="0.35">
      <c r="A44">
        <v>1</v>
      </c>
      <c r="B44">
        <v>1039</v>
      </c>
      <c r="C44" t="s">
        <v>21</v>
      </c>
      <c r="D44">
        <v>1246</v>
      </c>
      <c r="E44" s="7">
        <v>45028.467465277776</v>
      </c>
      <c r="F44">
        <v>0</v>
      </c>
      <c r="G44" s="5">
        <v>0.33200000000000002</v>
      </c>
      <c r="H44" s="12">
        <v>3710.11587951807</v>
      </c>
      <c r="I44" s="8">
        <f t="shared" si="0"/>
        <v>1231.7584719999993</v>
      </c>
      <c r="K44" s="8">
        <f>Sheet2!E71</f>
        <v>3700.36</v>
      </c>
      <c r="L44" s="13">
        <f t="shared" si="1"/>
        <v>9.7558795180698326</v>
      </c>
      <c r="M44" s="13">
        <f t="shared" si="2"/>
        <v>3.2389519999991845</v>
      </c>
      <c r="N44" t="str">
        <f>Sheet2!C71</f>
        <v>Carmignac Court Terme A EUR Acc</v>
      </c>
    </row>
    <row r="45" spans="1:14" x14ac:dyDescent="0.35">
      <c r="A45">
        <v>1</v>
      </c>
      <c r="B45">
        <v>1040</v>
      </c>
      <c r="C45" t="s">
        <v>22</v>
      </c>
      <c r="D45">
        <v>1248</v>
      </c>
      <c r="E45" s="7">
        <v>45029.467465277776</v>
      </c>
      <c r="F45">
        <v>0</v>
      </c>
      <c r="G45" s="5">
        <v>187.71</v>
      </c>
      <c r="H45" s="12">
        <v>31.669576474348698</v>
      </c>
      <c r="I45" s="8">
        <f t="shared" si="0"/>
        <v>5944.696199999994</v>
      </c>
      <c r="K45" s="8">
        <f>Sheet2!E72</f>
        <v>31.67</v>
      </c>
      <c r="L45" s="8" t="str">
        <f t="shared" si="1"/>
        <v/>
      </c>
      <c r="M45" s="8"/>
      <c r="N45" t="str">
        <f>Sheet2!C72</f>
        <v>BGF World Gold E2</v>
      </c>
    </row>
    <row r="46" spans="1:14" x14ac:dyDescent="0.35">
      <c r="A46">
        <v>1</v>
      </c>
      <c r="B46">
        <v>1039</v>
      </c>
      <c r="C46" t="s">
        <v>21</v>
      </c>
      <c r="D46">
        <v>1250</v>
      </c>
      <c r="E46" s="7">
        <v>45043.364641203705</v>
      </c>
      <c r="F46">
        <v>0</v>
      </c>
      <c r="G46" s="5">
        <v>2.8039999999999998</v>
      </c>
      <c r="H46" s="12">
        <v>3705.3528401925801</v>
      </c>
      <c r="I46" s="8">
        <f t="shared" si="0"/>
        <v>10389.809363899994</v>
      </c>
      <c r="K46" s="8">
        <f>Sheet2!E73</f>
        <v>3705.25</v>
      </c>
      <c r="L46" s="13">
        <f t="shared" si="1"/>
        <v>0.10284019258006083</v>
      </c>
      <c r="M46" s="13">
        <f>L46*G46</f>
        <v>0.28836389999449052</v>
      </c>
      <c r="N46" t="str">
        <f>Sheet2!C73</f>
        <v>Carmignac Court Terme A EUR Acc</v>
      </c>
    </row>
    <row r="47" spans="1:14" x14ac:dyDescent="0.35">
      <c r="A47">
        <v>1</v>
      </c>
      <c r="B47">
        <v>1041</v>
      </c>
      <c r="C47" t="s">
        <v>23</v>
      </c>
      <c r="D47">
        <v>1253</v>
      </c>
      <c r="E47" s="7">
        <v>45061.370729166665</v>
      </c>
      <c r="F47">
        <v>0</v>
      </c>
      <c r="G47" s="5">
        <v>8.4095800000000001</v>
      </c>
      <c r="H47" s="12">
        <v>118.914827</v>
      </c>
      <c r="I47" s="8">
        <f t="shared" si="0"/>
        <v>1000.02375084266</v>
      </c>
      <c r="K47" s="8">
        <f>Sheet2!E74</f>
        <v>118.91</v>
      </c>
      <c r="L47" s="8" t="str">
        <f t="shared" si="1"/>
        <v/>
      </c>
      <c r="M47" s="8"/>
      <c r="N47" t="str">
        <f>Sheet2!C74</f>
        <v>Pictet-Short-Term Money Market CHF R</v>
      </c>
    </row>
    <row r="48" spans="1:14" x14ac:dyDescent="0.35">
      <c r="A48">
        <v>1</v>
      </c>
      <c r="B48">
        <v>1041</v>
      </c>
      <c r="C48" t="s">
        <v>23</v>
      </c>
      <c r="D48">
        <v>1254</v>
      </c>
      <c r="E48" s="7">
        <v>45069.725960648146</v>
      </c>
      <c r="F48">
        <v>0</v>
      </c>
      <c r="G48" s="5">
        <v>74.801749999999998</v>
      </c>
      <c r="H48" s="12">
        <v>120.3180407</v>
      </c>
      <c r="I48" s="8">
        <f t="shared" si="0"/>
        <v>9000.0000009312243</v>
      </c>
      <c r="K48" s="8">
        <f>Sheet2!E75</f>
        <v>120.32</v>
      </c>
      <c r="L48" s="8" t="str">
        <f t="shared" si="1"/>
        <v/>
      </c>
      <c r="M48" s="8"/>
      <c r="N48" t="str">
        <f>Sheet2!C75</f>
        <v>Pictet-Short-Term Money Market CHF R</v>
      </c>
    </row>
    <row r="49" spans="1:13" x14ac:dyDescent="0.35">
      <c r="H49" s="5"/>
    </row>
    <row r="50" spans="1:13" x14ac:dyDescent="0.35">
      <c r="H50" s="5"/>
      <c r="L50" s="15"/>
      <c r="M50" s="15"/>
    </row>
    <row r="51" spans="1:13" x14ac:dyDescent="0.35">
      <c r="H51" s="5"/>
    </row>
    <row r="52" spans="1:13" x14ac:dyDescent="0.35">
      <c r="A52">
        <v>1</v>
      </c>
      <c r="B52">
        <v>10</v>
      </c>
      <c r="C52" t="s">
        <v>0</v>
      </c>
      <c r="D52">
        <v>23</v>
      </c>
      <c r="E52" s="7">
        <v>41383</v>
      </c>
      <c r="F52">
        <v>1</v>
      </c>
      <c r="G52" s="5">
        <v>679.64</v>
      </c>
      <c r="H52" s="12">
        <v>8.1098375610617399</v>
      </c>
      <c r="I52" s="8">
        <f>G52*H52</f>
        <v>5511.77</v>
      </c>
      <c r="K52" s="8"/>
      <c r="L52" s="8"/>
      <c r="M52" s="8"/>
    </row>
    <row r="53" spans="1:13" x14ac:dyDescent="0.35">
      <c r="A53">
        <v>1</v>
      </c>
      <c r="B53">
        <v>12</v>
      </c>
      <c r="C53" t="s">
        <v>2</v>
      </c>
      <c r="D53">
        <v>33</v>
      </c>
      <c r="E53" s="7">
        <v>41385</v>
      </c>
      <c r="F53">
        <v>1</v>
      </c>
      <c r="G53" s="5">
        <v>5006.5078999999996</v>
      </c>
      <c r="H53" s="12">
        <v>2.0725623942389002</v>
      </c>
      <c r="I53" s="8">
        <f t="shared" ref="I53:I91" si="3">G53*H53</f>
        <v>10376.299999999968</v>
      </c>
      <c r="K53" s="8">
        <f>Sheet2!E77</f>
        <v>2.0699999999999998</v>
      </c>
      <c r="L53" s="8" t="str">
        <f t="shared" ref="L53:L68" si="4">IF(ROUND(H53-K53,2)=0,"",H53-K53)</f>
        <v/>
      </c>
      <c r="M53" s="8"/>
    </row>
    <row r="54" spans="1:13" x14ac:dyDescent="0.35">
      <c r="A54">
        <v>1</v>
      </c>
      <c r="B54">
        <v>14</v>
      </c>
      <c r="C54" t="s">
        <v>4</v>
      </c>
      <c r="D54">
        <v>36</v>
      </c>
      <c r="E54" s="7">
        <v>41436</v>
      </c>
      <c r="F54">
        <v>1</v>
      </c>
      <c r="G54" s="5">
        <v>21.84</v>
      </c>
      <c r="H54" s="12">
        <v>547.44001831501805</v>
      </c>
      <c r="I54" s="8">
        <f t="shared" si="3"/>
        <v>11956.089999999995</v>
      </c>
      <c r="L54" s="8">
        <f t="shared" si="4"/>
        <v>547.44001831501805</v>
      </c>
      <c r="M54" s="8"/>
    </row>
    <row r="55" spans="1:13" x14ac:dyDescent="0.35">
      <c r="A55">
        <v>1</v>
      </c>
      <c r="B55">
        <v>13</v>
      </c>
      <c r="C55" t="s">
        <v>5</v>
      </c>
      <c r="D55">
        <v>42</v>
      </c>
      <c r="E55" s="7">
        <v>41436.000011574077</v>
      </c>
      <c r="F55">
        <v>1</v>
      </c>
      <c r="G55" s="5">
        <v>394.85</v>
      </c>
      <c r="H55" s="12">
        <v>24.609000886412499</v>
      </c>
      <c r="I55" s="8">
        <f t="shared" si="3"/>
        <v>9716.8639999999759</v>
      </c>
      <c r="K55" s="8">
        <f>Sheet2!E78</f>
        <v>24.61</v>
      </c>
      <c r="L55" s="8" t="str">
        <f t="shared" si="4"/>
        <v/>
      </c>
      <c r="M55" s="8"/>
    </row>
    <row r="56" spans="1:13" x14ac:dyDescent="0.35">
      <c r="A56">
        <v>1</v>
      </c>
      <c r="B56">
        <v>3</v>
      </c>
      <c r="C56" t="s">
        <v>3</v>
      </c>
      <c r="D56">
        <v>4</v>
      </c>
      <c r="E56" s="7">
        <v>41438</v>
      </c>
      <c r="F56">
        <v>1</v>
      </c>
      <c r="G56" s="5">
        <v>1415.5820000000001</v>
      </c>
      <c r="H56" s="12">
        <v>33.983393402854702</v>
      </c>
      <c r="I56" s="8">
        <f t="shared" si="3"/>
        <v>48106.279999999868</v>
      </c>
      <c r="K56" s="8">
        <f>Sheet2!E79</f>
        <v>34.68</v>
      </c>
      <c r="L56" s="8">
        <f t="shared" si="4"/>
        <v>-0.69660659714529771</v>
      </c>
      <c r="M56" s="8"/>
    </row>
    <row r="57" spans="1:13" x14ac:dyDescent="0.35">
      <c r="A57">
        <v>1</v>
      </c>
      <c r="B57">
        <v>11</v>
      </c>
      <c r="C57" t="s">
        <v>1</v>
      </c>
      <c r="D57">
        <v>25</v>
      </c>
      <c r="E57" s="7">
        <v>41439</v>
      </c>
      <c r="F57">
        <v>1</v>
      </c>
      <c r="G57" s="5">
        <v>1838.3261259999999</v>
      </c>
      <c r="H57" s="12">
        <v>18.949999952293499</v>
      </c>
      <c r="I57" s="8">
        <f t="shared" si="3"/>
        <v>34836.27999999989</v>
      </c>
      <c r="K57" s="8">
        <f>Sheet2!E80</f>
        <v>18.95</v>
      </c>
      <c r="L57" s="8" t="str">
        <f t="shared" si="4"/>
        <v/>
      </c>
      <c r="M57" s="8"/>
    </row>
    <row r="58" spans="1:13" x14ac:dyDescent="0.35">
      <c r="A58">
        <v>1</v>
      </c>
      <c r="B58">
        <v>3</v>
      </c>
      <c r="C58" t="s">
        <v>3</v>
      </c>
      <c r="D58">
        <v>5</v>
      </c>
      <c r="E58" s="7">
        <v>41492</v>
      </c>
      <c r="F58">
        <v>1</v>
      </c>
      <c r="G58" s="5">
        <v>178</v>
      </c>
      <c r="H58" s="12">
        <v>33.896398876404497</v>
      </c>
      <c r="I58" s="8">
        <f t="shared" si="3"/>
        <v>6033.5590000000002</v>
      </c>
      <c r="K58" s="8">
        <f>Sheet2!E81</f>
        <v>33.9</v>
      </c>
      <c r="L58" s="8" t="str">
        <f t="shared" si="4"/>
        <v/>
      </c>
      <c r="M58" s="8"/>
    </row>
    <row r="59" spans="1:13" x14ac:dyDescent="0.35">
      <c r="A59">
        <v>1</v>
      </c>
      <c r="B59">
        <v>3</v>
      </c>
      <c r="C59" t="s">
        <v>3</v>
      </c>
      <c r="D59">
        <v>6</v>
      </c>
      <c r="E59" s="7">
        <v>41506</v>
      </c>
      <c r="F59">
        <v>1</v>
      </c>
      <c r="G59" s="5">
        <v>522.00199999999995</v>
      </c>
      <c r="H59" s="12">
        <v>32.470297048670297</v>
      </c>
      <c r="I59" s="8">
        <f t="shared" si="3"/>
        <v>16949.55999999999</v>
      </c>
      <c r="K59" s="8">
        <f>Sheet2!E82</f>
        <v>32.47</v>
      </c>
      <c r="L59" s="8" t="str">
        <f t="shared" si="4"/>
        <v/>
      </c>
      <c r="M59" s="8"/>
    </row>
    <row r="60" spans="1:13" x14ac:dyDescent="0.35">
      <c r="A60">
        <v>1</v>
      </c>
      <c r="B60">
        <v>4</v>
      </c>
      <c r="C60" t="s">
        <v>10</v>
      </c>
      <c r="D60">
        <v>13</v>
      </c>
      <c r="E60" s="7">
        <v>41639</v>
      </c>
      <c r="F60">
        <v>1</v>
      </c>
      <c r="G60" s="5">
        <v>160</v>
      </c>
      <c r="H60" s="12">
        <v>30.947749999999999</v>
      </c>
      <c r="I60" s="8">
        <f t="shared" si="3"/>
        <v>4951.6399999999994</v>
      </c>
      <c r="K60" s="8">
        <f>Sheet2!E83</f>
        <v>30.95</v>
      </c>
      <c r="L60" s="8" t="str">
        <f t="shared" si="4"/>
        <v/>
      </c>
      <c r="M60" s="8"/>
    </row>
    <row r="61" spans="1:13" x14ac:dyDescent="0.35">
      <c r="A61">
        <v>1</v>
      </c>
      <c r="B61">
        <v>2</v>
      </c>
      <c r="C61" t="s">
        <v>9</v>
      </c>
      <c r="D61">
        <v>38</v>
      </c>
      <c r="E61" s="7">
        <v>41673</v>
      </c>
      <c r="F61">
        <v>1</v>
      </c>
      <c r="G61" s="5">
        <v>75</v>
      </c>
      <c r="H61" s="12">
        <v>12.78</v>
      </c>
      <c r="I61" s="8">
        <f t="shared" si="3"/>
        <v>958.5</v>
      </c>
      <c r="K61" s="8">
        <f>Sheet2!E84</f>
        <v>12.78</v>
      </c>
      <c r="L61" s="8" t="str">
        <f t="shared" si="4"/>
        <v/>
      </c>
      <c r="M61" s="8"/>
    </row>
    <row r="62" spans="1:13" x14ac:dyDescent="0.35">
      <c r="A62">
        <v>1</v>
      </c>
      <c r="B62">
        <v>5</v>
      </c>
      <c r="C62" t="s">
        <v>6</v>
      </c>
      <c r="D62">
        <v>28</v>
      </c>
      <c r="E62" s="7">
        <v>41794</v>
      </c>
      <c r="F62">
        <v>1</v>
      </c>
      <c r="G62" s="5">
        <v>249</v>
      </c>
      <c r="H62" s="12">
        <v>172.04</v>
      </c>
      <c r="I62" s="8">
        <f t="shared" si="3"/>
        <v>42837.96</v>
      </c>
      <c r="K62" s="8">
        <f>Sheet2!E85</f>
        <v>172.04</v>
      </c>
      <c r="L62" s="8" t="str">
        <f t="shared" si="4"/>
        <v/>
      </c>
      <c r="M62" s="8"/>
    </row>
    <row r="63" spans="1:13" x14ac:dyDescent="0.35">
      <c r="A63">
        <v>1</v>
      </c>
      <c r="B63">
        <v>1</v>
      </c>
      <c r="C63" t="s">
        <v>8</v>
      </c>
      <c r="D63">
        <v>30</v>
      </c>
      <c r="E63" s="7">
        <v>41971</v>
      </c>
      <c r="F63">
        <v>1</v>
      </c>
      <c r="G63" s="5">
        <v>2404</v>
      </c>
      <c r="H63" s="12">
        <v>18.524504991680502</v>
      </c>
      <c r="I63" s="8">
        <f t="shared" si="3"/>
        <v>44532.909999999923</v>
      </c>
      <c r="K63" s="8">
        <f>Sheet2!E86</f>
        <v>18.52</v>
      </c>
      <c r="L63" s="8" t="str">
        <f t="shared" si="4"/>
        <v/>
      </c>
      <c r="M63" s="8"/>
    </row>
    <row r="64" spans="1:13" x14ac:dyDescent="0.35">
      <c r="A64">
        <v>1</v>
      </c>
      <c r="B64">
        <v>6</v>
      </c>
      <c r="C64" t="s">
        <v>7</v>
      </c>
      <c r="D64">
        <v>40</v>
      </c>
      <c r="E64" s="7">
        <v>42047</v>
      </c>
      <c r="F64">
        <v>1</v>
      </c>
      <c r="G64" s="5">
        <v>15</v>
      </c>
      <c r="H64" s="12">
        <v>457.97993333333301</v>
      </c>
      <c r="I64" s="8">
        <f t="shared" si="3"/>
        <v>6869.6989999999951</v>
      </c>
      <c r="K64" s="8">
        <f>Sheet2!E87</f>
        <v>457.98</v>
      </c>
      <c r="L64" s="8" t="str">
        <f t="shared" si="4"/>
        <v/>
      </c>
      <c r="M64" s="8"/>
    </row>
    <row r="65" spans="1:13" x14ac:dyDescent="0.35">
      <c r="A65">
        <v>1</v>
      </c>
      <c r="B65">
        <v>5</v>
      </c>
      <c r="C65" t="s">
        <v>6</v>
      </c>
      <c r="D65">
        <v>91</v>
      </c>
      <c r="E65" s="7">
        <v>42201.719108796293</v>
      </c>
      <c r="F65">
        <v>1</v>
      </c>
      <c r="G65" s="5">
        <v>259.52999999999997</v>
      </c>
      <c r="H65" s="12">
        <v>207.11000655030199</v>
      </c>
      <c r="I65" s="8">
        <f t="shared" si="3"/>
        <v>53751.259999999871</v>
      </c>
      <c r="K65" s="8">
        <f>Sheet2!E88</f>
        <v>207.11</v>
      </c>
      <c r="L65" s="8" t="str">
        <f t="shared" si="4"/>
        <v/>
      </c>
      <c r="M65" s="8"/>
    </row>
    <row r="66" spans="1:13" x14ac:dyDescent="0.35">
      <c r="A66">
        <v>1</v>
      </c>
      <c r="B66">
        <v>3</v>
      </c>
      <c r="C66" t="s">
        <v>3</v>
      </c>
      <c r="D66">
        <v>95</v>
      </c>
      <c r="E66" s="7">
        <v>42207.759375000001</v>
      </c>
      <c r="F66">
        <v>1</v>
      </c>
      <c r="G66" s="5">
        <v>150</v>
      </c>
      <c r="H66" s="12">
        <v>39.577666666666602</v>
      </c>
      <c r="I66" s="8">
        <f t="shared" si="3"/>
        <v>5936.6499999999905</v>
      </c>
      <c r="K66" s="8">
        <f>Sheet2!E89</f>
        <v>39.58</v>
      </c>
      <c r="L66" s="8" t="str">
        <f t="shared" si="4"/>
        <v/>
      </c>
      <c r="M66" s="8"/>
    </row>
    <row r="67" spans="1:13" x14ac:dyDescent="0.35">
      <c r="A67">
        <v>1</v>
      </c>
      <c r="B67">
        <v>1</v>
      </c>
      <c r="C67" t="s">
        <v>8</v>
      </c>
      <c r="D67">
        <v>100</v>
      </c>
      <c r="E67" s="7">
        <v>42279.463796296295</v>
      </c>
      <c r="F67">
        <v>1</v>
      </c>
      <c r="G67" s="5">
        <v>2879.2429999999999</v>
      </c>
      <c r="H67" s="12">
        <v>18.063202723771401</v>
      </c>
      <c r="I67" s="8">
        <f t="shared" si="3"/>
        <v>52008.349999999737</v>
      </c>
      <c r="K67" s="8">
        <f>Sheet2!E90</f>
        <v>18.059999999999999</v>
      </c>
      <c r="L67" s="8" t="str">
        <f t="shared" si="4"/>
        <v/>
      </c>
      <c r="M67" s="8"/>
    </row>
    <row r="68" spans="1:13" x14ac:dyDescent="0.35">
      <c r="A68">
        <v>1</v>
      </c>
      <c r="B68">
        <v>2</v>
      </c>
      <c r="C68" t="s">
        <v>9</v>
      </c>
      <c r="D68">
        <v>103</v>
      </c>
      <c r="E68" s="7">
        <v>42310.831203703703</v>
      </c>
      <c r="F68">
        <v>1</v>
      </c>
      <c r="G68" s="5">
        <v>1.746</v>
      </c>
      <c r="H68" s="12">
        <v>13.6483390607101</v>
      </c>
      <c r="I68" s="8">
        <f t="shared" si="3"/>
        <v>23.829999999999835</v>
      </c>
      <c r="K68" s="8">
        <f>Sheet2!E91</f>
        <v>13.65</v>
      </c>
      <c r="L68" s="8" t="str">
        <f t="shared" si="4"/>
        <v/>
      </c>
      <c r="M68" s="8"/>
    </row>
    <row r="69" spans="1:13" x14ac:dyDescent="0.35">
      <c r="A69">
        <v>1</v>
      </c>
      <c r="B69">
        <v>1</v>
      </c>
      <c r="C69" t="s">
        <v>8</v>
      </c>
      <c r="D69">
        <v>170</v>
      </c>
      <c r="E69" s="7">
        <v>43516.387719907405</v>
      </c>
      <c r="F69">
        <v>1</v>
      </c>
      <c r="G69" s="5">
        <v>44.945</v>
      </c>
      <c r="H69" s="12">
        <v>19.726199999999999</v>
      </c>
      <c r="I69" s="8">
        <f t="shared" si="3"/>
        <v>886.5940589999999</v>
      </c>
      <c r="K69" s="8">
        <f>Sheet2!E92</f>
        <v>19.73</v>
      </c>
      <c r="L69" s="8" t="str">
        <f t="shared" ref="L69:L71" si="5">IF(ROUND(H69-K69,2)=0,"",H69-K69)</f>
        <v/>
      </c>
      <c r="M69" s="8"/>
    </row>
    <row r="70" spans="1:13" x14ac:dyDescent="0.35">
      <c r="A70">
        <v>1</v>
      </c>
      <c r="B70">
        <v>16</v>
      </c>
      <c r="C70" t="s">
        <v>12</v>
      </c>
      <c r="D70">
        <v>172</v>
      </c>
      <c r="E70" s="7">
        <v>43525.444004629629</v>
      </c>
      <c r="F70">
        <v>1</v>
      </c>
      <c r="G70" s="5">
        <v>80.752799999999993</v>
      </c>
      <c r="H70" s="12">
        <v>375.55</v>
      </c>
      <c r="I70" s="8">
        <f t="shared" si="3"/>
        <v>30326.714039999999</v>
      </c>
      <c r="K70" s="8">
        <f>Sheet2!E93</f>
        <v>375.55</v>
      </c>
      <c r="L70" s="8" t="str">
        <f t="shared" si="5"/>
        <v/>
      </c>
      <c r="M70" s="8"/>
    </row>
    <row r="71" spans="1:13" x14ac:dyDescent="0.35">
      <c r="A71">
        <v>1</v>
      </c>
      <c r="B71">
        <v>4</v>
      </c>
      <c r="C71" t="s">
        <v>10</v>
      </c>
      <c r="D71">
        <v>186</v>
      </c>
      <c r="E71" s="7">
        <v>44176.608043981483</v>
      </c>
      <c r="F71">
        <v>1</v>
      </c>
      <c r="G71" s="5">
        <v>3.14</v>
      </c>
      <c r="H71" s="12">
        <v>42.410766000000002</v>
      </c>
      <c r="I71" s="8">
        <f t="shared" si="3"/>
        <v>133.16980524000002</v>
      </c>
      <c r="K71" s="8">
        <f>Sheet2!E95</f>
        <v>42.41</v>
      </c>
      <c r="L71" s="8" t="str">
        <f t="shared" si="5"/>
        <v/>
      </c>
      <c r="M71" s="8"/>
    </row>
    <row r="72" spans="1:13" x14ac:dyDescent="0.35">
      <c r="A72">
        <v>1</v>
      </c>
      <c r="B72">
        <v>3</v>
      </c>
      <c r="C72" t="s">
        <v>3</v>
      </c>
      <c r="D72">
        <v>187</v>
      </c>
      <c r="E72" s="7">
        <v>44176.609131944446</v>
      </c>
      <c r="F72">
        <v>1</v>
      </c>
      <c r="G72" s="5">
        <v>24.228999999999999</v>
      </c>
      <c r="H72" s="12">
        <v>42.515788000000001</v>
      </c>
      <c r="I72" s="8">
        <f t="shared" si="3"/>
        <v>1030.115027452</v>
      </c>
      <c r="K72" s="8">
        <f>Sheet2!E96</f>
        <v>42.52</v>
      </c>
      <c r="L72" s="8" t="str">
        <f t="shared" ref="L72:L74" si="6">IF(ROUND(H72-K72,2)=0,"",H72-K72)</f>
        <v/>
      </c>
      <c r="M72" s="8"/>
    </row>
    <row r="73" spans="1:13" x14ac:dyDescent="0.35">
      <c r="A73">
        <v>1</v>
      </c>
      <c r="B73">
        <v>15</v>
      </c>
      <c r="C73" t="s">
        <v>11</v>
      </c>
      <c r="D73">
        <v>188</v>
      </c>
      <c r="E73" s="7">
        <v>44179.382847222223</v>
      </c>
      <c r="F73">
        <v>1</v>
      </c>
      <c r="G73" s="5">
        <v>5697.4049999999997</v>
      </c>
      <c r="H73" s="12">
        <v>9.3206869999999995</v>
      </c>
      <c r="I73" s="8">
        <f t="shared" si="3"/>
        <v>53103.728717234997</v>
      </c>
      <c r="L73" s="8"/>
      <c r="M73" s="8"/>
    </row>
    <row r="74" spans="1:13" x14ac:dyDescent="0.35">
      <c r="A74">
        <v>1</v>
      </c>
      <c r="B74">
        <v>16</v>
      </c>
      <c r="C74" t="s">
        <v>12</v>
      </c>
      <c r="D74">
        <v>196</v>
      </c>
      <c r="E74" s="7">
        <v>44469.586064814815</v>
      </c>
      <c r="F74">
        <v>1</v>
      </c>
      <c r="G74" s="5">
        <v>20</v>
      </c>
      <c r="H74" s="12">
        <v>533.87</v>
      </c>
      <c r="I74" s="8">
        <f t="shared" si="3"/>
        <v>10677.4</v>
      </c>
      <c r="K74" s="8">
        <f>Sheet2!E97</f>
        <v>533.87</v>
      </c>
      <c r="L74" s="8" t="str">
        <f t="shared" si="6"/>
        <v/>
      </c>
      <c r="M74" s="8"/>
    </row>
    <row r="75" spans="1:13" x14ac:dyDescent="0.35">
      <c r="A75">
        <v>1</v>
      </c>
      <c r="B75">
        <v>27</v>
      </c>
      <c r="C75" t="s">
        <v>14</v>
      </c>
      <c r="D75">
        <v>198</v>
      </c>
      <c r="E75" s="7">
        <v>44470.940879629627</v>
      </c>
      <c r="F75">
        <v>1</v>
      </c>
      <c r="G75" s="5">
        <v>287.02999999999997</v>
      </c>
      <c r="H75" s="12">
        <v>34.770000000000003</v>
      </c>
      <c r="I75" s="8">
        <f t="shared" si="3"/>
        <v>9980.0331000000006</v>
      </c>
      <c r="K75" s="8">
        <f>Sheet2!E98</f>
        <v>34.770000000000003</v>
      </c>
      <c r="L75" s="8" t="str">
        <f t="shared" ref="L75:L90" si="7">IF(ROUND(H75-K75,2)=0,"",H75-K75)</f>
        <v/>
      </c>
      <c r="M75" s="8"/>
    </row>
    <row r="76" spans="1:13" x14ac:dyDescent="0.35">
      <c r="A76">
        <v>1</v>
      </c>
      <c r="B76">
        <v>27</v>
      </c>
      <c r="C76" t="s">
        <v>14</v>
      </c>
      <c r="D76">
        <v>200</v>
      </c>
      <c r="E76" s="7">
        <v>44473.942685185182</v>
      </c>
      <c r="F76">
        <v>1</v>
      </c>
      <c r="G76" s="5">
        <v>287.02999999999997</v>
      </c>
      <c r="H76" s="12">
        <v>34.270000000000003</v>
      </c>
      <c r="I76" s="8">
        <f t="shared" si="3"/>
        <v>9836.5180999999993</v>
      </c>
      <c r="K76" s="8">
        <f>Sheet2!E99</f>
        <v>34.270000000000003</v>
      </c>
      <c r="L76" s="8" t="str">
        <f t="shared" si="7"/>
        <v/>
      </c>
      <c r="M76" s="8"/>
    </row>
    <row r="77" spans="1:13" x14ac:dyDescent="0.35">
      <c r="A77">
        <v>1</v>
      </c>
      <c r="B77">
        <v>6</v>
      </c>
      <c r="C77" t="s">
        <v>7</v>
      </c>
      <c r="D77">
        <v>202</v>
      </c>
      <c r="E77" s="7">
        <v>44491.486944444441</v>
      </c>
      <c r="F77">
        <v>1</v>
      </c>
      <c r="G77" s="5">
        <v>22.326000000000001</v>
      </c>
      <c r="H77" s="12">
        <v>676.48</v>
      </c>
      <c r="I77" s="8">
        <f t="shared" si="3"/>
        <v>15103.092480000001</v>
      </c>
      <c r="K77" s="8">
        <f>Sheet2!E100</f>
        <v>676.48</v>
      </c>
      <c r="L77" s="8" t="str">
        <f t="shared" si="7"/>
        <v/>
      </c>
      <c r="M77" s="8"/>
    </row>
    <row r="78" spans="1:13" x14ac:dyDescent="0.35">
      <c r="A78">
        <v>1</v>
      </c>
      <c r="B78">
        <v>16</v>
      </c>
      <c r="C78" t="s">
        <v>12</v>
      </c>
      <c r="D78">
        <v>204</v>
      </c>
      <c r="E78" s="7">
        <v>44522.518993055557</v>
      </c>
      <c r="F78">
        <v>1</v>
      </c>
      <c r="G78" s="5">
        <v>35</v>
      </c>
      <c r="H78" s="12">
        <v>574.70000000000005</v>
      </c>
      <c r="I78" s="8">
        <f t="shared" si="3"/>
        <v>20114.5</v>
      </c>
      <c r="K78" s="8">
        <f>Sheet2!E101</f>
        <v>574.70000000000005</v>
      </c>
      <c r="L78" s="8" t="str">
        <f t="shared" si="7"/>
        <v/>
      </c>
      <c r="M78" s="8"/>
    </row>
    <row r="79" spans="1:13" x14ac:dyDescent="0.35">
      <c r="A79">
        <v>1</v>
      </c>
      <c r="B79">
        <v>27</v>
      </c>
      <c r="C79" t="s">
        <v>14</v>
      </c>
      <c r="D79">
        <v>216</v>
      </c>
      <c r="E79" s="7">
        <v>44720.299247685187</v>
      </c>
      <c r="F79">
        <v>1</v>
      </c>
      <c r="G79" s="5">
        <v>296.82</v>
      </c>
      <c r="H79" s="12">
        <v>33.909999999999997</v>
      </c>
      <c r="I79" s="8">
        <f t="shared" si="3"/>
        <v>10065.1662</v>
      </c>
      <c r="K79" s="8">
        <f>Sheet2!E102</f>
        <v>33.909999999999997</v>
      </c>
      <c r="L79" s="8" t="str">
        <f t="shared" si="7"/>
        <v/>
      </c>
      <c r="M79" s="8"/>
    </row>
    <row r="80" spans="1:13" x14ac:dyDescent="0.35">
      <c r="A80">
        <v>1</v>
      </c>
      <c r="B80">
        <v>16</v>
      </c>
      <c r="C80" t="s">
        <v>12</v>
      </c>
      <c r="D80">
        <v>218</v>
      </c>
      <c r="E80" s="7">
        <v>44734.476967592593</v>
      </c>
      <c r="F80">
        <v>1</v>
      </c>
      <c r="G80" s="5">
        <v>23.369900000000001</v>
      </c>
      <c r="H80" s="12">
        <v>416.92</v>
      </c>
      <c r="I80" s="8">
        <f t="shared" si="3"/>
        <v>9743.3787080000002</v>
      </c>
      <c r="K80" s="8">
        <f>Sheet2!E103</f>
        <v>416.92</v>
      </c>
      <c r="L80" s="8" t="str">
        <f t="shared" si="7"/>
        <v/>
      </c>
      <c r="M80" s="8"/>
    </row>
    <row r="81" spans="1:13" x14ac:dyDescent="0.35">
      <c r="A81">
        <v>1</v>
      </c>
      <c r="B81">
        <v>27</v>
      </c>
      <c r="C81" t="s">
        <v>14</v>
      </c>
      <c r="D81">
        <v>1227</v>
      </c>
      <c r="E81" s="7">
        <v>44831.415983796294</v>
      </c>
      <c r="F81">
        <v>1</v>
      </c>
      <c r="G81" s="5">
        <v>308.74</v>
      </c>
      <c r="H81" s="12">
        <v>32.26</v>
      </c>
      <c r="I81" s="8">
        <f t="shared" si="3"/>
        <v>9959.9524000000001</v>
      </c>
      <c r="K81" s="8">
        <f>Sheet2!E104</f>
        <v>32.26</v>
      </c>
      <c r="L81" s="8" t="str">
        <f t="shared" si="7"/>
        <v/>
      </c>
      <c r="M81" s="8"/>
    </row>
    <row r="82" spans="1:13" x14ac:dyDescent="0.35">
      <c r="A82">
        <v>1</v>
      </c>
      <c r="B82">
        <v>29</v>
      </c>
      <c r="C82" t="s">
        <v>16</v>
      </c>
      <c r="D82">
        <v>1229</v>
      </c>
      <c r="E82" s="7">
        <v>44844.783541666664</v>
      </c>
      <c r="F82">
        <v>1</v>
      </c>
      <c r="G82" s="5">
        <v>765.3691</v>
      </c>
      <c r="H82" s="12">
        <v>12.534000000000001</v>
      </c>
      <c r="I82" s="8">
        <f t="shared" si="3"/>
        <v>9593.136299400001</v>
      </c>
      <c r="K82" s="8">
        <f>Sheet2!E105</f>
        <v>12.53</v>
      </c>
      <c r="L82" s="8" t="str">
        <f t="shared" si="7"/>
        <v/>
      </c>
      <c r="M82" s="8"/>
    </row>
    <row r="83" spans="1:13" x14ac:dyDescent="0.35">
      <c r="A83">
        <v>1</v>
      </c>
      <c r="B83">
        <v>19</v>
      </c>
      <c r="C83" t="s">
        <v>13</v>
      </c>
      <c r="D83">
        <v>1230</v>
      </c>
      <c r="E83" s="7">
        <v>44855.455694444441</v>
      </c>
      <c r="F83">
        <v>1</v>
      </c>
      <c r="G83" s="5">
        <v>4.6420000000000003</v>
      </c>
      <c r="H83" s="12">
        <v>1795.80881</v>
      </c>
      <c r="I83" s="8">
        <f t="shared" si="3"/>
        <v>8336.1444960200006</v>
      </c>
      <c r="K83" s="8">
        <f>Sheet2!E106</f>
        <v>1795.81</v>
      </c>
      <c r="L83" s="8" t="str">
        <f t="shared" si="7"/>
        <v/>
      </c>
      <c r="M83" s="8"/>
    </row>
    <row r="84" spans="1:13" x14ac:dyDescent="0.35">
      <c r="A84">
        <v>1</v>
      </c>
      <c r="B84">
        <v>19</v>
      </c>
      <c r="C84" t="s">
        <v>13</v>
      </c>
      <c r="D84">
        <v>1232</v>
      </c>
      <c r="E84" s="7">
        <v>44874.431064814817</v>
      </c>
      <c r="F84">
        <v>1</v>
      </c>
      <c r="G84" s="5">
        <v>1.5290999999999999</v>
      </c>
      <c r="H84" s="12">
        <v>1796.822543</v>
      </c>
      <c r="I84" s="8">
        <f t="shared" si="3"/>
        <v>2747.5213505012998</v>
      </c>
      <c r="K84" s="8">
        <f>Sheet2!E107</f>
        <v>1796.82</v>
      </c>
      <c r="L84" s="8" t="str">
        <f t="shared" si="7"/>
        <v/>
      </c>
      <c r="M84" s="8"/>
    </row>
    <row r="85" spans="1:13" x14ac:dyDescent="0.35">
      <c r="A85">
        <v>1</v>
      </c>
      <c r="B85">
        <v>1037</v>
      </c>
      <c r="C85" t="s">
        <v>19</v>
      </c>
      <c r="D85">
        <v>1238</v>
      </c>
      <c r="E85" s="7">
        <v>44890.57309027778</v>
      </c>
      <c r="F85">
        <v>1</v>
      </c>
      <c r="G85" s="5">
        <v>810.71400000000006</v>
      </c>
      <c r="H85" s="12">
        <v>9.9658909999999992</v>
      </c>
      <c r="I85" s="8">
        <f t="shared" si="3"/>
        <v>8079.4873561739996</v>
      </c>
      <c r="K85" s="8">
        <f>Sheet2!E108</f>
        <v>9.9700000000000006</v>
      </c>
      <c r="L85" s="8" t="str">
        <f t="shared" ref="L85:L86" si="8">IF(ROUND(H85-K85,2)=0,"",H85-K85)</f>
        <v/>
      </c>
      <c r="M85" s="8"/>
    </row>
    <row r="86" spans="1:13" x14ac:dyDescent="0.35">
      <c r="A86">
        <v>1</v>
      </c>
      <c r="B86">
        <v>1036</v>
      </c>
      <c r="C86" t="s">
        <v>18</v>
      </c>
      <c r="D86">
        <v>1234</v>
      </c>
      <c r="E86" s="7">
        <v>44890.560150462959</v>
      </c>
      <c r="F86">
        <v>1</v>
      </c>
      <c r="G86" s="5">
        <v>130.13999999999999</v>
      </c>
      <c r="H86" s="12">
        <v>72.653060999999994</v>
      </c>
      <c r="I86" s="8">
        <f>G86*H86</f>
        <v>9455.0693585399986</v>
      </c>
      <c r="K86" s="8">
        <f>Sheet2!E109</f>
        <v>72.650000000000006</v>
      </c>
      <c r="L86" s="8" t="str">
        <f t="shared" si="8"/>
        <v/>
      </c>
      <c r="M86" s="8"/>
    </row>
    <row r="87" spans="1:13" x14ac:dyDescent="0.35">
      <c r="A87">
        <v>1</v>
      </c>
      <c r="B87">
        <v>1038</v>
      </c>
      <c r="C87" t="s">
        <v>20</v>
      </c>
      <c r="D87">
        <v>1240</v>
      </c>
      <c r="E87" s="7">
        <v>44938.568935185183</v>
      </c>
      <c r="F87">
        <v>1</v>
      </c>
      <c r="G87" s="5">
        <v>0.83</v>
      </c>
      <c r="H87" s="12">
        <v>3073.6091799999999</v>
      </c>
      <c r="I87" s="8">
        <f t="shared" si="3"/>
        <v>2551.0956194</v>
      </c>
      <c r="K87" s="8">
        <f>Sheet2!E110</f>
        <v>3073.61</v>
      </c>
      <c r="L87" s="8" t="str">
        <f t="shared" si="7"/>
        <v/>
      </c>
      <c r="M87" s="8"/>
    </row>
    <row r="88" spans="1:13" x14ac:dyDescent="0.35">
      <c r="A88">
        <v>1</v>
      </c>
      <c r="B88">
        <v>5</v>
      </c>
      <c r="C88" t="s">
        <v>6</v>
      </c>
      <c r="D88">
        <v>1245</v>
      </c>
      <c r="E88" s="7">
        <v>45027.468935185185</v>
      </c>
      <c r="F88">
        <v>1</v>
      </c>
      <c r="G88" s="5">
        <v>4.9976000000000003</v>
      </c>
      <c r="H88" s="12">
        <v>246.47</v>
      </c>
      <c r="I88" s="8">
        <f t="shared" si="3"/>
        <v>1231.758472</v>
      </c>
      <c r="K88" s="8">
        <f>Sheet2!E111</f>
        <v>246.47</v>
      </c>
      <c r="L88" s="8" t="str">
        <f t="shared" si="7"/>
        <v/>
      </c>
      <c r="M88" s="8"/>
    </row>
    <row r="89" spans="1:13" x14ac:dyDescent="0.35">
      <c r="A89">
        <v>1</v>
      </c>
      <c r="B89">
        <v>27</v>
      </c>
      <c r="C89" t="s">
        <v>14</v>
      </c>
      <c r="D89">
        <v>1247</v>
      </c>
      <c r="E89" s="7">
        <v>45028.470023148147</v>
      </c>
      <c r="F89">
        <v>1</v>
      </c>
      <c r="G89" s="5">
        <v>172.46</v>
      </c>
      <c r="H89" s="12">
        <v>34.47</v>
      </c>
      <c r="I89" s="8">
        <f t="shared" si="3"/>
        <v>5944.6962000000003</v>
      </c>
      <c r="K89" s="8">
        <f>Sheet2!E112</f>
        <v>34.47</v>
      </c>
      <c r="L89" s="8" t="str">
        <f t="shared" si="7"/>
        <v/>
      </c>
      <c r="M89" s="8"/>
    </row>
    <row r="90" spans="1:13" x14ac:dyDescent="0.35">
      <c r="A90">
        <v>1</v>
      </c>
      <c r="B90">
        <v>30</v>
      </c>
      <c r="C90" t="s">
        <v>17</v>
      </c>
      <c r="D90">
        <v>1249</v>
      </c>
      <c r="E90" s="7">
        <v>45043.364629629628</v>
      </c>
      <c r="F90">
        <v>1</v>
      </c>
      <c r="G90" s="5">
        <v>565.1</v>
      </c>
      <c r="H90" s="12">
        <v>18.385788999999999</v>
      </c>
      <c r="I90" s="8">
        <f t="shared" si="3"/>
        <v>10389.8093639</v>
      </c>
      <c r="K90" s="8">
        <f>Sheet2!E113</f>
        <v>18.39</v>
      </c>
      <c r="L90" s="8" t="str">
        <f t="shared" si="7"/>
        <v/>
      </c>
      <c r="M90" s="8"/>
    </row>
    <row r="91" spans="1:13" x14ac:dyDescent="0.35">
      <c r="A91">
        <v>1</v>
      </c>
      <c r="B91">
        <v>16</v>
      </c>
      <c r="C91" t="s">
        <v>12</v>
      </c>
      <c r="D91">
        <v>1252</v>
      </c>
      <c r="E91" s="7">
        <v>45054.531736111108</v>
      </c>
      <c r="F91">
        <v>1</v>
      </c>
      <c r="G91" s="5">
        <v>1.6301000000000001</v>
      </c>
      <c r="H91" s="12">
        <v>490.65</v>
      </c>
      <c r="I91" s="8">
        <f t="shared" si="3"/>
        <v>799.80856500000004</v>
      </c>
      <c r="K91" s="8">
        <f>Sheet2!E114</f>
        <v>490.65</v>
      </c>
      <c r="L91" s="8" t="str">
        <f t="shared" ref="L91:L92" si="9">IF(ROUND(H91-K91,2)=0,"",H91-K91)</f>
        <v/>
      </c>
      <c r="M91" s="8"/>
    </row>
    <row r="92" spans="1:13" x14ac:dyDescent="0.35">
      <c r="A92">
        <v>1</v>
      </c>
      <c r="B92">
        <v>27</v>
      </c>
      <c r="C92" t="s">
        <v>14</v>
      </c>
      <c r="D92">
        <v>1251</v>
      </c>
      <c r="E92" s="7">
        <v>45054.530972222223</v>
      </c>
      <c r="F92">
        <v>1</v>
      </c>
      <c r="G92" s="5">
        <v>270</v>
      </c>
      <c r="H92" s="12">
        <v>34.29</v>
      </c>
      <c r="I92" s="8">
        <f>G92*H92</f>
        <v>9258.2999999999993</v>
      </c>
      <c r="K92" s="8">
        <f>Sheet2!E115</f>
        <v>34.29</v>
      </c>
      <c r="L92" s="8" t="str">
        <f t="shared" si="9"/>
        <v/>
      </c>
      <c r="M92" s="8"/>
    </row>
    <row r="93" spans="1:13" x14ac:dyDescent="0.35">
      <c r="K93" s="8"/>
      <c r="L93" s="8"/>
      <c r="M93" s="8"/>
    </row>
  </sheetData>
  <sortState xmlns:xlrd2="http://schemas.microsoft.com/office/spreadsheetml/2017/richdata2" ref="A2:K97">
    <sortCondition descending="1" ref="F52:F97"/>
    <sortCondition ref="E52:E97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0620-6B46-4970-BACD-1F83522643B6}">
  <dimension ref="A1:H191"/>
  <sheetViews>
    <sheetView workbookViewId="0">
      <pane ySplit="1" topLeftCell="A65" activePane="bottomLeft" state="frozen"/>
      <selection pane="bottomLeft" activeCell="C79" sqref="C79"/>
    </sheetView>
  </sheetViews>
  <sheetFormatPr defaultRowHeight="14.5" x14ac:dyDescent="0.35"/>
  <cols>
    <col min="1" max="1" width="10.453125" bestFit="1" customWidth="1"/>
    <col min="2" max="2" width="30.453125" bestFit="1" customWidth="1"/>
    <col min="3" max="3" width="37.81640625" bestFit="1" customWidth="1"/>
    <col min="5" max="5" width="9.26953125" style="8" bestFit="1" customWidth="1"/>
    <col min="6" max="7" width="10.90625" style="8" bestFit="1" customWidth="1"/>
  </cols>
  <sheetData>
    <row r="1" spans="1:8" s="9" customFormat="1" x14ac:dyDescent="0.35">
      <c r="A1" s="9" t="s">
        <v>34</v>
      </c>
      <c r="B1" s="9" t="s">
        <v>35</v>
      </c>
      <c r="C1" s="9" t="s">
        <v>36</v>
      </c>
      <c r="D1" s="9" t="s">
        <v>37</v>
      </c>
      <c r="E1" s="10" t="s">
        <v>38</v>
      </c>
      <c r="F1" s="10" t="s">
        <v>39</v>
      </c>
      <c r="G1" s="10" t="s">
        <v>40</v>
      </c>
      <c r="H1" s="9" t="s">
        <v>41</v>
      </c>
    </row>
    <row r="2" spans="1:8" x14ac:dyDescent="0.35">
      <c r="A2" s="7">
        <v>41169</v>
      </c>
      <c r="B2" t="s">
        <v>42</v>
      </c>
      <c r="C2" t="s">
        <v>43</v>
      </c>
      <c r="D2">
        <v>547.65</v>
      </c>
      <c r="E2" s="11">
        <v>18.260000000000002</v>
      </c>
      <c r="F2" s="8">
        <v>-10000</v>
      </c>
      <c r="G2" s="8">
        <v>-10000</v>
      </c>
    </row>
    <row r="3" spans="1:8" x14ac:dyDescent="0.35">
      <c r="A3" s="7">
        <v>41169</v>
      </c>
      <c r="B3" t="s">
        <v>42</v>
      </c>
      <c r="C3" t="s">
        <v>44</v>
      </c>
      <c r="D3">
        <v>5006.51</v>
      </c>
      <c r="E3" s="11">
        <v>2</v>
      </c>
      <c r="F3" s="8">
        <v>-10000</v>
      </c>
      <c r="G3" s="8">
        <v>-10000</v>
      </c>
    </row>
    <row r="4" spans="1:8" x14ac:dyDescent="0.35">
      <c r="A4" s="7">
        <v>41172</v>
      </c>
      <c r="B4" t="s">
        <v>42</v>
      </c>
      <c r="C4" t="s">
        <v>46</v>
      </c>
      <c r="D4">
        <v>325.52</v>
      </c>
      <c r="E4" s="11">
        <v>30.72</v>
      </c>
      <c r="F4" s="8">
        <v>-10000.01</v>
      </c>
      <c r="G4" s="8">
        <v>-10000.01</v>
      </c>
    </row>
    <row r="5" spans="1:8" x14ac:dyDescent="0.35">
      <c r="A5" s="7">
        <v>41187</v>
      </c>
      <c r="B5" t="s">
        <v>42</v>
      </c>
      <c r="C5" t="s">
        <v>46</v>
      </c>
      <c r="D5">
        <v>1267.69</v>
      </c>
      <c r="E5" s="11">
        <v>31.55</v>
      </c>
      <c r="F5" s="8">
        <v>-39999.980000000003</v>
      </c>
      <c r="G5" s="8">
        <v>-39999.980000000003</v>
      </c>
    </row>
    <row r="6" spans="1:8" x14ac:dyDescent="0.35">
      <c r="A6" s="7">
        <v>41375</v>
      </c>
      <c r="B6" t="s">
        <v>42</v>
      </c>
      <c r="C6" t="s">
        <v>43</v>
      </c>
      <c r="D6">
        <v>1010.61</v>
      </c>
      <c r="E6" s="11">
        <v>19.79</v>
      </c>
      <c r="F6" s="8">
        <v>-19999.990000000002</v>
      </c>
      <c r="G6" s="8">
        <v>-19999.990000000002</v>
      </c>
    </row>
    <row r="7" spans="1:8" x14ac:dyDescent="0.35">
      <c r="A7" s="7">
        <v>41381</v>
      </c>
      <c r="B7" t="s">
        <v>53</v>
      </c>
      <c r="C7" t="s">
        <v>43</v>
      </c>
      <c r="D7">
        <v>12.65</v>
      </c>
      <c r="E7" s="11">
        <v>19.68</v>
      </c>
      <c r="F7" s="8">
        <v>-248.93</v>
      </c>
      <c r="G7" s="8">
        <v>0</v>
      </c>
    </row>
    <row r="8" spans="1:8" x14ac:dyDescent="0.35">
      <c r="A8" s="7">
        <v>41381</v>
      </c>
      <c r="B8" t="s">
        <v>53</v>
      </c>
      <c r="C8" t="s">
        <v>43</v>
      </c>
      <c r="D8">
        <v>68.92</v>
      </c>
      <c r="E8" s="11">
        <v>19.68</v>
      </c>
      <c r="F8" s="8">
        <v>-1356.24</v>
      </c>
      <c r="G8" s="8">
        <v>0</v>
      </c>
    </row>
    <row r="9" spans="1:8" x14ac:dyDescent="0.35">
      <c r="A9" s="7">
        <v>41381</v>
      </c>
      <c r="B9" t="s">
        <v>53</v>
      </c>
      <c r="C9" t="s">
        <v>43</v>
      </c>
      <c r="D9">
        <v>198.51</v>
      </c>
      <c r="E9" s="11">
        <v>19.68</v>
      </c>
      <c r="F9" s="8">
        <v>-3906.6</v>
      </c>
      <c r="G9" s="8">
        <v>0</v>
      </c>
    </row>
    <row r="10" spans="1:8" x14ac:dyDescent="0.35">
      <c r="A10" s="7">
        <v>41387</v>
      </c>
      <c r="B10" t="s">
        <v>53</v>
      </c>
      <c r="C10" t="s">
        <v>55</v>
      </c>
      <c r="D10">
        <v>394.85</v>
      </c>
      <c r="E10" s="11">
        <v>26.28</v>
      </c>
      <c r="F10" s="8">
        <v>-10376.299999999999</v>
      </c>
      <c r="G10" s="8">
        <v>0</v>
      </c>
    </row>
    <row r="11" spans="1:8" x14ac:dyDescent="0.35">
      <c r="A11" s="7">
        <v>41409</v>
      </c>
      <c r="B11" t="s">
        <v>42</v>
      </c>
      <c r="C11" t="s">
        <v>46</v>
      </c>
      <c r="D11">
        <v>522.37</v>
      </c>
      <c r="E11" s="11">
        <v>38.29</v>
      </c>
      <c r="F11" s="8">
        <v>-20000.02</v>
      </c>
      <c r="G11" s="8">
        <v>-20000.02</v>
      </c>
    </row>
    <row r="12" spans="1:8" x14ac:dyDescent="0.35">
      <c r="A12" s="7">
        <v>41437</v>
      </c>
      <c r="B12" t="s">
        <v>53</v>
      </c>
      <c r="D12">
        <v>1.72</v>
      </c>
      <c r="E12" s="11">
        <v>139.71</v>
      </c>
      <c r="F12" s="8">
        <v>-239.7</v>
      </c>
      <c r="G12" s="8">
        <v>0</v>
      </c>
    </row>
    <row r="13" spans="1:8" x14ac:dyDescent="0.35">
      <c r="A13" s="7">
        <v>41437</v>
      </c>
      <c r="B13" t="s">
        <v>53</v>
      </c>
      <c r="D13">
        <v>9.35</v>
      </c>
      <c r="E13" s="11">
        <v>139.71</v>
      </c>
      <c r="F13" s="8">
        <v>-1305.94</v>
      </c>
      <c r="G13" s="8">
        <v>0</v>
      </c>
    </row>
    <row r="14" spans="1:8" x14ac:dyDescent="0.35">
      <c r="A14" s="7">
        <v>41437</v>
      </c>
      <c r="B14" t="s">
        <v>53</v>
      </c>
      <c r="D14">
        <v>26.93</v>
      </c>
      <c r="E14" s="11">
        <v>139.71</v>
      </c>
      <c r="F14" s="8">
        <v>-3761.69</v>
      </c>
      <c r="G14" s="8">
        <v>0</v>
      </c>
    </row>
    <row r="15" spans="1:8" x14ac:dyDescent="0.35">
      <c r="A15" s="7">
        <v>41437</v>
      </c>
      <c r="B15" t="s">
        <v>53</v>
      </c>
      <c r="D15">
        <v>74.28</v>
      </c>
      <c r="E15" s="11">
        <v>139.71</v>
      </c>
      <c r="F15" s="8">
        <v>-10377.870000000001</v>
      </c>
      <c r="G15" s="8">
        <v>0</v>
      </c>
    </row>
    <row r="16" spans="1:8" x14ac:dyDescent="0.35">
      <c r="A16" s="7">
        <v>41437</v>
      </c>
      <c r="B16" t="s">
        <v>53</v>
      </c>
      <c r="D16">
        <v>137.08000000000001</v>
      </c>
      <c r="E16" s="11">
        <v>139.71</v>
      </c>
      <c r="F16" s="8">
        <v>-19151.080000000002</v>
      </c>
      <c r="G16" s="8">
        <v>0</v>
      </c>
    </row>
    <row r="17" spans="1:7" x14ac:dyDescent="0.35">
      <c r="A17" s="7">
        <v>41492</v>
      </c>
      <c r="B17" t="s">
        <v>53</v>
      </c>
      <c r="C17" t="s">
        <v>58</v>
      </c>
      <c r="D17">
        <v>24.04</v>
      </c>
      <c r="E17" s="11">
        <v>250.44</v>
      </c>
      <c r="F17" s="8">
        <v>-6020.89</v>
      </c>
      <c r="G17" s="8">
        <v>0</v>
      </c>
    </row>
    <row r="18" spans="1:7" x14ac:dyDescent="0.35">
      <c r="A18" s="7">
        <v>41492</v>
      </c>
      <c r="B18" t="s">
        <v>53</v>
      </c>
      <c r="C18" t="s">
        <v>58</v>
      </c>
      <c r="D18">
        <v>0.05</v>
      </c>
      <c r="E18" s="11">
        <v>250.44</v>
      </c>
      <c r="F18" s="8">
        <v>-12.67</v>
      </c>
      <c r="G18" s="8">
        <v>0</v>
      </c>
    </row>
    <row r="19" spans="1:7" x14ac:dyDescent="0.35">
      <c r="A19" s="7">
        <v>41519</v>
      </c>
      <c r="B19" t="s">
        <v>42</v>
      </c>
      <c r="C19" t="s">
        <v>59</v>
      </c>
      <c r="D19">
        <v>58.5</v>
      </c>
      <c r="E19" s="11">
        <v>17.09</v>
      </c>
      <c r="F19" s="8">
        <v>-999.99</v>
      </c>
      <c r="G19" s="8">
        <v>-999.99</v>
      </c>
    </row>
    <row r="20" spans="1:7" x14ac:dyDescent="0.35">
      <c r="A20" s="7">
        <v>41530</v>
      </c>
      <c r="B20" t="s">
        <v>42</v>
      </c>
      <c r="C20" t="s">
        <v>60</v>
      </c>
      <c r="D20">
        <v>76.75</v>
      </c>
      <c r="E20" s="11">
        <v>13.03</v>
      </c>
      <c r="F20" s="8">
        <v>-1000</v>
      </c>
      <c r="G20" s="8">
        <v>-1000</v>
      </c>
    </row>
    <row r="21" spans="1:7" x14ac:dyDescent="0.35">
      <c r="A21" s="7">
        <v>41554</v>
      </c>
      <c r="B21" t="s">
        <v>42</v>
      </c>
      <c r="C21" t="s">
        <v>61</v>
      </c>
      <c r="D21">
        <v>28.28</v>
      </c>
      <c r="E21" s="11">
        <v>35.36</v>
      </c>
      <c r="F21" s="8">
        <v>-999.9</v>
      </c>
      <c r="G21" s="8">
        <v>-999.9</v>
      </c>
    </row>
    <row r="22" spans="1:7" x14ac:dyDescent="0.35">
      <c r="A22" s="7">
        <v>41563</v>
      </c>
      <c r="B22" t="s">
        <v>42</v>
      </c>
      <c r="C22" t="s">
        <v>61</v>
      </c>
      <c r="D22">
        <v>134.86000000000001</v>
      </c>
      <c r="E22" s="11">
        <v>37.08</v>
      </c>
      <c r="F22" s="8">
        <v>-5000.1099999999997</v>
      </c>
      <c r="G22" s="8">
        <v>-5000.1099999999997</v>
      </c>
    </row>
    <row r="23" spans="1:7" x14ac:dyDescent="0.35">
      <c r="A23" s="7">
        <v>41669</v>
      </c>
      <c r="B23" t="s">
        <v>53</v>
      </c>
      <c r="C23" t="s">
        <v>58</v>
      </c>
      <c r="D23">
        <v>3.14</v>
      </c>
      <c r="E23" s="11">
        <v>304.86</v>
      </c>
      <c r="F23" s="8">
        <v>-958.5</v>
      </c>
      <c r="G23" s="8">
        <v>0</v>
      </c>
    </row>
    <row r="24" spans="1:7" x14ac:dyDescent="0.35">
      <c r="A24" s="7">
        <v>41793</v>
      </c>
      <c r="B24" t="s">
        <v>53</v>
      </c>
      <c r="C24" t="s">
        <v>59</v>
      </c>
      <c r="D24">
        <v>16.170000000000002</v>
      </c>
      <c r="E24" s="11">
        <v>18.25</v>
      </c>
      <c r="F24" s="8">
        <v>-295.17</v>
      </c>
      <c r="G24" s="8">
        <v>0</v>
      </c>
    </row>
    <row r="25" spans="1:7" x14ac:dyDescent="0.35">
      <c r="A25" s="7">
        <v>41793</v>
      </c>
      <c r="B25" t="s">
        <v>53</v>
      </c>
      <c r="C25" t="s">
        <v>59</v>
      </c>
      <c r="D25">
        <v>88.12</v>
      </c>
      <c r="E25" s="11">
        <v>18.25</v>
      </c>
      <c r="F25" s="8">
        <v>-1608.14</v>
      </c>
      <c r="G25" s="8">
        <v>0</v>
      </c>
    </row>
    <row r="26" spans="1:7" x14ac:dyDescent="0.35">
      <c r="A26" s="7">
        <v>41793</v>
      </c>
      <c r="B26" t="s">
        <v>53</v>
      </c>
      <c r="C26" t="s">
        <v>59</v>
      </c>
      <c r="D26">
        <v>253.82</v>
      </c>
      <c r="E26" s="11">
        <v>18.25</v>
      </c>
      <c r="F26" s="8">
        <v>-4632.18</v>
      </c>
      <c r="G26" s="8">
        <v>0</v>
      </c>
    </row>
    <row r="27" spans="1:7" x14ac:dyDescent="0.35">
      <c r="A27" s="7">
        <v>41793</v>
      </c>
      <c r="B27" t="s">
        <v>53</v>
      </c>
      <c r="C27" t="s">
        <v>59</v>
      </c>
      <c r="D27">
        <v>700.25</v>
      </c>
      <c r="E27" s="11">
        <v>18.25</v>
      </c>
      <c r="F27" s="8">
        <v>-12779.39</v>
      </c>
      <c r="G27" s="8">
        <v>0</v>
      </c>
    </row>
    <row r="28" spans="1:7" x14ac:dyDescent="0.35">
      <c r="A28" s="7">
        <v>41793</v>
      </c>
      <c r="B28" t="s">
        <v>53</v>
      </c>
      <c r="C28" t="s">
        <v>59</v>
      </c>
      <c r="D28">
        <v>1288.96</v>
      </c>
      <c r="E28" s="11">
        <v>18.25</v>
      </c>
      <c r="F28" s="8">
        <v>-23523.08</v>
      </c>
      <c r="G28" s="8">
        <v>0</v>
      </c>
    </row>
    <row r="29" spans="1:7" x14ac:dyDescent="0.35">
      <c r="A29" s="7">
        <v>41976</v>
      </c>
      <c r="B29" t="s">
        <v>53</v>
      </c>
      <c r="D29">
        <v>1.78</v>
      </c>
      <c r="E29" s="11">
        <v>168.57</v>
      </c>
      <c r="F29" s="8">
        <v>-299.62</v>
      </c>
      <c r="G29" s="8">
        <v>0</v>
      </c>
    </row>
    <row r="30" spans="1:7" x14ac:dyDescent="0.35">
      <c r="A30" s="7">
        <v>41976</v>
      </c>
      <c r="B30" t="s">
        <v>53</v>
      </c>
      <c r="D30">
        <v>9.68</v>
      </c>
      <c r="E30" s="11">
        <v>168.57</v>
      </c>
      <c r="F30" s="8">
        <v>-1632.36</v>
      </c>
      <c r="G30" s="8">
        <v>0</v>
      </c>
    </row>
    <row r="31" spans="1:7" x14ac:dyDescent="0.35">
      <c r="A31" s="7">
        <v>41976</v>
      </c>
      <c r="B31" t="s">
        <v>53</v>
      </c>
      <c r="D31">
        <v>27.89</v>
      </c>
      <c r="E31" s="11">
        <v>168.57</v>
      </c>
      <c r="F31" s="8">
        <v>-4701.93</v>
      </c>
      <c r="G31" s="8">
        <v>0</v>
      </c>
    </row>
    <row r="32" spans="1:7" x14ac:dyDescent="0.35">
      <c r="A32" s="7">
        <v>41976</v>
      </c>
      <c r="B32" t="s">
        <v>53</v>
      </c>
      <c r="D32">
        <v>76.95</v>
      </c>
      <c r="E32" s="11">
        <v>168.57</v>
      </c>
      <c r="F32" s="8">
        <v>-12971.84</v>
      </c>
      <c r="G32" s="8">
        <v>0</v>
      </c>
    </row>
    <row r="33" spans="1:7" x14ac:dyDescent="0.35">
      <c r="A33" s="7">
        <v>41976</v>
      </c>
      <c r="B33" t="s">
        <v>53</v>
      </c>
      <c r="D33">
        <v>141.65</v>
      </c>
      <c r="E33" s="11">
        <v>168.57</v>
      </c>
      <c r="F33" s="8">
        <v>-23877.3</v>
      </c>
      <c r="G33" s="8">
        <v>0</v>
      </c>
    </row>
    <row r="34" spans="1:7" x14ac:dyDescent="0.35">
      <c r="A34" s="7">
        <v>41976</v>
      </c>
      <c r="B34" t="s">
        <v>53</v>
      </c>
      <c r="D34">
        <v>6.23</v>
      </c>
      <c r="E34" s="11">
        <v>168.57</v>
      </c>
      <c r="F34" s="8">
        <v>-1049.8599999999999</v>
      </c>
      <c r="G34" s="8">
        <v>0</v>
      </c>
    </row>
    <row r="35" spans="1:7" x14ac:dyDescent="0.35">
      <c r="A35" s="7">
        <v>42046</v>
      </c>
      <c r="B35" t="s">
        <v>53</v>
      </c>
      <c r="C35" t="s">
        <v>46</v>
      </c>
      <c r="D35">
        <v>174.23</v>
      </c>
      <c r="E35" s="11">
        <v>39.43</v>
      </c>
      <c r="F35" s="8">
        <v>-6869.7</v>
      </c>
      <c r="G35" s="8">
        <v>0</v>
      </c>
    </row>
    <row r="36" spans="1:7" x14ac:dyDescent="0.35">
      <c r="A36" s="7">
        <v>42202</v>
      </c>
      <c r="B36" t="s">
        <v>53</v>
      </c>
      <c r="C36" t="s">
        <v>59</v>
      </c>
      <c r="D36">
        <v>20.010000000000002</v>
      </c>
      <c r="E36" s="11">
        <v>18.39</v>
      </c>
      <c r="F36" s="8">
        <v>-368.12</v>
      </c>
      <c r="G36" s="8">
        <v>0</v>
      </c>
    </row>
    <row r="37" spans="1:7" x14ac:dyDescent="0.35">
      <c r="A37" s="7">
        <v>42202</v>
      </c>
      <c r="B37" t="s">
        <v>53</v>
      </c>
      <c r="C37" t="s">
        <v>59</v>
      </c>
      <c r="D37">
        <v>109.04</v>
      </c>
      <c r="E37" s="11">
        <v>18.39</v>
      </c>
      <c r="F37" s="8">
        <v>-2005.57</v>
      </c>
      <c r="G37" s="8">
        <v>0</v>
      </c>
    </row>
    <row r="38" spans="1:7" x14ac:dyDescent="0.35">
      <c r="A38" s="7">
        <v>42202</v>
      </c>
      <c r="B38" t="s">
        <v>53</v>
      </c>
      <c r="C38" t="s">
        <v>59</v>
      </c>
      <c r="D38">
        <v>314.08</v>
      </c>
      <c r="E38" s="11">
        <v>18.39</v>
      </c>
      <c r="F38" s="8">
        <v>-5776.92</v>
      </c>
      <c r="G38" s="8">
        <v>0</v>
      </c>
    </row>
    <row r="39" spans="1:7" x14ac:dyDescent="0.35">
      <c r="A39" s="7">
        <v>42202</v>
      </c>
      <c r="B39" t="s">
        <v>53</v>
      </c>
      <c r="C39" t="s">
        <v>59</v>
      </c>
      <c r="D39">
        <v>866.5</v>
      </c>
      <c r="E39" s="11">
        <v>18.39</v>
      </c>
      <c r="F39" s="8">
        <v>-15937.59</v>
      </c>
      <c r="G39" s="8">
        <v>0</v>
      </c>
    </row>
    <row r="40" spans="1:7" x14ac:dyDescent="0.35">
      <c r="A40" s="7">
        <v>42202</v>
      </c>
      <c r="B40" t="s">
        <v>53</v>
      </c>
      <c r="C40" t="s">
        <v>59</v>
      </c>
      <c r="D40">
        <v>1594.96</v>
      </c>
      <c r="E40" s="11">
        <v>18.39</v>
      </c>
      <c r="F40" s="8">
        <v>-29336.35</v>
      </c>
      <c r="G40" s="8">
        <v>0</v>
      </c>
    </row>
    <row r="41" spans="1:7" x14ac:dyDescent="0.35">
      <c r="A41" s="7">
        <v>42202</v>
      </c>
      <c r="B41" t="s">
        <v>53</v>
      </c>
      <c r="C41" t="s">
        <v>59</v>
      </c>
      <c r="D41">
        <v>13.86</v>
      </c>
      <c r="E41" s="11">
        <v>18.39</v>
      </c>
      <c r="F41" s="8">
        <v>-254.83</v>
      </c>
      <c r="G41" s="8">
        <v>0</v>
      </c>
    </row>
    <row r="42" spans="1:7" x14ac:dyDescent="0.35">
      <c r="A42" s="7">
        <v>42202</v>
      </c>
      <c r="B42" t="s">
        <v>53</v>
      </c>
      <c r="C42" t="s">
        <v>59</v>
      </c>
      <c r="D42">
        <v>3.91</v>
      </c>
      <c r="E42" s="11">
        <v>18.39</v>
      </c>
      <c r="F42" s="8">
        <v>-71.89</v>
      </c>
      <c r="G42" s="8">
        <v>0</v>
      </c>
    </row>
    <row r="43" spans="1:7" x14ac:dyDescent="0.35">
      <c r="A43" s="7">
        <v>42208</v>
      </c>
      <c r="B43" t="s">
        <v>53</v>
      </c>
      <c r="C43" t="s">
        <v>58</v>
      </c>
      <c r="D43">
        <v>10.039999999999999</v>
      </c>
      <c r="E43" s="11">
        <v>591.15</v>
      </c>
      <c r="F43" s="8">
        <v>-5936.64</v>
      </c>
      <c r="G43" s="8">
        <v>0</v>
      </c>
    </row>
    <row r="44" spans="1:7" x14ac:dyDescent="0.35">
      <c r="A44" s="7">
        <v>42219</v>
      </c>
      <c r="B44" t="s">
        <v>42</v>
      </c>
      <c r="C44" t="s">
        <v>64</v>
      </c>
      <c r="D44">
        <v>112.25</v>
      </c>
      <c r="E44" s="11">
        <v>8.91</v>
      </c>
      <c r="F44" s="8">
        <v>-1000</v>
      </c>
      <c r="G44" s="8">
        <v>-1000</v>
      </c>
    </row>
    <row r="45" spans="1:7" x14ac:dyDescent="0.35">
      <c r="A45" s="7">
        <v>42284</v>
      </c>
      <c r="B45" t="s">
        <v>53</v>
      </c>
      <c r="D45">
        <v>1.1200000000000001</v>
      </c>
      <c r="E45" s="11">
        <v>323.52999999999997</v>
      </c>
      <c r="F45" s="8">
        <v>-361.52</v>
      </c>
      <c r="G45" s="8">
        <v>0</v>
      </c>
    </row>
    <row r="46" spans="1:7" x14ac:dyDescent="0.35">
      <c r="A46" s="7">
        <v>42284</v>
      </c>
      <c r="B46" t="s">
        <v>53</v>
      </c>
      <c r="D46">
        <v>6.09</v>
      </c>
      <c r="E46" s="11">
        <v>323.52999999999997</v>
      </c>
      <c r="F46" s="8">
        <v>-1969.59</v>
      </c>
      <c r="G46" s="8">
        <v>0</v>
      </c>
    </row>
    <row r="47" spans="1:7" x14ac:dyDescent="0.35">
      <c r="A47" s="7">
        <v>42284</v>
      </c>
      <c r="B47" t="s">
        <v>53</v>
      </c>
      <c r="D47">
        <v>17.54</v>
      </c>
      <c r="E47" s="11">
        <v>323.52999999999997</v>
      </c>
      <c r="F47" s="8">
        <v>-5673.31</v>
      </c>
      <c r="G47" s="8">
        <v>0</v>
      </c>
    </row>
    <row r="48" spans="1:7" x14ac:dyDescent="0.35">
      <c r="A48" s="7">
        <v>42284</v>
      </c>
      <c r="B48" t="s">
        <v>53</v>
      </c>
      <c r="D48">
        <v>48.38</v>
      </c>
      <c r="E48" s="11">
        <v>323.52999999999997</v>
      </c>
      <c r="F48" s="8">
        <v>-15651.73</v>
      </c>
      <c r="G48" s="8">
        <v>0</v>
      </c>
    </row>
    <row r="49" spans="1:7" x14ac:dyDescent="0.35">
      <c r="A49" s="7">
        <v>42284</v>
      </c>
      <c r="B49" t="s">
        <v>53</v>
      </c>
      <c r="D49">
        <v>87.42</v>
      </c>
      <c r="E49" s="11">
        <v>323.52999999999997</v>
      </c>
      <c r="F49" s="8">
        <v>-28281.59</v>
      </c>
      <c r="G49" s="8">
        <v>0</v>
      </c>
    </row>
    <row r="50" spans="1:7" x14ac:dyDescent="0.35">
      <c r="A50" s="7">
        <v>42284</v>
      </c>
      <c r="B50" t="s">
        <v>53</v>
      </c>
      <c r="D50">
        <v>0.22</v>
      </c>
      <c r="E50" s="11">
        <v>323.52999999999997</v>
      </c>
      <c r="F50" s="8">
        <v>-70.61</v>
      </c>
      <c r="G50" s="8">
        <v>0</v>
      </c>
    </row>
    <row r="51" spans="1:7" x14ac:dyDescent="0.35">
      <c r="A51" s="7">
        <v>42311</v>
      </c>
      <c r="B51" t="s">
        <v>53</v>
      </c>
      <c r="C51" t="s">
        <v>58</v>
      </c>
      <c r="D51">
        <v>0.05</v>
      </c>
      <c r="E51" s="11">
        <v>507.43</v>
      </c>
      <c r="F51" s="8">
        <v>-23.83</v>
      </c>
      <c r="G51" s="8">
        <v>0</v>
      </c>
    </row>
    <row r="52" spans="1:7" x14ac:dyDescent="0.35">
      <c r="A52" s="7">
        <v>42387</v>
      </c>
      <c r="B52" t="s">
        <v>42</v>
      </c>
      <c r="C52" t="s">
        <v>13</v>
      </c>
      <c r="D52">
        <v>0.54</v>
      </c>
      <c r="E52" s="11">
        <v>1860.41</v>
      </c>
      <c r="F52" s="8">
        <v>-1000</v>
      </c>
      <c r="G52" s="8">
        <v>-1000</v>
      </c>
    </row>
    <row r="53" spans="1:7" x14ac:dyDescent="0.35">
      <c r="A53" s="7">
        <v>42387</v>
      </c>
      <c r="B53" t="s">
        <v>42</v>
      </c>
      <c r="C53" t="s">
        <v>13</v>
      </c>
      <c r="D53">
        <v>0.54</v>
      </c>
      <c r="E53" s="11">
        <v>1860.41</v>
      </c>
      <c r="F53" s="8">
        <v>-1000</v>
      </c>
      <c r="G53" s="8">
        <v>-1000</v>
      </c>
    </row>
    <row r="54" spans="1:7" x14ac:dyDescent="0.35">
      <c r="A54" s="7">
        <v>42387</v>
      </c>
      <c r="B54" t="s">
        <v>42</v>
      </c>
      <c r="C54" t="s">
        <v>13</v>
      </c>
      <c r="D54">
        <v>0.54</v>
      </c>
      <c r="E54" s="11">
        <v>0</v>
      </c>
      <c r="F54" s="8">
        <v>-1000</v>
      </c>
      <c r="G54" s="8">
        <v>-1000</v>
      </c>
    </row>
    <row r="55" spans="1:7" x14ac:dyDescent="0.35">
      <c r="A55" s="7">
        <v>42635</v>
      </c>
      <c r="B55" t="s">
        <v>42</v>
      </c>
      <c r="C55" t="s">
        <v>64</v>
      </c>
      <c r="D55">
        <v>5585.16</v>
      </c>
      <c r="E55" s="11">
        <v>8.9499999999999993</v>
      </c>
      <c r="F55" s="8">
        <v>-50000</v>
      </c>
      <c r="G55" s="8">
        <v>-50000</v>
      </c>
    </row>
    <row r="56" spans="1:7" x14ac:dyDescent="0.35">
      <c r="A56" s="7">
        <v>43516</v>
      </c>
      <c r="B56" t="s">
        <v>53</v>
      </c>
      <c r="C56" t="s">
        <v>13</v>
      </c>
      <c r="D56">
        <v>0.47</v>
      </c>
      <c r="E56" s="11">
        <v>1895.25</v>
      </c>
      <c r="F56" s="8">
        <v>-886.59</v>
      </c>
      <c r="G56" s="8">
        <v>0</v>
      </c>
    </row>
    <row r="57" spans="1:7" x14ac:dyDescent="0.35">
      <c r="A57" s="7">
        <v>43525</v>
      </c>
      <c r="B57" t="s">
        <v>53</v>
      </c>
      <c r="C57" t="s">
        <v>69</v>
      </c>
      <c r="D57">
        <v>1778.69</v>
      </c>
      <c r="E57" s="11">
        <v>17.05</v>
      </c>
      <c r="F57" s="8">
        <v>-30326.71</v>
      </c>
      <c r="G57" s="8">
        <v>0</v>
      </c>
    </row>
    <row r="58" spans="1:7" x14ac:dyDescent="0.35">
      <c r="A58" s="7">
        <v>44473</v>
      </c>
      <c r="B58" t="s">
        <v>53</v>
      </c>
      <c r="C58" t="s">
        <v>70</v>
      </c>
      <c r="D58">
        <v>24.54</v>
      </c>
      <c r="E58" s="11">
        <v>435.1</v>
      </c>
      <c r="F58" s="8">
        <v>-10677.4</v>
      </c>
      <c r="G58" s="8">
        <v>0</v>
      </c>
    </row>
    <row r="59" spans="1:7" x14ac:dyDescent="0.35">
      <c r="A59" s="7">
        <v>44476</v>
      </c>
      <c r="B59" t="s">
        <v>53</v>
      </c>
      <c r="C59" t="s">
        <v>16</v>
      </c>
      <c r="D59">
        <v>765.37</v>
      </c>
      <c r="E59" s="11">
        <v>13.04</v>
      </c>
      <c r="F59" s="8">
        <v>-9980.0300000000007</v>
      </c>
      <c r="G59" s="8">
        <v>0</v>
      </c>
    </row>
    <row r="60" spans="1:7" x14ac:dyDescent="0.35">
      <c r="A60" s="7">
        <v>44477</v>
      </c>
      <c r="B60" t="s">
        <v>53</v>
      </c>
      <c r="C60" t="s">
        <v>13</v>
      </c>
      <c r="D60">
        <v>5.17</v>
      </c>
      <c r="E60" s="11">
        <v>1904.16</v>
      </c>
      <c r="F60" s="8">
        <v>-9836.52</v>
      </c>
      <c r="G60" s="8">
        <v>0</v>
      </c>
    </row>
    <row r="61" spans="1:7" x14ac:dyDescent="0.35">
      <c r="A61" s="7">
        <v>44496</v>
      </c>
      <c r="B61" t="s">
        <v>53</v>
      </c>
      <c r="C61" t="s">
        <v>70</v>
      </c>
      <c r="D61">
        <v>34.72</v>
      </c>
      <c r="E61" s="11">
        <v>434.94</v>
      </c>
      <c r="F61" s="8">
        <v>-15102.95</v>
      </c>
      <c r="G61" s="8">
        <v>0</v>
      </c>
    </row>
    <row r="62" spans="1:7" x14ac:dyDescent="0.35">
      <c r="A62" s="7">
        <v>44524</v>
      </c>
      <c r="B62" t="s">
        <v>53</v>
      </c>
      <c r="C62" t="s">
        <v>70</v>
      </c>
      <c r="D62">
        <v>46.27</v>
      </c>
      <c r="E62" s="11">
        <v>434.76</v>
      </c>
      <c r="F62" s="8">
        <v>-20114.509999999998</v>
      </c>
      <c r="G62" s="8">
        <v>0</v>
      </c>
    </row>
    <row r="63" spans="1:7" x14ac:dyDescent="0.35">
      <c r="A63" s="7">
        <v>44725</v>
      </c>
      <c r="B63" t="s">
        <v>53</v>
      </c>
      <c r="C63" t="s">
        <v>70</v>
      </c>
      <c r="D63">
        <v>23.23</v>
      </c>
      <c r="E63" s="11">
        <v>433.29</v>
      </c>
      <c r="F63" s="8">
        <v>-10065.36</v>
      </c>
      <c r="G63" s="8">
        <v>0</v>
      </c>
    </row>
    <row r="64" spans="1:7" x14ac:dyDescent="0.35">
      <c r="A64" s="7">
        <v>44736</v>
      </c>
      <c r="B64" t="s">
        <v>53</v>
      </c>
      <c r="C64" t="s">
        <v>17</v>
      </c>
      <c r="D64">
        <v>565.1</v>
      </c>
      <c r="E64" s="11">
        <v>17.239999999999998</v>
      </c>
      <c r="F64" s="8">
        <v>-9743.43</v>
      </c>
      <c r="G64" s="8">
        <v>0</v>
      </c>
    </row>
    <row r="65" spans="1:8" x14ac:dyDescent="0.35">
      <c r="A65" s="7">
        <v>44832</v>
      </c>
      <c r="B65" t="s">
        <v>53</v>
      </c>
      <c r="C65" t="s">
        <v>18</v>
      </c>
      <c r="D65">
        <v>130.13999999999999</v>
      </c>
      <c r="E65" s="11">
        <v>76.53</v>
      </c>
      <c r="F65" s="8">
        <v>-9959.94</v>
      </c>
      <c r="G65" s="8">
        <v>0</v>
      </c>
    </row>
    <row r="66" spans="1:8" x14ac:dyDescent="0.35">
      <c r="A66" s="7">
        <v>44858</v>
      </c>
      <c r="B66" t="s">
        <v>53</v>
      </c>
      <c r="C66" t="s">
        <v>72</v>
      </c>
      <c r="D66">
        <v>810.71</v>
      </c>
      <c r="E66" s="11">
        <v>10.28</v>
      </c>
      <c r="F66" s="8">
        <v>-8336.14</v>
      </c>
      <c r="G66" s="8">
        <v>0</v>
      </c>
    </row>
    <row r="67" spans="1:8" x14ac:dyDescent="0.35">
      <c r="A67" s="7">
        <v>44875</v>
      </c>
      <c r="B67" t="s">
        <v>53</v>
      </c>
      <c r="C67" t="s">
        <v>73</v>
      </c>
      <c r="D67">
        <v>0.83</v>
      </c>
      <c r="E67" s="11">
        <v>3308.42</v>
      </c>
      <c r="F67" s="8">
        <v>-2745.99</v>
      </c>
      <c r="G67" s="8">
        <v>0</v>
      </c>
    </row>
    <row r="68" spans="1:8" x14ac:dyDescent="0.35">
      <c r="A68" s="7">
        <v>44890</v>
      </c>
      <c r="B68" t="s">
        <v>53</v>
      </c>
      <c r="C68" t="s">
        <v>70</v>
      </c>
      <c r="D68">
        <v>18.64</v>
      </c>
      <c r="E68" s="11">
        <v>433.52</v>
      </c>
      <c r="F68" s="8">
        <v>-8079.49</v>
      </c>
      <c r="G68" s="8">
        <v>0</v>
      </c>
    </row>
    <row r="69" spans="1:8" x14ac:dyDescent="0.35">
      <c r="A69" s="7">
        <v>44890</v>
      </c>
      <c r="B69" t="s">
        <v>53</v>
      </c>
      <c r="C69" t="s">
        <v>70</v>
      </c>
      <c r="D69">
        <v>21.81</v>
      </c>
      <c r="E69" s="11">
        <v>433.52</v>
      </c>
      <c r="F69" s="8">
        <v>-9455.07</v>
      </c>
      <c r="G69" s="8">
        <v>0</v>
      </c>
    </row>
    <row r="70" spans="1:8" x14ac:dyDescent="0.35">
      <c r="A70" s="7">
        <v>44938</v>
      </c>
      <c r="B70" t="s">
        <v>53</v>
      </c>
      <c r="C70" t="s">
        <v>70</v>
      </c>
      <c r="D70">
        <v>5.87</v>
      </c>
      <c r="E70" s="11">
        <v>434.43</v>
      </c>
      <c r="F70" s="8">
        <v>-2551.09</v>
      </c>
      <c r="G70" s="8">
        <v>0</v>
      </c>
    </row>
    <row r="71" spans="1:8" x14ac:dyDescent="0.35">
      <c r="A71" s="7">
        <v>45028</v>
      </c>
      <c r="B71" t="s">
        <v>53</v>
      </c>
      <c r="C71" t="s">
        <v>74</v>
      </c>
      <c r="D71">
        <v>0.33</v>
      </c>
      <c r="E71" s="11">
        <v>3700.36</v>
      </c>
      <c r="F71" s="8">
        <v>-1231.75</v>
      </c>
      <c r="G71" s="8">
        <v>0</v>
      </c>
    </row>
    <row r="72" spans="1:8" x14ac:dyDescent="0.35">
      <c r="A72" s="7">
        <v>45029</v>
      </c>
      <c r="B72" t="s">
        <v>53</v>
      </c>
      <c r="C72" t="s">
        <v>75</v>
      </c>
      <c r="D72">
        <v>187.71</v>
      </c>
      <c r="E72" s="11">
        <v>31.67</v>
      </c>
      <c r="F72" s="8">
        <v>-5944.78</v>
      </c>
      <c r="G72" s="8">
        <v>0</v>
      </c>
    </row>
    <row r="73" spans="1:8" x14ac:dyDescent="0.35">
      <c r="A73" s="7">
        <v>45044</v>
      </c>
      <c r="B73" t="s">
        <v>53</v>
      </c>
      <c r="C73" t="s">
        <v>74</v>
      </c>
      <c r="D73">
        <v>2.8</v>
      </c>
      <c r="E73" s="11">
        <v>3705.25</v>
      </c>
      <c r="F73" s="8">
        <v>-10389.52</v>
      </c>
      <c r="G73" s="8">
        <v>0</v>
      </c>
    </row>
    <row r="74" spans="1:8" x14ac:dyDescent="0.35">
      <c r="A74" s="7">
        <v>45061</v>
      </c>
      <c r="B74" t="s">
        <v>42</v>
      </c>
      <c r="C74" t="s">
        <v>76</v>
      </c>
      <c r="D74">
        <v>8.41</v>
      </c>
      <c r="E74" s="11">
        <v>118.91</v>
      </c>
      <c r="F74" s="8">
        <v>-1000</v>
      </c>
      <c r="G74" s="8">
        <v>-1000</v>
      </c>
    </row>
    <row r="75" spans="1:8" x14ac:dyDescent="0.35">
      <c r="A75" s="7">
        <v>45069</v>
      </c>
      <c r="B75" t="s">
        <v>42</v>
      </c>
      <c r="C75" t="s">
        <v>76</v>
      </c>
      <c r="D75">
        <v>74.8</v>
      </c>
      <c r="E75" s="11">
        <v>120.32</v>
      </c>
      <c r="F75" s="8">
        <v>-9000</v>
      </c>
      <c r="G75" s="8">
        <v>-9000</v>
      </c>
    </row>
    <row r="77" spans="1:8" x14ac:dyDescent="0.35">
      <c r="A77" s="7">
        <v>41386</v>
      </c>
      <c r="B77" t="s">
        <v>54</v>
      </c>
      <c r="C77" t="s">
        <v>44</v>
      </c>
      <c r="D77">
        <v>5006.51</v>
      </c>
      <c r="E77" s="11">
        <v>2.0699999999999998</v>
      </c>
      <c r="F77" s="8">
        <v>10376.299999999999</v>
      </c>
      <c r="G77" s="8">
        <v>0</v>
      </c>
      <c r="H77">
        <v>376.3</v>
      </c>
    </row>
    <row r="78" spans="1:8" x14ac:dyDescent="0.35">
      <c r="A78" s="7">
        <v>41432</v>
      </c>
      <c r="B78" t="s">
        <v>56</v>
      </c>
      <c r="C78" t="s">
        <v>55</v>
      </c>
      <c r="D78">
        <v>394.85</v>
      </c>
      <c r="E78" s="11">
        <v>24.61</v>
      </c>
      <c r="F78" s="8">
        <v>9716.73</v>
      </c>
      <c r="G78" s="8">
        <v>9716.73</v>
      </c>
      <c r="H78">
        <v>-659.57</v>
      </c>
    </row>
    <row r="79" spans="1:8" x14ac:dyDescent="0.35">
      <c r="A79" s="7">
        <v>41436</v>
      </c>
      <c r="B79" t="s">
        <v>56</v>
      </c>
      <c r="C79" t="s">
        <v>46</v>
      </c>
      <c r="D79">
        <v>1415.58</v>
      </c>
      <c r="E79" s="11">
        <v>34.68</v>
      </c>
      <c r="F79" s="8">
        <v>49092.77</v>
      </c>
      <c r="G79" s="8">
        <v>48106.28</v>
      </c>
      <c r="H79">
        <v>2254.25</v>
      </c>
    </row>
    <row r="80" spans="1:8" x14ac:dyDescent="0.35">
      <c r="A80" s="7">
        <v>41436</v>
      </c>
      <c r="B80" t="s">
        <v>54</v>
      </c>
      <c r="C80" t="s">
        <v>43</v>
      </c>
      <c r="D80">
        <v>1838.33</v>
      </c>
      <c r="E80" s="11">
        <v>18.95</v>
      </c>
      <c r="F80" s="8">
        <v>34836.28</v>
      </c>
      <c r="G80" s="8">
        <v>0</v>
      </c>
      <c r="H80">
        <v>-675.48</v>
      </c>
    </row>
    <row r="81" spans="1:8" x14ac:dyDescent="0.35">
      <c r="A81" s="7">
        <v>41491</v>
      </c>
      <c r="B81" t="s">
        <v>54</v>
      </c>
      <c r="C81" t="s">
        <v>46</v>
      </c>
      <c r="D81">
        <v>178</v>
      </c>
      <c r="E81" s="11">
        <v>33.9</v>
      </c>
      <c r="F81" s="8">
        <v>6033.57</v>
      </c>
      <c r="G81" s="8">
        <v>0</v>
      </c>
      <c r="H81">
        <v>143.91999999999999</v>
      </c>
    </row>
    <row r="82" spans="1:8" x14ac:dyDescent="0.35">
      <c r="A82" s="7">
        <v>41506</v>
      </c>
      <c r="B82" t="s">
        <v>56</v>
      </c>
      <c r="C82" t="s">
        <v>46</v>
      </c>
      <c r="D82">
        <v>522</v>
      </c>
      <c r="E82" s="11">
        <v>32.47</v>
      </c>
      <c r="F82" s="8">
        <v>16949.560000000001</v>
      </c>
      <c r="G82" s="8">
        <v>16949.560000000001</v>
      </c>
      <c r="H82">
        <v>-322.27</v>
      </c>
    </row>
    <row r="83" spans="1:8" x14ac:dyDescent="0.35">
      <c r="A83" s="7">
        <v>41638</v>
      </c>
      <c r="B83" t="s">
        <v>56</v>
      </c>
      <c r="C83" t="s">
        <v>61</v>
      </c>
      <c r="D83">
        <v>160</v>
      </c>
      <c r="E83" s="11">
        <v>30.95</v>
      </c>
      <c r="F83" s="8">
        <v>4951.6400000000003</v>
      </c>
      <c r="G83" s="8">
        <v>4951.6400000000003</v>
      </c>
      <c r="H83">
        <v>-932.89</v>
      </c>
    </row>
    <row r="84" spans="1:8" x14ac:dyDescent="0.35">
      <c r="A84" s="7">
        <v>41668</v>
      </c>
      <c r="B84" t="s">
        <v>54</v>
      </c>
      <c r="C84" t="s">
        <v>60</v>
      </c>
      <c r="D84">
        <v>75</v>
      </c>
      <c r="E84" s="11">
        <v>12.78</v>
      </c>
      <c r="F84" s="8">
        <v>958.5</v>
      </c>
      <c r="G84" s="8">
        <v>0</v>
      </c>
      <c r="H84">
        <v>-18.75</v>
      </c>
    </row>
    <row r="85" spans="1:8" x14ac:dyDescent="0.35">
      <c r="A85" s="7">
        <v>41792</v>
      </c>
      <c r="B85" t="s">
        <v>54</v>
      </c>
      <c r="D85">
        <v>249</v>
      </c>
      <c r="E85" s="11">
        <v>172.04</v>
      </c>
      <c r="F85" s="8">
        <v>42837.96</v>
      </c>
      <c r="G85" s="8">
        <v>0</v>
      </c>
      <c r="H85">
        <v>8050.17</v>
      </c>
    </row>
    <row r="86" spans="1:8" x14ac:dyDescent="0.35">
      <c r="A86" s="7">
        <v>41971</v>
      </c>
      <c r="B86" t="s">
        <v>54</v>
      </c>
      <c r="C86" t="s">
        <v>59</v>
      </c>
      <c r="D86">
        <v>2404</v>
      </c>
      <c r="E86" s="11">
        <v>18.52</v>
      </c>
      <c r="F86" s="8">
        <v>44532.9</v>
      </c>
      <c r="G86" s="8">
        <v>0</v>
      </c>
      <c r="H86">
        <v>728.26</v>
      </c>
    </row>
    <row r="87" spans="1:8" x14ac:dyDescent="0.35">
      <c r="A87" s="7">
        <v>42044</v>
      </c>
      <c r="B87" t="s">
        <v>54</v>
      </c>
      <c r="C87" t="s">
        <v>58</v>
      </c>
      <c r="D87">
        <v>15</v>
      </c>
      <c r="E87" s="11">
        <v>457.98</v>
      </c>
      <c r="F87" s="8">
        <v>6869.7</v>
      </c>
      <c r="G87" s="8">
        <v>0</v>
      </c>
      <c r="H87">
        <v>3018.87</v>
      </c>
    </row>
    <row r="88" spans="1:8" x14ac:dyDescent="0.35">
      <c r="A88" s="7">
        <v>42201</v>
      </c>
      <c r="B88" t="s">
        <v>54</v>
      </c>
      <c r="D88">
        <v>259.52999999999997</v>
      </c>
      <c r="E88" s="11">
        <v>207.11</v>
      </c>
      <c r="F88" s="8">
        <v>53751.26</v>
      </c>
      <c r="G88" s="8">
        <v>0</v>
      </c>
      <c r="H88">
        <v>10012.11</v>
      </c>
    </row>
    <row r="89" spans="1:8" x14ac:dyDescent="0.35">
      <c r="A89" s="7">
        <v>42207</v>
      </c>
      <c r="B89" t="s">
        <v>54</v>
      </c>
      <c r="C89" t="s">
        <v>46</v>
      </c>
      <c r="D89">
        <v>150</v>
      </c>
      <c r="E89" s="11">
        <v>39.58</v>
      </c>
      <c r="F89" s="8">
        <v>5936.65</v>
      </c>
      <c r="G89" s="8">
        <v>0</v>
      </c>
      <c r="H89">
        <v>22.29</v>
      </c>
    </row>
    <row r="90" spans="1:8" x14ac:dyDescent="0.35">
      <c r="A90" s="7">
        <v>42279</v>
      </c>
      <c r="B90" t="s">
        <v>54</v>
      </c>
      <c r="C90" t="s">
        <v>59</v>
      </c>
      <c r="D90">
        <v>2879.24</v>
      </c>
      <c r="E90" s="11">
        <v>18.059999999999999</v>
      </c>
      <c r="F90" s="8">
        <v>52008.34</v>
      </c>
      <c r="G90" s="8">
        <v>0</v>
      </c>
      <c r="H90">
        <v>-949.57</v>
      </c>
    </row>
    <row r="91" spans="1:8" x14ac:dyDescent="0.35">
      <c r="A91" s="7">
        <v>42310</v>
      </c>
      <c r="B91" t="s">
        <v>54</v>
      </c>
      <c r="C91" t="s">
        <v>60</v>
      </c>
      <c r="D91">
        <v>1.75</v>
      </c>
      <c r="E91" s="11">
        <v>13.65</v>
      </c>
      <c r="F91" s="8">
        <v>23.83</v>
      </c>
      <c r="G91" s="8">
        <v>0</v>
      </c>
      <c r="H91">
        <v>1.07</v>
      </c>
    </row>
    <row r="92" spans="1:8" x14ac:dyDescent="0.35">
      <c r="A92" s="7">
        <v>43510</v>
      </c>
      <c r="B92" t="s">
        <v>54</v>
      </c>
      <c r="C92" t="s">
        <v>59</v>
      </c>
      <c r="D92">
        <v>44.95</v>
      </c>
      <c r="E92" s="11">
        <v>19.73</v>
      </c>
      <c r="F92" s="8">
        <v>886.59</v>
      </c>
      <c r="G92" s="8">
        <v>0</v>
      </c>
    </row>
    <row r="93" spans="1:8" x14ac:dyDescent="0.35">
      <c r="A93" s="7">
        <v>43524</v>
      </c>
      <c r="B93" t="s">
        <v>54</v>
      </c>
      <c r="C93" t="s">
        <v>68</v>
      </c>
      <c r="D93">
        <v>80.75</v>
      </c>
      <c r="E93" s="11">
        <v>375.55</v>
      </c>
      <c r="F93" s="8">
        <v>30326.71</v>
      </c>
      <c r="G93" s="8">
        <v>0</v>
      </c>
    </row>
    <row r="94" spans="1:8" x14ac:dyDescent="0.35">
      <c r="A94" s="7">
        <v>44176</v>
      </c>
      <c r="B94" t="s">
        <v>56</v>
      </c>
      <c r="C94" t="s">
        <v>64</v>
      </c>
      <c r="D94">
        <v>5697.41</v>
      </c>
      <c r="E94" s="11">
        <v>9.32</v>
      </c>
      <c r="F94" s="8">
        <v>53103.73</v>
      </c>
      <c r="G94" s="8">
        <v>52704.02</v>
      </c>
      <c r="H94">
        <v>2103.7399999999998</v>
      </c>
    </row>
    <row r="95" spans="1:8" x14ac:dyDescent="0.35">
      <c r="A95" s="7">
        <v>44176</v>
      </c>
      <c r="B95" t="s">
        <v>56</v>
      </c>
      <c r="C95" t="s">
        <v>61</v>
      </c>
      <c r="D95">
        <v>3.14</v>
      </c>
      <c r="E95" s="11">
        <v>42.41</v>
      </c>
      <c r="F95" s="8">
        <v>133.16999999999999</v>
      </c>
      <c r="G95" s="8">
        <v>129.99</v>
      </c>
      <c r="H95">
        <v>16.75</v>
      </c>
    </row>
    <row r="96" spans="1:8" x14ac:dyDescent="0.35">
      <c r="A96" s="7">
        <v>44176</v>
      </c>
      <c r="B96" t="s">
        <v>56</v>
      </c>
      <c r="C96" t="s">
        <v>46</v>
      </c>
      <c r="D96">
        <v>24.23</v>
      </c>
      <c r="E96" s="11">
        <v>42.52</v>
      </c>
      <c r="F96" s="8">
        <v>1030.1199999999999</v>
      </c>
      <c r="G96" s="8">
        <v>926.79</v>
      </c>
      <c r="H96">
        <v>543.82000000000005</v>
      </c>
    </row>
    <row r="97" spans="1:8" x14ac:dyDescent="0.35">
      <c r="A97" s="7">
        <v>44469</v>
      </c>
      <c r="B97" t="s">
        <v>54</v>
      </c>
      <c r="C97" t="s">
        <v>68</v>
      </c>
      <c r="D97">
        <v>20</v>
      </c>
      <c r="E97" s="11">
        <v>533.87</v>
      </c>
      <c r="F97" s="8">
        <v>10677.4</v>
      </c>
      <c r="G97" s="8">
        <v>0</v>
      </c>
    </row>
    <row r="98" spans="1:8" x14ac:dyDescent="0.35">
      <c r="A98" s="7">
        <v>44470</v>
      </c>
      <c r="B98" t="s">
        <v>54</v>
      </c>
      <c r="C98" t="s">
        <v>69</v>
      </c>
      <c r="D98">
        <v>287.02999999999997</v>
      </c>
      <c r="E98" s="11">
        <v>34.770000000000003</v>
      </c>
      <c r="F98" s="8">
        <v>9980.0300000000007</v>
      </c>
      <c r="G98" s="8">
        <v>0</v>
      </c>
    </row>
    <row r="99" spans="1:8" x14ac:dyDescent="0.35">
      <c r="A99" s="7">
        <v>44473</v>
      </c>
      <c r="B99" t="s">
        <v>54</v>
      </c>
      <c r="C99" t="s">
        <v>69</v>
      </c>
      <c r="D99">
        <v>287.02999999999997</v>
      </c>
      <c r="E99" s="11">
        <v>34.270000000000003</v>
      </c>
      <c r="F99" s="8">
        <v>9836.52</v>
      </c>
      <c r="G99" s="8">
        <v>0</v>
      </c>
    </row>
    <row r="100" spans="1:8" x14ac:dyDescent="0.35">
      <c r="A100" s="7">
        <v>44491</v>
      </c>
      <c r="B100" t="s">
        <v>54</v>
      </c>
      <c r="C100" t="s">
        <v>58</v>
      </c>
      <c r="D100">
        <v>22.33</v>
      </c>
      <c r="E100" s="11">
        <v>676.48</v>
      </c>
      <c r="F100" s="8">
        <v>15103.09</v>
      </c>
      <c r="G100" s="8">
        <v>0</v>
      </c>
    </row>
    <row r="101" spans="1:8" x14ac:dyDescent="0.35">
      <c r="A101" s="7">
        <v>44522</v>
      </c>
      <c r="B101" t="s">
        <v>54</v>
      </c>
      <c r="C101" t="s">
        <v>68</v>
      </c>
      <c r="D101">
        <v>35</v>
      </c>
      <c r="E101" s="11">
        <v>574.70000000000005</v>
      </c>
      <c r="F101" s="8">
        <v>20114.5</v>
      </c>
      <c r="G101" s="8">
        <v>0</v>
      </c>
    </row>
    <row r="102" spans="1:8" x14ac:dyDescent="0.35">
      <c r="A102" s="7">
        <v>44720</v>
      </c>
      <c r="B102" t="s">
        <v>54</v>
      </c>
      <c r="C102" t="s">
        <v>69</v>
      </c>
      <c r="D102">
        <v>296.82</v>
      </c>
      <c r="E102" s="11">
        <v>33.909999999999997</v>
      </c>
      <c r="F102" s="8">
        <v>10065.17</v>
      </c>
      <c r="G102" s="8">
        <v>0</v>
      </c>
    </row>
    <row r="103" spans="1:8" x14ac:dyDescent="0.35">
      <c r="A103" s="7">
        <v>44734</v>
      </c>
      <c r="B103" t="s">
        <v>54</v>
      </c>
      <c r="C103" t="s">
        <v>68</v>
      </c>
      <c r="D103">
        <v>23.37</v>
      </c>
      <c r="E103" s="11">
        <v>416.92</v>
      </c>
      <c r="F103" s="8">
        <v>9743.3799999999992</v>
      </c>
      <c r="G103" s="8">
        <v>0</v>
      </c>
    </row>
    <row r="104" spans="1:8" x14ac:dyDescent="0.35">
      <c r="A104" s="7">
        <v>44831</v>
      </c>
      <c r="B104" t="s">
        <v>54</v>
      </c>
      <c r="C104" t="s">
        <v>69</v>
      </c>
      <c r="D104">
        <v>308.74</v>
      </c>
      <c r="E104" s="11">
        <v>32.26</v>
      </c>
      <c r="F104" s="8">
        <v>9959.9500000000007</v>
      </c>
      <c r="G104" s="8">
        <v>0</v>
      </c>
    </row>
    <row r="105" spans="1:8" x14ac:dyDescent="0.35">
      <c r="A105" s="7">
        <v>44841</v>
      </c>
      <c r="B105" t="s">
        <v>56</v>
      </c>
      <c r="C105" t="s">
        <v>16</v>
      </c>
      <c r="D105">
        <v>765.37</v>
      </c>
      <c r="E105" s="11">
        <v>12.53</v>
      </c>
      <c r="F105" s="8">
        <v>9593.14</v>
      </c>
      <c r="G105" s="8">
        <v>9467.66</v>
      </c>
      <c r="H105">
        <v>660.43</v>
      </c>
    </row>
    <row r="106" spans="1:8" x14ac:dyDescent="0.35">
      <c r="A106" s="7">
        <v>44852</v>
      </c>
      <c r="B106" t="s">
        <v>54</v>
      </c>
      <c r="C106" t="s">
        <v>13</v>
      </c>
      <c r="D106">
        <v>4.6399999999999997</v>
      </c>
      <c r="E106" s="11">
        <v>1795.81</v>
      </c>
      <c r="F106" s="8">
        <v>8336.14</v>
      </c>
      <c r="G106" s="8">
        <v>0</v>
      </c>
    </row>
    <row r="107" spans="1:8" x14ac:dyDescent="0.35">
      <c r="A107" s="7">
        <v>44869</v>
      </c>
      <c r="B107" t="s">
        <v>54</v>
      </c>
      <c r="C107" t="s">
        <v>13</v>
      </c>
      <c r="D107">
        <v>1.53</v>
      </c>
      <c r="E107" s="11">
        <v>1796.82</v>
      </c>
      <c r="F107" s="8">
        <v>2747.55</v>
      </c>
      <c r="G107" s="8">
        <v>0</v>
      </c>
    </row>
    <row r="108" spans="1:8" x14ac:dyDescent="0.35">
      <c r="A108" s="7">
        <v>44886</v>
      </c>
      <c r="B108" t="s">
        <v>54</v>
      </c>
      <c r="C108" t="s">
        <v>72</v>
      </c>
      <c r="D108">
        <v>810.71</v>
      </c>
      <c r="E108" s="11">
        <v>9.9700000000000006</v>
      </c>
      <c r="F108" s="8">
        <v>8079.49</v>
      </c>
      <c r="G108" s="8">
        <v>0</v>
      </c>
    </row>
    <row r="109" spans="1:8" x14ac:dyDescent="0.35">
      <c r="A109" s="7">
        <v>44886</v>
      </c>
      <c r="B109" t="s">
        <v>54</v>
      </c>
      <c r="C109" t="s">
        <v>18</v>
      </c>
      <c r="D109">
        <v>130.13999999999999</v>
      </c>
      <c r="E109" s="11">
        <v>72.650000000000006</v>
      </c>
      <c r="F109" s="8">
        <v>9455.07</v>
      </c>
      <c r="G109" s="8">
        <v>0</v>
      </c>
    </row>
    <row r="110" spans="1:8" x14ac:dyDescent="0.35">
      <c r="A110" s="7">
        <v>44937</v>
      </c>
      <c r="B110" t="s">
        <v>54</v>
      </c>
      <c r="C110" t="s">
        <v>73</v>
      </c>
      <c r="D110">
        <v>0.83</v>
      </c>
      <c r="E110" s="11">
        <v>3073.61</v>
      </c>
      <c r="F110" s="8">
        <v>2551.09</v>
      </c>
      <c r="G110" s="8">
        <v>0</v>
      </c>
    </row>
    <row r="111" spans="1:8" x14ac:dyDescent="0.35">
      <c r="A111" s="7">
        <v>45027</v>
      </c>
      <c r="B111" t="s">
        <v>54</v>
      </c>
      <c r="C111" t="s">
        <v>6</v>
      </c>
      <c r="D111">
        <v>5</v>
      </c>
      <c r="E111" s="11">
        <v>246.47</v>
      </c>
      <c r="F111" s="8">
        <v>1231.75</v>
      </c>
      <c r="G111" s="8">
        <v>0</v>
      </c>
    </row>
    <row r="112" spans="1:8" x14ac:dyDescent="0.35">
      <c r="A112" s="7">
        <v>45028</v>
      </c>
      <c r="B112" t="s">
        <v>54</v>
      </c>
      <c r="C112" t="s">
        <v>69</v>
      </c>
      <c r="D112">
        <v>172.46</v>
      </c>
      <c r="E112" s="11">
        <v>34.47</v>
      </c>
      <c r="F112" s="8">
        <v>5944.7</v>
      </c>
      <c r="G112" s="8">
        <v>0</v>
      </c>
    </row>
    <row r="113" spans="1:8" x14ac:dyDescent="0.35">
      <c r="A113" s="7">
        <v>45043</v>
      </c>
      <c r="B113" t="s">
        <v>54</v>
      </c>
      <c r="C113" t="s">
        <v>17</v>
      </c>
      <c r="D113">
        <v>565.1</v>
      </c>
      <c r="E113" s="11">
        <v>18.39</v>
      </c>
      <c r="F113" s="8">
        <v>10389.81</v>
      </c>
      <c r="G113" s="8">
        <v>0</v>
      </c>
    </row>
    <row r="114" spans="1:8" x14ac:dyDescent="0.35">
      <c r="A114" s="7">
        <v>45054</v>
      </c>
      <c r="B114" t="s">
        <v>56</v>
      </c>
      <c r="C114" t="s">
        <v>68</v>
      </c>
      <c r="D114">
        <v>1.63</v>
      </c>
      <c r="E114" s="11">
        <v>490.65</v>
      </c>
      <c r="F114" s="8">
        <v>799.81</v>
      </c>
      <c r="G114" s="8">
        <v>717.23</v>
      </c>
      <c r="H114">
        <v>434.63</v>
      </c>
    </row>
    <row r="115" spans="1:8" x14ac:dyDescent="0.35">
      <c r="A115" s="7">
        <v>45054</v>
      </c>
      <c r="B115" t="s">
        <v>56</v>
      </c>
      <c r="C115" t="s">
        <v>69</v>
      </c>
      <c r="D115">
        <v>270</v>
      </c>
      <c r="E115" s="11">
        <v>34.29</v>
      </c>
      <c r="F115" s="8">
        <v>9258.2999999999993</v>
      </c>
      <c r="G115" s="8">
        <v>7982.72</v>
      </c>
      <c r="H115">
        <v>6713.6</v>
      </c>
    </row>
    <row r="116" spans="1:8" x14ac:dyDescent="0.35">
      <c r="A116" s="7"/>
    </row>
    <row r="118" spans="1:8" x14ac:dyDescent="0.35">
      <c r="A118" s="7">
        <v>44496</v>
      </c>
      <c r="B118" t="s">
        <v>71</v>
      </c>
      <c r="D118">
        <v>0</v>
      </c>
      <c r="E118" s="8">
        <v>0</v>
      </c>
      <c r="F118" s="8">
        <v>0.14000000000000001</v>
      </c>
      <c r="G118" s="8">
        <v>0.14000000000000001</v>
      </c>
    </row>
    <row r="119" spans="1:8" x14ac:dyDescent="0.35">
      <c r="A119" s="7">
        <v>44833</v>
      </c>
      <c r="B119" t="s">
        <v>71</v>
      </c>
      <c r="D119">
        <v>0</v>
      </c>
      <c r="E119" s="8">
        <v>0</v>
      </c>
      <c r="F119" s="8">
        <v>0.01</v>
      </c>
      <c r="G119" s="8">
        <v>0.01</v>
      </c>
    </row>
    <row r="120" spans="1:8" x14ac:dyDescent="0.35">
      <c r="A120" s="7">
        <v>44876</v>
      </c>
      <c r="B120" t="s">
        <v>71</v>
      </c>
      <c r="D120">
        <v>0</v>
      </c>
      <c r="E120" s="8">
        <v>0</v>
      </c>
      <c r="F120" s="8">
        <v>1.55</v>
      </c>
      <c r="G120" s="8">
        <v>1.55</v>
      </c>
    </row>
    <row r="121" spans="1:8" x14ac:dyDescent="0.35">
      <c r="A121" s="7">
        <v>45048</v>
      </c>
      <c r="B121" t="s">
        <v>71</v>
      </c>
      <c r="D121">
        <v>0</v>
      </c>
      <c r="E121" s="8">
        <v>0</v>
      </c>
      <c r="F121" s="8">
        <v>0.28999999999999998</v>
      </c>
      <c r="G121" s="8">
        <v>0.28999999999999998</v>
      </c>
    </row>
    <row r="122" spans="1:8" x14ac:dyDescent="0.35">
      <c r="A122" s="7">
        <v>42277</v>
      </c>
      <c r="B122" t="s">
        <v>65</v>
      </c>
      <c r="D122">
        <v>5</v>
      </c>
      <c r="E122" s="8">
        <v>0</v>
      </c>
      <c r="F122" s="8">
        <v>-5</v>
      </c>
      <c r="G122" s="8">
        <v>-4.32</v>
      </c>
    </row>
    <row r="123" spans="1:8" x14ac:dyDescent="0.35">
      <c r="A123" s="7">
        <v>41225</v>
      </c>
      <c r="B123" t="s">
        <v>50</v>
      </c>
      <c r="D123">
        <v>21.84</v>
      </c>
      <c r="E123" s="8">
        <v>0</v>
      </c>
      <c r="F123" s="8">
        <v>-12002.49</v>
      </c>
      <c r="G123" s="8">
        <v>0</v>
      </c>
    </row>
    <row r="124" spans="1:8" x14ac:dyDescent="0.35">
      <c r="A124" s="7">
        <v>41225</v>
      </c>
      <c r="B124" t="s">
        <v>50</v>
      </c>
      <c r="D124">
        <v>21.84</v>
      </c>
      <c r="E124" s="8">
        <v>0</v>
      </c>
      <c r="F124" s="8">
        <v>-12002.49</v>
      </c>
      <c r="G124" s="8">
        <v>0</v>
      </c>
    </row>
    <row r="125" spans="1:8" x14ac:dyDescent="0.35">
      <c r="A125" s="7">
        <v>41225</v>
      </c>
      <c r="B125" t="s">
        <v>51</v>
      </c>
      <c r="D125">
        <v>2.1800000000000002</v>
      </c>
      <c r="E125" s="8">
        <v>0</v>
      </c>
      <c r="F125" s="8">
        <v>12002.5</v>
      </c>
      <c r="G125" s="8">
        <v>0</v>
      </c>
    </row>
    <row r="126" spans="1:8" x14ac:dyDescent="0.35">
      <c r="A126" s="7">
        <v>41225</v>
      </c>
      <c r="B126" t="s">
        <v>51</v>
      </c>
      <c r="D126">
        <v>2.1800000000000002</v>
      </c>
      <c r="E126" s="8">
        <v>0</v>
      </c>
      <c r="F126" s="8">
        <v>12002.5</v>
      </c>
      <c r="G126" s="8">
        <v>0</v>
      </c>
    </row>
    <row r="127" spans="1:8" x14ac:dyDescent="0.35">
      <c r="A127" s="7">
        <v>42387</v>
      </c>
      <c r="B127" t="s">
        <v>66</v>
      </c>
      <c r="C127" t="s">
        <v>13</v>
      </c>
      <c r="D127">
        <v>0.54</v>
      </c>
      <c r="E127" s="8">
        <v>0</v>
      </c>
      <c r="F127" s="8">
        <v>1000</v>
      </c>
      <c r="G127" s="8">
        <v>1000</v>
      </c>
    </row>
    <row r="128" spans="1:8" x14ac:dyDescent="0.35">
      <c r="A128" s="7">
        <v>42387</v>
      </c>
      <c r="B128" t="s">
        <v>66</v>
      </c>
      <c r="C128" t="s">
        <v>13</v>
      </c>
      <c r="D128">
        <v>0.54</v>
      </c>
      <c r="E128" s="8">
        <v>1860.41</v>
      </c>
      <c r="F128" s="8">
        <v>1000</v>
      </c>
      <c r="G128" s="8">
        <v>1000</v>
      </c>
    </row>
    <row r="129" spans="1:7" x14ac:dyDescent="0.35">
      <c r="A129" s="7">
        <v>41864</v>
      </c>
      <c r="B129" t="s">
        <v>63</v>
      </c>
      <c r="D129">
        <v>0</v>
      </c>
      <c r="E129" s="8">
        <v>0</v>
      </c>
      <c r="F129" s="8">
        <v>11.72</v>
      </c>
      <c r="G129" s="8">
        <v>11.72</v>
      </c>
    </row>
    <row r="130" spans="1:7" x14ac:dyDescent="0.35">
      <c r="A130" s="7">
        <v>41975</v>
      </c>
      <c r="B130" t="s">
        <v>63</v>
      </c>
      <c r="D130">
        <v>0</v>
      </c>
      <c r="E130" s="8">
        <v>0</v>
      </c>
      <c r="F130" s="8">
        <v>0.01</v>
      </c>
      <c r="G130" s="8">
        <v>0.01</v>
      </c>
    </row>
    <row r="131" spans="1:7" x14ac:dyDescent="0.35">
      <c r="A131" s="7">
        <v>42325</v>
      </c>
      <c r="B131" t="s">
        <v>63</v>
      </c>
      <c r="D131">
        <v>0</v>
      </c>
      <c r="E131" s="8">
        <v>0</v>
      </c>
      <c r="F131" s="8">
        <v>0.38</v>
      </c>
      <c r="G131" s="8">
        <v>0.38</v>
      </c>
    </row>
    <row r="132" spans="1:7" x14ac:dyDescent="0.35">
      <c r="A132" s="7">
        <v>41201</v>
      </c>
      <c r="B132" t="s">
        <v>47</v>
      </c>
      <c r="D132">
        <v>2.1800000000000002</v>
      </c>
      <c r="E132" s="8">
        <v>5495.65</v>
      </c>
      <c r="F132" s="8">
        <v>-12002.5</v>
      </c>
      <c r="G132" s="8">
        <v>-12002.5</v>
      </c>
    </row>
    <row r="133" spans="1:7" x14ac:dyDescent="0.35">
      <c r="A133" s="7">
        <v>41851</v>
      </c>
      <c r="B133" t="s">
        <v>62</v>
      </c>
      <c r="C133" t="s">
        <v>61</v>
      </c>
      <c r="D133">
        <v>3.14</v>
      </c>
      <c r="E133" s="8">
        <v>0</v>
      </c>
      <c r="F133" s="8">
        <v>1.3</v>
      </c>
      <c r="G133" s="8">
        <v>1.03</v>
      </c>
    </row>
    <row r="134" spans="1:7" x14ac:dyDescent="0.35">
      <c r="A134" s="7">
        <v>42217</v>
      </c>
      <c r="B134" t="s">
        <v>62</v>
      </c>
      <c r="C134" t="s">
        <v>61</v>
      </c>
      <c r="D134">
        <v>3.14</v>
      </c>
      <c r="E134" s="8">
        <v>0</v>
      </c>
      <c r="F134" s="8">
        <v>1.72</v>
      </c>
      <c r="G134" s="8">
        <v>1.38</v>
      </c>
    </row>
    <row r="135" spans="1:7" x14ac:dyDescent="0.35">
      <c r="A135" s="7">
        <v>42277</v>
      </c>
      <c r="B135" t="s">
        <v>62</v>
      </c>
      <c r="D135">
        <v>5</v>
      </c>
      <c r="E135" s="8">
        <v>0</v>
      </c>
      <c r="F135" s="8">
        <v>5.74</v>
      </c>
      <c r="G135" s="8">
        <v>4.32</v>
      </c>
    </row>
    <row r="136" spans="1:7" x14ac:dyDescent="0.35">
      <c r="A136" s="7">
        <v>42582</v>
      </c>
      <c r="B136" t="s">
        <v>62</v>
      </c>
      <c r="C136" t="s">
        <v>61</v>
      </c>
      <c r="D136">
        <v>3.14</v>
      </c>
      <c r="E136" s="8">
        <v>0</v>
      </c>
      <c r="F136" s="8">
        <v>1.56</v>
      </c>
      <c r="G136" s="8">
        <v>1.25</v>
      </c>
    </row>
    <row r="137" spans="1:7" x14ac:dyDescent="0.35">
      <c r="A137" s="7">
        <v>42947</v>
      </c>
      <c r="B137" t="s">
        <v>62</v>
      </c>
      <c r="C137" t="s">
        <v>61</v>
      </c>
      <c r="D137">
        <v>3.14</v>
      </c>
      <c r="E137" s="8">
        <v>0</v>
      </c>
      <c r="F137" s="8">
        <v>1.38</v>
      </c>
      <c r="G137" s="8">
        <v>1.1200000000000001</v>
      </c>
    </row>
    <row r="138" spans="1:7" x14ac:dyDescent="0.35">
      <c r="A138" s="7">
        <v>43313</v>
      </c>
      <c r="B138" t="s">
        <v>62</v>
      </c>
      <c r="C138" t="s">
        <v>61</v>
      </c>
      <c r="D138">
        <v>3.14</v>
      </c>
      <c r="E138" s="8">
        <v>0</v>
      </c>
      <c r="F138" s="8">
        <v>1.57</v>
      </c>
      <c r="G138" s="8">
        <v>1.27</v>
      </c>
    </row>
    <row r="139" spans="1:7" x14ac:dyDescent="0.35">
      <c r="A139" s="7">
        <v>43678</v>
      </c>
      <c r="B139" t="s">
        <v>62</v>
      </c>
      <c r="C139" t="s">
        <v>61</v>
      </c>
      <c r="D139">
        <v>3.14</v>
      </c>
      <c r="E139" s="8">
        <v>0</v>
      </c>
      <c r="F139" s="8">
        <v>1.53</v>
      </c>
      <c r="G139" s="8">
        <v>1.24</v>
      </c>
    </row>
    <row r="140" spans="1:7" x14ac:dyDescent="0.35">
      <c r="A140" s="7">
        <v>44043</v>
      </c>
      <c r="B140" t="s">
        <v>62</v>
      </c>
      <c r="C140" t="s">
        <v>61</v>
      </c>
      <c r="D140">
        <v>3.14</v>
      </c>
      <c r="E140" s="8">
        <v>0.5</v>
      </c>
      <c r="F140" s="8">
        <v>1.57</v>
      </c>
      <c r="G140" s="8">
        <v>1.27</v>
      </c>
    </row>
    <row r="141" spans="1:7" x14ac:dyDescent="0.35">
      <c r="A141" s="7">
        <v>41225</v>
      </c>
      <c r="B141" t="s">
        <v>49</v>
      </c>
      <c r="D141">
        <v>21.84</v>
      </c>
      <c r="E141" s="8">
        <v>549.55999999999995</v>
      </c>
      <c r="F141" s="8">
        <v>12002.49</v>
      </c>
      <c r="G141" s="8">
        <v>0</v>
      </c>
    </row>
    <row r="142" spans="1:7" x14ac:dyDescent="0.35">
      <c r="A142" s="7">
        <v>41225</v>
      </c>
      <c r="B142" t="s">
        <v>49</v>
      </c>
      <c r="D142">
        <v>21.84</v>
      </c>
      <c r="E142" s="8">
        <v>549.55999999999995</v>
      </c>
      <c r="F142" s="8">
        <v>12002.49</v>
      </c>
      <c r="G142" s="8">
        <v>0</v>
      </c>
    </row>
    <row r="143" spans="1:7" x14ac:dyDescent="0.35">
      <c r="A143" s="7">
        <v>41225</v>
      </c>
      <c r="B143" t="s">
        <v>49</v>
      </c>
      <c r="D143">
        <v>21.84</v>
      </c>
      <c r="E143" s="8">
        <v>549.55999999999995</v>
      </c>
      <c r="F143" s="8">
        <v>12002.49</v>
      </c>
      <c r="G143" s="8">
        <v>0</v>
      </c>
    </row>
    <row r="144" spans="1:7" x14ac:dyDescent="0.35">
      <c r="A144" s="7">
        <v>42698</v>
      </c>
      <c r="B144" t="s">
        <v>67</v>
      </c>
      <c r="D144">
        <v>0</v>
      </c>
      <c r="E144" s="8">
        <v>0</v>
      </c>
      <c r="F144" s="8">
        <v>13.6</v>
      </c>
      <c r="G144" s="8">
        <v>13.6</v>
      </c>
    </row>
    <row r="145" spans="1:7" x14ac:dyDescent="0.35">
      <c r="A145" s="7">
        <v>42698</v>
      </c>
      <c r="B145" t="s">
        <v>67</v>
      </c>
      <c r="D145">
        <v>0</v>
      </c>
      <c r="E145" s="8">
        <v>0</v>
      </c>
      <c r="F145" s="8">
        <v>0.32</v>
      </c>
      <c r="G145" s="8">
        <v>0.32</v>
      </c>
    </row>
    <row r="146" spans="1:7" x14ac:dyDescent="0.35">
      <c r="A146" s="7">
        <v>41225</v>
      </c>
      <c r="B146" t="s">
        <v>52</v>
      </c>
      <c r="D146">
        <v>2.1800000000000002</v>
      </c>
      <c r="E146" s="8">
        <v>5495.65</v>
      </c>
      <c r="F146" s="8">
        <v>-12002.5</v>
      </c>
      <c r="G146" s="8">
        <v>0</v>
      </c>
    </row>
    <row r="147" spans="1:7" x14ac:dyDescent="0.35">
      <c r="A147" s="7">
        <v>41225</v>
      </c>
      <c r="B147" t="s">
        <v>52</v>
      </c>
      <c r="D147">
        <v>2.1800000000000002</v>
      </c>
      <c r="E147" s="8">
        <v>5495.65</v>
      </c>
      <c r="F147" s="8">
        <v>-12002.5</v>
      </c>
      <c r="G147" s="8">
        <v>0</v>
      </c>
    </row>
    <row r="148" spans="1:7" x14ac:dyDescent="0.35">
      <c r="A148" s="7">
        <v>41225</v>
      </c>
      <c r="B148" t="s">
        <v>52</v>
      </c>
      <c r="D148">
        <v>2.1800000000000002</v>
      </c>
      <c r="E148" s="8">
        <v>5495.65</v>
      </c>
      <c r="F148" s="8">
        <v>-12002.5</v>
      </c>
      <c r="G148" s="8">
        <v>0</v>
      </c>
    </row>
    <row r="150" spans="1:7" x14ac:dyDescent="0.35">
      <c r="A150" s="7">
        <v>41169</v>
      </c>
      <c r="B150" t="s">
        <v>45</v>
      </c>
      <c r="D150">
        <v>0</v>
      </c>
      <c r="E150" s="8">
        <v>0</v>
      </c>
      <c r="F150" s="8">
        <v>30000</v>
      </c>
      <c r="G150" s="8">
        <v>30000</v>
      </c>
    </row>
    <row r="151" spans="1:7" x14ac:dyDescent="0.35">
      <c r="A151" s="7">
        <v>41173</v>
      </c>
      <c r="B151" t="s">
        <v>45</v>
      </c>
      <c r="D151">
        <v>0</v>
      </c>
      <c r="E151" s="8">
        <v>0</v>
      </c>
      <c r="F151" s="8">
        <v>0.01</v>
      </c>
      <c r="G151" s="8">
        <v>0.01</v>
      </c>
    </row>
    <row r="152" spans="1:7" x14ac:dyDescent="0.35">
      <c r="A152" s="7">
        <v>41187</v>
      </c>
      <c r="B152" t="s">
        <v>45</v>
      </c>
      <c r="D152">
        <v>0</v>
      </c>
      <c r="E152" s="8">
        <v>0</v>
      </c>
      <c r="F152" s="8">
        <v>40000</v>
      </c>
      <c r="G152" s="8">
        <v>40000</v>
      </c>
    </row>
    <row r="153" spans="1:7" x14ac:dyDescent="0.35">
      <c r="A153" s="7">
        <v>41198</v>
      </c>
      <c r="B153" t="s">
        <v>45</v>
      </c>
      <c r="D153">
        <v>0</v>
      </c>
      <c r="E153" s="8">
        <v>0</v>
      </c>
      <c r="F153" s="8">
        <v>2000</v>
      </c>
      <c r="G153" s="8">
        <v>2000</v>
      </c>
    </row>
    <row r="154" spans="1:7" x14ac:dyDescent="0.35">
      <c r="A154" s="7">
        <v>41198</v>
      </c>
      <c r="B154" t="s">
        <v>45</v>
      </c>
      <c r="D154">
        <v>0</v>
      </c>
      <c r="E154" s="8">
        <v>0</v>
      </c>
      <c r="F154" s="8">
        <v>10000</v>
      </c>
      <c r="G154" s="8">
        <v>10000</v>
      </c>
    </row>
    <row r="155" spans="1:7" x14ac:dyDescent="0.35">
      <c r="A155" s="7">
        <v>41205</v>
      </c>
      <c r="B155" t="s">
        <v>45</v>
      </c>
      <c r="D155">
        <v>0</v>
      </c>
      <c r="E155" s="8">
        <v>0</v>
      </c>
      <c r="F155" s="8">
        <v>3</v>
      </c>
      <c r="G155" s="8">
        <v>3</v>
      </c>
    </row>
    <row r="156" spans="1:7" x14ac:dyDescent="0.35">
      <c r="A156" s="7">
        <v>41375</v>
      </c>
      <c r="B156" t="s">
        <v>45</v>
      </c>
      <c r="D156">
        <v>0</v>
      </c>
      <c r="E156" s="8">
        <v>0</v>
      </c>
      <c r="F156" s="8">
        <v>20000</v>
      </c>
      <c r="G156" s="8">
        <v>20000</v>
      </c>
    </row>
    <row r="157" spans="1:7" x14ac:dyDescent="0.35">
      <c r="A157" s="7">
        <v>41408</v>
      </c>
      <c r="B157" t="s">
        <v>45</v>
      </c>
      <c r="D157">
        <v>0</v>
      </c>
      <c r="E157" s="8">
        <v>0</v>
      </c>
      <c r="F157" s="8">
        <v>20000</v>
      </c>
      <c r="G157" s="8">
        <v>20000</v>
      </c>
    </row>
    <row r="158" spans="1:7" x14ac:dyDescent="0.35">
      <c r="A158" s="7">
        <v>41410</v>
      </c>
      <c r="B158" t="s">
        <v>45</v>
      </c>
      <c r="D158">
        <v>0</v>
      </c>
      <c r="E158" s="8">
        <v>0</v>
      </c>
      <c r="F158" s="8">
        <v>0.01</v>
      </c>
      <c r="G158" s="8">
        <v>0.01</v>
      </c>
    </row>
    <row r="159" spans="1:7" x14ac:dyDescent="0.35">
      <c r="A159" s="7">
        <v>41519</v>
      </c>
      <c r="B159" t="s">
        <v>45</v>
      </c>
      <c r="D159">
        <v>0</v>
      </c>
      <c r="E159" s="8">
        <v>0</v>
      </c>
      <c r="F159" s="8">
        <v>1000</v>
      </c>
      <c r="G159" s="8">
        <v>1000</v>
      </c>
    </row>
    <row r="160" spans="1:7" x14ac:dyDescent="0.35">
      <c r="A160" s="7">
        <v>41530</v>
      </c>
      <c r="B160" t="s">
        <v>45</v>
      </c>
      <c r="D160">
        <v>0</v>
      </c>
      <c r="E160" s="8">
        <v>0</v>
      </c>
      <c r="F160" s="8">
        <v>1000</v>
      </c>
      <c r="G160" s="8">
        <v>1000</v>
      </c>
    </row>
    <row r="161" spans="1:7" x14ac:dyDescent="0.35">
      <c r="A161" s="7">
        <v>41551</v>
      </c>
      <c r="B161" t="s">
        <v>45</v>
      </c>
      <c r="D161">
        <v>0</v>
      </c>
      <c r="E161" s="8">
        <v>0</v>
      </c>
      <c r="F161" s="8">
        <v>1000</v>
      </c>
      <c r="G161" s="8">
        <v>1000</v>
      </c>
    </row>
    <row r="162" spans="1:7" x14ac:dyDescent="0.35">
      <c r="A162" s="7">
        <v>41563</v>
      </c>
      <c r="B162" t="s">
        <v>45</v>
      </c>
      <c r="D162">
        <v>0</v>
      </c>
      <c r="E162" s="8">
        <v>0</v>
      </c>
      <c r="F162" s="8">
        <v>5000</v>
      </c>
      <c r="G162" s="8">
        <v>5000</v>
      </c>
    </row>
    <row r="163" spans="1:7" x14ac:dyDescent="0.35">
      <c r="A163" s="7">
        <v>41589</v>
      </c>
      <c r="B163" t="s">
        <v>45</v>
      </c>
      <c r="D163">
        <v>0</v>
      </c>
      <c r="E163" s="8">
        <v>0</v>
      </c>
      <c r="F163" s="8">
        <v>2136.11</v>
      </c>
      <c r="G163" s="8">
        <v>2136.11</v>
      </c>
    </row>
    <row r="164" spans="1:7" x14ac:dyDescent="0.35">
      <c r="A164" s="7">
        <v>42219</v>
      </c>
      <c r="B164" t="s">
        <v>45</v>
      </c>
      <c r="D164">
        <v>0</v>
      </c>
      <c r="E164" s="8">
        <v>0</v>
      </c>
      <c r="F164" s="8">
        <v>1000</v>
      </c>
      <c r="G164" s="8">
        <v>1000</v>
      </c>
    </row>
    <row r="165" spans="1:7" x14ac:dyDescent="0.35">
      <c r="A165" s="7">
        <v>42384</v>
      </c>
      <c r="B165" t="s">
        <v>45</v>
      </c>
      <c r="D165">
        <v>0</v>
      </c>
      <c r="E165" s="8">
        <v>0</v>
      </c>
      <c r="F165" s="8">
        <v>1000</v>
      </c>
      <c r="G165" s="8">
        <v>1000</v>
      </c>
    </row>
    <row r="166" spans="1:7" x14ac:dyDescent="0.35">
      <c r="A166" s="7">
        <v>42635</v>
      </c>
      <c r="B166" t="s">
        <v>45</v>
      </c>
      <c r="D166">
        <v>0</v>
      </c>
      <c r="E166" s="8">
        <v>0</v>
      </c>
      <c r="F166" s="8">
        <v>52400</v>
      </c>
      <c r="G166" s="8">
        <v>52400</v>
      </c>
    </row>
    <row r="167" spans="1:7" x14ac:dyDescent="0.35">
      <c r="A167" s="7">
        <v>45061</v>
      </c>
      <c r="B167" t="s">
        <v>45</v>
      </c>
      <c r="D167">
        <v>0</v>
      </c>
      <c r="E167" s="8">
        <v>0</v>
      </c>
      <c r="F167" s="8">
        <v>1000</v>
      </c>
      <c r="G167" s="8">
        <v>1000</v>
      </c>
    </row>
    <row r="168" spans="1:7" x14ac:dyDescent="0.35">
      <c r="A168" s="7">
        <v>45061</v>
      </c>
      <c r="B168" t="s">
        <v>45</v>
      </c>
      <c r="D168">
        <v>0</v>
      </c>
      <c r="E168" s="8">
        <v>0</v>
      </c>
      <c r="F168" s="8">
        <v>1000</v>
      </c>
      <c r="G168" s="8">
        <v>1000</v>
      </c>
    </row>
    <row r="169" spans="1:7" x14ac:dyDescent="0.35">
      <c r="A169" s="7">
        <v>45068</v>
      </c>
      <c r="B169" t="s">
        <v>45</v>
      </c>
      <c r="D169">
        <v>0</v>
      </c>
      <c r="E169" s="8">
        <v>0</v>
      </c>
      <c r="F169" s="8">
        <v>8000</v>
      </c>
      <c r="G169" s="8">
        <v>8000</v>
      </c>
    </row>
    <row r="170" spans="1:7" x14ac:dyDescent="0.35">
      <c r="A170" s="7">
        <v>41205</v>
      </c>
      <c r="B170" t="s">
        <v>48</v>
      </c>
      <c r="D170">
        <v>0</v>
      </c>
      <c r="E170" s="8">
        <v>0</v>
      </c>
      <c r="F170" s="8">
        <v>-0.52</v>
      </c>
      <c r="G170" s="8">
        <v>-0.52</v>
      </c>
    </row>
    <row r="171" spans="1:7" x14ac:dyDescent="0.35">
      <c r="A171" s="7">
        <v>41445</v>
      </c>
      <c r="B171" t="s">
        <v>48</v>
      </c>
      <c r="D171">
        <v>0</v>
      </c>
      <c r="E171" s="8">
        <v>0</v>
      </c>
      <c r="F171" s="8">
        <v>-20000</v>
      </c>
      <c r="G171" s="8">
        <v>-20000</v>
      </c>
    </row>
    <row r="172" spans="1:7" x14ac:dyDescent="0.35">
      <c r="A172" s="7">
        <v>41456</v>
      </c>
      <c r="B172" t="s">
        <v>48</v>
      </c>
      <c r="D172">
        <v>0</v>
      </c>
      <c r="E172" s="8">
        <v>0</v>
      </c>
      <c r="F172" s="8">
        <v>-49779.1</v>
      </c>
      <c r="G172" s="8">
        <v>-49779.1</v>
      </c>
    </row>
    <row r="173" spans="1:7" x14ac:dyDescent="0.35">
      <c r="A173" s="7">
        <v>41508</v>
      </c>
      <c r="B173" t="s">
        <v>48</v>
      </c>
      <c r="D173">
        <v>0</v>
      </c>
      <c r="E173" s="8">
        <v>0</v>
      </c>
      <c r="F173" s="8">
        <v>-16949.560000000001</v>
      </c>
      <c r="G173" s="8">
        <v>-16949.560000000001</v>
      </c>
    </row>
    <row r="174" spans="1:7" x14ac:dyDescent="0.35">
      <c r="A174" s="7">
        <v>41589</v>
      </c>
      <c r="B174" t="s">
        <v>48</v>
      </c>
      <c r="D174">
        <v>0</v>
      </c>
      <c r="E174" s="8">
        <v>0</v>
      </c>
      <c r="F174" s="8">
        <v>-2136.11</v>
      </c>
      <c r="G174" s="8">
        <v>-2136.11</v>
      </c>
    </row>
    <row r="175" spans="1:7" x14ac:dyDescent="0.35">
      <c r="A175" s="7">
        <v>41646</v>
      </c>
      <c r="B175" t="s">
        <v>48</v>
      </c>
      <c r="D175">
        <v>0</v>
      </c>
      <c r="E175" s="8">
        <v>0</v>
      </c>
      <c r="F175" s="8">
        <v>-4951.6400000000003</v>
      </c>
      <c r="G175" s="8">
        <v>-4951.6400000000003</v>
      </c>
    </row>
    <row r="176" spans="1:7" x14ac:dyDescent="0.35">
      <c r="A176" s="7">
        <v>41865</v>
      </c>
      <c r="B176" t="s">
        <v>48</v>
      </c>
      <c r="D176">
        <v>0</v>
      </c>
      <c r="E176" s="8">
        <v>0</v>
      </c>
      <c r="F176" s="8">
        <v>-11.72</v>
      </c>
      <c r="G176" s="8">
        <v>-11.72</v>
      </c>
    </row>
    <row r="177" spans="1:8" x14ac:dyDescent="0.35">
      <c r="A177" s="7">
        <v>42201</v>
      </c>
      <c r="B177" t="s">
        <v>48</v>
      </c>
      <c r="D177">
        <v>0</v>
      </c>
      <c r="E177" s="8">
        <v>0</v>
      </c>
      <c r="F177" s="8">
        <v>-1.04</v>
      </c>
      <c r="G177" s="8">
        <v>-1.04</v>
      </c>
    </row>
    <row r="178" spans="1:8" x14ac:dyDescent="0.35">
      <c r="A178" s="7">
        <v>42290</v>
      </c>
      <c r="B178" t="s">
        <v>48</v>
      </c>
      <c r="D178">
        <v>0</v>
      </c>
      <c r="E178" s="8">
        <v>0</v>
      </c>
      <c r="F178" s="8">
        <v>-1.38</v>
      </c>
      <c r="G178" s="8">
        <v>-1.38</v>
      </c>
    </row>
    <row r="179" spans="1:8" x14ac:dyDescent="0.35">
      <c r="A179" s="7">
        <v>42328</v>
      </c>
      <c r="B179" t="s">
        <v>48</v>
      </c>
      <c r="D179">
        <v>0</v>
      </c>
      <c r="E179" s="8">
        <v>0</v>
      </c>
      <c r="F179" s="8">
        <v>-0.38</v>
      </c>
      <c r="G179" s="8">
        <v>-0.38</v>
      </c>
    </row>
    <row r="180" spans="1:8" x14ac:dyDescent="0.35">
      <c r="A180" s="7">
        <v>42642</v>
      </c>
      <c r="B180" t="s">
        <v>48</v>
      </c>
      <c r="D180">
        <v>0</v>
      </c>
      <c r="E180" s="8">
        <v>0</v>
      </c>
      <c r="F180" s="8">
        <v>-2401.2600000000002</v>
      </c>
      <c r="G180" s="8">
        <v>-2401.2600000000002</v>
      </c>
    </row>
    <row r="181" spans="1:8" x14ac:dyDescent="0.35">
      <c r="A181" s="7">
        <v>42699</v>
      </c>
      <c r="B181" t="s">
        <v>48</v>
      </c>
      <c r="D181">
        <v>0</v>
      </c>
      <c r="E181" s="8">
        <v>0</v>
      </c>
      <c r="F181" s="8">
        <v>-13.92</v>
      </c>
      <c r="G181" s="8">
        <v>-13.92</v>
      </c>
    </row>
    <row r="182" spans="1:8" x14ac:dyDescent="0.35">
      <c r="A182" s="7">
        <v>43070</v>
      </c>
      <c r="B182" t="s">
        <v>48</v>
      </c>
      <c r="D182">
        <v>0</v>
      </c>
      <c r="E182" s="8">
        <v>0</v>
      </c>
      <c r="F182" s="8">
        <v>-1.1200000000000001</v>
      </c>
      <c r="G182" s="8">
        <v>-1.1200000000000001</v>
      </c>
    </row>
    <row r="183" spans="1:8" x14ac:dyDescent="0.35">
      <c r="A183" s="7">
        <v>43333</v>
      </c>
      <c r="B183" t="s">
        <v>48</v>
      </c>
      <c r="D183">
        <v>0</v>
      </c>
      <c r="E183" s="8">
        <v>0</v>
      </c>
      <c r="F183" s="8">
        <v>-1.27</v>
      </c>
      <c r="G183" s="8">
        <v>-1.27</v>
      </c>
    </row>
    <row r="184" spans="1:8" x14ac:dyDescent="0.35">
      <c r="A184" s="7">
        <v>44022</v>
      </c>
      <c r="B184" t="s">
        <v>48</v>
      </c>
      <c r="D184">
        <v>0</v>
      </c>
      <c r="E184" s="8">
        <v>0</v>
      </c>
      <c r="F184" s="8">
        <v>-1.24</v>
      </c>
      <c r="G184" s="8">
        <v>-1.24</v>
      </c>
    </row>
    <row r="185" spans="1:8" x14ac:dyDescent="0.35">
      <c r="A185" s="7">
        <v>44144</v>
      </c>
      <c r="B185" t="s">
        <v>48</v>
      </c>
      <c r="D185">
        <v>0</v>
      </c>
      <c r="E185" s="8">
        <v>0</v>
      </c>
      <c r="F185" s="8">
        <v>-1.27</v>
      </c>
      <c r="G185" s="8">
        <v>-1.27</v>
      </c>
    </row>
    <row r="186" spans="1:8" x14ac:dyDescent="0.35">
      <c r="A186" s="7">
        <v>44181</v>
      </c>
      <c r="B186" t="s">
        <v>48</v>
      </c>
      <c r="D186">
        <v>0</v>
      </c>
      <c r="E186" s="8">
        <v>0</v>
      </c>
      <c r="F186" s="8">
        <v>-53760.81</v>
      </c>
      <c r="G186" s="8">
        <v>-53760.81</v>
      </c>
    </row>
    <row r="187" spans="1:8" x14ac:dyDescent="0.35">
      <c r="A187" s="7">
        <v>44573</v>
      </c>
      <c r="B187" t="s">
        <v>48</v>
      </c>
      <c r="D187">
        <v>0</v>
      </c>
      <c r="E187" s="8">
        <v>0</v>
      </c>
      <c r="F187" s="8">
        <v>-0.14000000000000001</v>
      </c>
      <c r="G187" s="8">
        <v>-0.14000000000000001</v>
      </c>
    </row>
    <row r="188" spans="1:8" x14ac:dyDescent="0.35">
      <c r="A188" s="7">
        <v>44846</v>
      </c>
      <c r="B188" t="s">
        <v>48</v>
      </c>
      <c r="D188">
        <v>0</v>
      </c>
      <c r="E188" s="8">
        <v>0</v>
      </c>
      <c r="F188" s="8">
        <v>-9467.67</v>
      </c>
      <c r="G188" s="8">
        <v>-9467.67</v>
      </c>
    </row>
    <row r="189" spans="1:8" x14ac:dyDescent="0.35">
      <c r="A189" s="7">
        <v>44888</v>
      </c>
      <c r="B189" t="s">
        <v>48</v>
      </c>
      <c r="D189">
        <v>0</v>
      </c>
      <c r="E189" s="8">
        <v>0</v>
      </c>
      <c r="F189" s="8">
        <v>-1.55</v>
      </c>
      <c r="G189" s="8">
        <v>-1.55</v>
      </c>
    </row>
    <row r="190" spans="1:8" x14ac:dyDescent="0.35">
      <c r="A190" s="7">
        <v>45056</v>
      </c>
      <c r="B190" t="s">
        <v>48</v>
      </c>
      <c r="D190">
        <v>0</v>
      </c>
      <c r="E190" s="8">
        <v>0</v>
      </c>
      <c r="F190" s="8">
        <v>-8700.24</v>
      </c>
      <c r="G190" s="8">
        <v>-8700.24</v>
      </c>
    </row>
    <row r="191" spans="1:8" x14ac:dyDescent="0.35">
      <c r="A191" s="7">
        <v>41436</v>
      </c>
      <c r="B191" t="s">
        <v>57</v>
      </c>
      <c r="D191">
        <v>21.84</v>
      </c>
      <c r="E191" s="8">
        <v>547.44000000000005</v>
      </c>
      <c r="F191" s="8">
        <v>11956.09</v>
      </c>
      <c r="G191" s="8">
        <v>11956.09</v>
      </c>
      <c r="H191">
        <v>-46.4</v>
      </c>
    </row>
  </sheetData>
  <sortState xmlns:xlrd2="http://schemas.microsoft.com/office/spreadsheetml/2017/richdata2" ref="A77:H115">
    <sortCondition ref="A77:A1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2023-07-05T04:29:16Z</dcterms:created>
  <dcterms:modified xsi:type="dcterms:W3CDTF">2023-07-07T12:17:28Z</dcterms:modified>
</cp:coreProperties>
</file>