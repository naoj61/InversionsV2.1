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Meus\InversionsV2\Docs\"/>
    </mc:Choice>
  </mc:AlternateContent>
  <xr:revisionPtr revIDLastSave="0" documentId="13_ncr:1_{193EA251-8A9E-4D46-A8EB-DD2EEDA66533}" xr6:coauthVersionLast="47" xr6:coauthVersionMax="47" xr10:uidLastSave="{00000000-0000-0000-0000-000000000000}"/>
  <bookViews>
    <workbookView xWindow="19090" yWindow="-110" windowWidth="19420" windowHeight="10420" xr2:uid="{F98390CD-C643-446D-B540-89851331605B}"/>
  </bookViews>
  <sheets>
    <sheet name="Sheet1" sheetId="1" r:id="rId1"/>
    <sheet name="19-NB Capital Plus FI" sheetId="3" r:id="rId2"/>
    <sheet name="Aktie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6" i="1" l="1"/>
  <c r="N5" i="3"/>
  <c r="N3" i="3"/>
  <c r="N4" i="3"/>
  <c r="N2" i="3"/>
  <c r="M6" i="3"/>
  <c r="H5" i="3"/>
  <c r="H3" i="3"/>
  <c r="H4" i="3"/>
  <c r="H2" i="3"/>
  <c r="E5" i="3"/>
  <c r="M4" i="3"/>
  <c r="M3" i="3"/>
  <c r="M2" i="3"/>
  <c r="M5" i="3" s="1"/>
  <c r="G11" i="3"/>
  <c r="G12" i="3" s="1"/>
  <c r="G8" i="3"/>
  <c r="G9" i="3" s="1"/>
  <c r="C33" i="1"/>
  <c r="B32" i="1"/>
  <c r="I25" i="1"/>
  <c r="H25" i="1"/>
  <c r="I24" i="1"/>
  <c r="H24" i="1"/>
  <c r="I23" i="1"/>
  <c r="H23" i="1"/>
  <c r="I22" i="1"/>
  <c r="H22" i="1"/>
  <c r="I21" i="1"/>
  <c r="H21" i="1"/>
  <c r="I20" i="1"/>
  <c r="H20" i="1"/>
  <c r="E26" i="1"/>
  <c r="H12" i="1"/>
  <c r="H13" i="1"/>
  <c r="H18" i="1" s="1"/>
  <c r="I13" i="1"/>
  <c r="H14" i="1"/>
  <c r="I14" i="1"/>
  <c r="H15" i="1"/>
  <c r="I15" i="1"/>
  <c r="H16" i="1"/>
  <c r="I16" i="1"/>
  <c r="H17" i="1"/>
  <c r="I17" i="1"/>
  <c r="I12" i="1"/>
  <c r="K8" i="1"/>
  <c r="K9" i="1" s="1"/>
  <c r="Q11" i="2"/>
  <c r="G11" i="2"/>
  <c r="E11" i="2"/>
  <c r="Q6" i="2"/>
  <c r="G6" i="2"/>
  <c r="E6" i="2"/>
  <c r="O4" i="2"/>
  <c r="O5" i="2"/>
  <c r="O3" i="2"/>
  <c r="O2" i="2"/>
  <c r="F9" i="1"/>
  <c r="E9" i="1"/>
  <c r="H3" i="1"/>
  <c r="I3" i="1"/>
  <c r="H4" i="1"/>
  <c r="H9" i="1" s="1"/>
  <c r="I4" i="1"/>
  <c r="H6" i="1"/>
  <c r="I6" i="1"/>
  <c r="H7" i="1"/>
  <c r="I7" i="1"/>
  <c r="H8" i="1"/>
  <c r="I8" i="1"/>
  <c r="I5" i="1"/>
  <c r="H5" i="1"/>
  <c r="B9" i="1"/>
  <c r="C9" i="1"/>
  <c r="I9" i="1" l="1"/>
</calcChain>
</file>

<file path=xl/sharedStrings.xml><?xml version="1.0" encoding="utf-8"?>
<sst xmlns="http://schemas.openxmlformats.org/spreadsheetml/2006/main" count="63" uniqueCount="34">
  <si>
    <t>Orig</t>
  </si>
  <si>
    <t>Act</t>
  </si>
  <si>
    <t>WEB</t>
  </si>
  <si>
    <t>APP</t>
  </si>
  <si>
    <t>Dif</t>
  </si>
  <si>
    <t>Traspàs C</t>
  </si>
  <si>
    <t>Optimal Income A-H Grs Acc Hdg EUR</t>
  </si>
  <si>
    <t>Traspàs a: DWS AKTIEN STRAT DEUTSCHLAND.</t>
  </si>
  <si>
    <t>Traspàs V</t>
  </si>
  <si>
    <t>Global Technology A-Acc-EUR</t>
  </si>
  <si>
    <t>Aberdeen Standard Liquidity Fund Euro Fund A-2 Ac</t>
  </si>
  <si>
    <t>Parts</t>
  </si>
  <si>
    <t>PU</t>
  </si>
  <si>
    <t>Actual</t>
  </si>
  <si>
    <t>Cartera</t>
  </si>
  <si>
    <t>Valor Act</t>
  </si>
  <si>
    <t>PiG Cart</t>
  </si>
  <si>
    <t>Nou Càlcul</t>
  </si>
  <si>
    <t>Calcul vell</t>
  </si>
  <si>
    <t>19-NB Capital Plus FI</t>
  </si>
  <si>
    <t>29-CS Corto Plazo B FI</t>
  </si>
  <si>
    <t>5-Deutschland</t>
  </si>
  <si>
    <t>28-Aberdeen Standard Liquidity Fund Euro Fund A-2 Ac</t>
  </si>
  <si>
    <t>27-Global Technology A-Acc-EUR</t>
  </si>
  <si>
    <t>16-DWS Aktien Strategie Deutschland</t>
  </si>
  <si>
    <t>Compra</t>
  </si>
  <si>
    <t>Parts Orig</t>
  </si>
  <si>
    <t>Orig Id</t>
  </si>
  <si>
    <t>PU Orig</t>
  </si>
  <si>
    <t>Net</t>
  </si>
  <si>
    <t>Cost</t>
  </si>
  <si>
    <t>PiG Orig</t>
  </si>
  <si>
    <t>Valor Cart</t>
  </si>
  <si>
    <t>PiG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</si>
</sst>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0.0000"/>
    <numFmt numFmtId="165" formatCode="#,##0.0000"/>
    <numFmt numFmtId="170" formatCode="#,##0.000\ &quot;€&quot;;[Red]\-#,##0.0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8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8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8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E7F3-6CE6-4994-A1EF-34CFE36D11EB}">
  <dimension ref="A1:K33"/>
  <sheetViews>
    <sheetView tabSelected="1" zoomScale="130" zoomScaleNormal="130" workbookViewId="0">
      <pane ySplit="2" topLeftCell="A18" activePane="bottomLeft" state="frozen"/>
      <selection pane="bottomLeft" activeCell="B18" sqref="B18"/>
    </sheetView>
  </sheetViews>
  <sheetFormatPr defaultRowHeight="14.5" x14ac:dyDescent="0.35"/>
  <cols>
    <col min="1" max="1" width="28.08984375" customWidth="1"/>
    <col min="2" max="2" width="11.81640625" customWidth="1"/>
    <col min="3" max="3" width="10.7265625" bestFit="1" customWidth="1"/>
    <col min="4" max="4" width="1.453125" customWidth="1"/>
    <col min="5" max="6" width="10.6328125" bestFit="1" customWidth="1"/>
    <col min="7" max="7" width="1.7265625" customWidth="1"/>
    <col min="8" max="9" width="10.6328125" bestFit="1" customWidth="1"/>
    <col min="11" max="11" width="9.6328125" bestFit="1" customWidth="1"/>
  </cols>
  <sheetData>
    <row r="1" spans="1:11" x14ac:dyDescent="0.35">
      <c r="B1" s="15" t="s">
        <v>2</v>
      </c>
      <c r="C1" s="15"/>
      <c r="E1" s="15" t="s">
        <v>3</v>
      </c>
      <c r="F1" s="15"/>
      <c r="H1" s="15" t="s">
        <v>4</v>
      </c>
      <c r="I1" s="15"/>
    </row>
    <row r="2" spans="1:11" x14ac:dyDescent="0.35">
      <c r="B2" s="3" t="s">
        <v>0</v>
      </c>
      <c r="C2" s="3" t="s">
        <v>1</v>
      </c>
      <c r="E2" s="3" t="s">
        <v>0</v>
      </c>
      <c r="F2" s="3" t="s">
        <v>1</v>
      </c>
      <c r="H2" s="3" t="s">
        <v>0</v>
      </c>
      <c r="I2" s="3" t="s">
        <v>1</v>
      </c>
    </row>
    <row r="3" spans="1:11" x14ac:dyDescent="0.35">
      <c r="A3" t="s">
        <v>19</v>
      </c>
      <c r="B3" s="1">
        <v>2841.65</v>
      </c>
      <c r="C3" s="1">
        <v>-325.95</v>
      </c>
      <c r="E3" s="1">
        <v>2144.9</v>
      </c>
      <c r="F3" s="1">
        <v>-325.98</v>
      </c>
      <c r="H3" s="1">
        <f t="shared" ref="H3:H4" si="0">B3-E3</f>
        <v>696.75</v>
      </c>
      <c r="I3" s="1">
        <f t="shared" ref="I3:I4" si="1">C3-F3</f>
        <v>3.0000000000029559E-2</v>
      </c>
    </row>
    <row r="4" spans="1:11" x14ac:dyDescent="0.35">
      <c r="A4" t="s">
        <v>20</v>
      </c>
      <c r="B4" s="1">
        <v>683</v>
      </c>
      <c r="C4" s="1">
        <v>-364.32</v>
      </c>
      <c r="E4" s="1">
        <v>1385.23</v>
      </c>
      <c r="F4" s="1">
        <v>-364.32</v>
      </c>
      <c r="H4" s="1">
        <f t="shared" si="0"/>
        <v>-702.23</v>
      </c>
      <c r="I4" s="1">
        <f t="shared" si="1"/>
        <v>0</v>
      </c>
    </row>
    <row r="5" spans="1:11" x14ac:dyDescent="0.35">
      <c r="A5" t="s">
        <v>21</v>
      </c>
      <c r="B5" s="1">
        <v>373.3</v>
      </c>
      <c r="C5" s="1">
        <v>308.39</v>
      </c>
      <c r="E5" s="1">
        <v>373.29</v>
      </c>
      <c r="F5" s="1">
        <v>308.2</v>
      </c>
      <c r="H5" s="1">
        <f>B5-E5</f>
        <v>9.9999999999909051E-3</v>
      </c>
      <c r="I5" s="1">
        <f>C5-F5</f>
        <v>0.18999999999999773</v>
      </c>
    </row>
    <row r="6" spans="1:11" x14ac:dyDescent="0.35">
      <c r="A6" t="s">
        <v>22</v>
      </c>
      <c r="B6" s="1">
        <v>27289.25</v>
      </c>
      <c r="C6" s="1">
        <v>-151.49</v>
      </c>
      <c r="E6" s="1">
        <v>26906.27</v>
      </c>
      <c r="F6" s="1">
        <v>-151.63</v>
      </c>
      <c r="H6" s="1">
        <f t="shared" ref="H6:H8" si="2">B6-E6</f>
        <v>382.97999999999956</v>
      </c>
      <c r="I6" s="1">
        <f t="shared" ref="I6:I8" si="3">C6-F6</f>
        <v>0.13999999999998636</v>
      </c>
    </row>
    <row r="7" spans="1:11" x14ac:dyDescent="0.35">
      <c r="A7" t="s">
        <v>23</v>
      </c>
      <c r="B7" s="1">
        <v>27061.3</v>
      </c>
      <c r="C7" s="1">
        <v>17961</v>
      </c>
      <c r="E7" s="1">
        <v>27062.33</v>
      </c>
      <c r="F7" s="1">
        <v>17961.03</v>
      </c>
      <c r="H7" s="1">
        <f t="shared" si="2"/>
        <v>-1.0300000000024738</v>
      </c>
      <c r="I7" s="1">
        <f t="shared" si="3"/>
        <v>-2.9999999998835847E-2</v>
      </c>
    </row>
    <row r="8" spans="1:11" x14ac:dyDescent="0.35">
      <c r="A8" t="s">
        <v>24</v>
      </c>
      <c r="B8" s="1">
        <v>5850.86</v>
      </c>
      <c r="C8" s="1">
        <v>3363.25</v>
      </c>
      <c r="E8" s="1">
        <v>7681.06</v>
      </c>
      <c r="F8" s="1">
        <v>3821.25</v>
      </c>
      <c r="H8" s="1">
        <f t="shared" si="2"/>
        <v>-1830.2000000000007</v>
      </c>
      <c r="I8" s="1">
        <f t="shared" si="3"/>
        <v>-458</v>
      </c>
      <c r="K8" s="1">
        <f>Aktien!Q11</f>
        <v>5848.8254829259868</v>
      </c>
    </row>
    <row r="9" spans="1:11" x14ac:dyDescent="0.35">
      <c r="B9" s="4">
        <f>SUM(B3:B8)</f>
        <v>64099.360000000001</v>
      </c>
      <c r="C9" s="4">
        <f>SUM(C3:C8)</f>
        <v>20790.88</v>
      </c>
      <c r="E9" s="4">
        <f>SUM(E3:E8)</f>
        <v>65553.08</v>
      </c>
      <c r="F9" s="4">
        <f>SUM(F3:F8)</f>
        <v>21248.55</v>
      </c>
      <c r="H9" s="4">
        <f>SUM(H3:H8)</f>
        <v>-1453.7200000000037</v>
      </c>
      <c r="I9" s="4">
        <f>SUM(I3:I8)</f>
        <v>-457.66999999999882</v>
      </c>
      <c r="K9" s="1">
        <f>+B8-K8</f>
        <v>2.0345170740129106</v>
      </c>
    </row>
    <row r="11" spans="1:11" x14ac:dyDescent="0.35">
      <c r="A11" s="2" t="s">
        <v>17</v>
      </c>
    </row>
    <row r="12" spans="1:11" x14ac:dyDescent="0.35">
      <c r="A12" t="s">
        <v>19</v>
      </c>
      <c r="B12" s="1"/>
      <c r="C12" s="1"/>
      <c r="E12" s="1">
        <v>2144.9</v>
      </c>
      <c r="F12" s="1">
        <v>-325.98</v>
      </c>
      <c r="H12" s="1">
        <f>E12-B$3</f>
        <v>-696.75</v>
      </c>
      <c r="I12" s="1">
        <f>F12-C3</f>
        <v>-3.0000000000029559E-2</v>
      </c>
    </row>
    <row r="13" spans="1:11" x14ac:dyDescent="0.35">
      <c r="A13" t="s">
        <v>20</v>
      </c>
      <c r="B13" s="1"/>
      <c r="C13" s="1"/>
      <c r="E13" s="1">
        <v>1385.23</v>
      </c>
      <c r="F13" s="1">
        <v>-364.32</v>
      </c>
      <c r="H13" s="1">
        <f>E13-B4</f>
        <v>702.23</v>
      </c>
      <c r="I13" s="1">
        <f>F13-C4</f>
        <v>0</v>
      </c>
    </row>
    <row r="14" spans="1:11" x14ac:dyDescent="0.35">
      <c r="A14" t="s">
        <v>21</v>
      </c>
      <c r="B14" s="1"/>
      <c r="C14" s="1"/>
      <c r="E14" s="1">
        <v>373.29</v>
      </c>
      <c r="F14" s="1">
        <v>308.2</v>
      </c>
      <c r="H14" s="1">
        <f>E14-B5</f>
        <v>-9.9999999999909051E-3</v>
      </c>
      <c r="I14" s="1">
        <f>F14-C5</f>
        <v>-0.18999999999999773</v>
      </c>
    </row>
    <row r="15" spans="1:11" x14ac:dyDescent="0.35">
      <c r="A15" t="s">
        <v>22</v>
      </c>
      <c r="B15" s="1"/>
      <c r="C15" s="1"/>
      <c r="E15" s="1">
        <v>26906.27</v>
      </c>
      <c r="F15" s="1">
        <v>-151.63</v>
      </c>
      <c r="H15" s="1">
        <f>E15-B6</f>
        <v>-382.97999999999956</v>
      </c>
      <c r="I15" s="1">
        <f>F15-C6</f>
        <v>-0.13999999999998636</v>
      </c>
    </row>
    <row r="16" spans="1:11" x14ac:dyDescent="0.35">
      <c r="A16" t="s">
        <v>23</v>
      </c>
      <c r="B16" s="1"/>
      <c r="C16" s="1"/>
      <c r="E16" s="1">
        <v>27062.33</v>
      </c>
      <c r="F16" s="1">
        <v>17961.03</v>
      </c>
      <c r="H16" s="1">
        <f>E16-B7</f>
        <v>1.0300000000024738</v>
      </c>
      <c r="I16" s="1">
        <f>F16-C7</f>
        <v>2.9999999998835847E-2</v>
      </c>
    </row>
    <row r="17" spans="1:9" x14ac:dyDescent="0.35">
      <c r="A17" t="s">
        <v>24</v>
      </c>
      <c r="B17" s="1"/>
      <c r="C17" s="1"/>
      <c r="E17" s="1">
        <v>5848.83</v>
      </c>
      <c r="F17" s="1">
        <v>3363.25</v>
      </c>
      <c r="H17" s="1">
        <f>E17-B8</f>
        <v>-2.0299999999997453</v>
      </c>
      <c r="I17" s="1">
        <f>F17-C8</f>
        <v>0</v>
      </c>
    </row>
    <row r="18" spans="1:9" x14ac:dyDescent="0.35">
      <c r="E18" s="1"/>
      <c r="H18" s="1">
        <f>SUM(H12:H17)</f>
        <v>-378.50999999999681</v>
      </c>
    </row>
    <row r="19" spans="1:9" x14ac:dyDescent="0.35">
      <c r="A19" s="2" t="s">
        <v>18</v>
      </c>
    </row>
    <row r="20" spans="1:9" x14ac:dyDescent="0.35">
      <c r="A20" t="s">
        <v>19</v>
      </c>
      <c r="E20" s="1">
        <v>2144.9</v>
      </c>
      <c r="F20" s="1">
        <v>-325.98</v>
      </c>
      <c r="H20" s="1">
        <f>E20-B3</f>
        <v>-696.75</v>
      </c>
      <c r="I20" s="1">
        <f>F20-C3</f>
        <v>-3.0000000000029559E-2</v>
      </c>
    </row>
    <row r="21" spans="1:9" x14ac:dyDescent="0.35">
      <c r="A21" t="s">
        <v>20</v>
      </c>
      <c r="E21" s="1">
        <v>1385.23</v>
      </c>
      <c r="F21" s="1">
        <v>-364.32</v>
      </c>
      <c r="H21" s="1">
        <f>E21-B4</f>
        <v>702.23</v>
      </c>
      <c r="I21" s="1">
        <f>F21-C4</f>
        <v>0</v>
      </c>
    </row>
    <row r="22" spans="1:9" x14ac:dyDescent="0.35">
      <c r="A22" t="s">
        <v>21</v>
      </c>
      <c r="E22" s="1">
        <v>373.29</v>
      </c>
      <c r="F22" s="1">
        <v>308.2</v>
      </c>
      <c r="H22" s="1">
        <f>E22-B5</f>
        <v>-9.9999999999909051E-3</v>
      </c>
      <c r="I22" s="1">
        <f>F22-C5</f>
        <v>-0.18999999999999773</v>
      </c>
    </row>
    <row r="23" spans="1:9" x14ac:dyDescent="0.35">
      <c r="A23" t="s">
        <v>22</v>
      </c>
      <c r="E23" s="1">
        <v>26906.27</v>
      </c>
      <c r="F23" s="1">
        <v>-151.63</v>
      </c>
      <c r="H23" s="1">
        <f>E23-B6</f>
        <v>-382.97999999999956</v>
      </c>
      <c r="I23" s="1">
        <f>F23-C6</f>
        <v>-0.13999999999998636</v>
      </c>
    </row>
    <row r="24" spans="1:9" x14ac:dyDescent="0.35">
      <c r="A24" t="s">
        <v>23</v>
      </c>
      <c r="E24" s="1">
        <v>27062.33</v>
      </c>
      <c r="F24" s="1">
        <v>17961.03</v>
      </c>
      <c r="H24" s="1">
        <f>E24-B7</f>
        <v>1.0300000000024738</v>
      </c>
      <c r="I24" s="1">
        <f>F24-C7</f>
        <v>2.9999999998835847E-2</v>
      </c>
    </row>
    <row r="25" spans="1:9" x14ac:dyDescent="0.35">
      <c r="A25" t="s">
        <v>24</v>
      </c>
      <c r="E25" s="1">
        <v>5848.83</v>
      </c>
      <c r="F25" s="1">
        <v>3363.25</v>
      </c>
      <c r="H25" s="1">
        <f>E25-B8</f>
        <v>-2.0299999999997453</v>
      </c>
      <c r="I25" s="1">
        <f>F25-C8</f>
        <v>0</v>
      </c>
    </row>
    <row r="26" spans="1:9" x14ac:dyDescent="0.35">
      <c r="E26" s="1">
        <f>SUM(E20:E25)</f>
        <v>63720.850000000006</v>
      </c>
      <c r="H26" s="1">
        <f>SUM(H20:H25)</f>
        <v>-378.50999999999681</v>
      </c>
    </row>
    <row r="30" spans="1:9" x14ac:dyDescent="0.35">
      <c r="B30" s="13">
        <v>1846.86</v>
      </c>
    </row>
    <row r="31" spans="1:9" x14ac:dyDescent="0.35">
      <c r="B31" s="6">
        <v>0.53749999999999998</v>
      </c>
    </row>
    <row r="32" spans="1:9" x14ac:dyDescent="0.35">
      <c r="B32">
        <f>+B30*B31</f>
        <v>992.68724999999995</v>
      </c>
      <c r="C32">
        <v>1000</v>
      </c>
    </row>
    <row r="33" spans="3:3" x14ac:dyDescent="0.35">
      <c r="C33">
        <f>+B32-C32</f>
        <v>-7.3127500000000509</v>
      </c>
    </row>
  </sheetData>
  <mergeCells count="3">
    <mergeCell ref="B1:C1"/>
    <mergeCell ref="E1:F1"/>
    <mergeCell ref="H1:I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FBE7-6DCA-4EF8-BD6D-488C6DB64216}">
  <dimension ref="A1:N12"/>
  <sheetViews>
    <sheetView zoomScale="145" zoomScaleNormal="145" workbookViewId="0">
      <selection activeCell="N5" sqref="N5"/>
    </sheetView>
  </sheetViews>
  <sheetFormatPr defaultRowHeight="14.5" x14ac:dyDescent="0.35"/>
  <cols>
    <col min="1" max="1" width="3.90625" customWidth="1"/>
    <col min="2" max="2" width="3.81640625" bestFit="1" customWidth="1"/>
    <col min="3" max="3" width="8.81640625" bestFit="1" customWidth="1"/>
    <col min="4" max="4" width="10.453125" bestFit="1" customWidth="1"/>
    <col min="5" max="5" width="6.81640625" bestFit="1" customWidth="1"/>
    <col min="6" max="6" width="9.26953125" bestFit="1" customWidth="1"/>
    <col min="7" max="8" width="10.26953125" bestFit="1" customWidth="1"/>
    <col min="9" max="10" width="0" hidden="1" customWidth="1"/>
    <col min="11" max="11" width="32.1796875" hidden="1" customWidth="1"/>
    <col min="12" max="12" width="2.81640625" customWidth="1"/>
    <col min="13" max="13" width="10.26953125" bestFit="1" customWidth="1"/>
    <col min="14" max="14" width="9.26953125" bestFit="1" customWidth="1"/>
  </cols>
  <sheetData>
    <row r="1" spans="1:14" x14ac:dyDescent="0.35">
      <c r="E1" s="5" t="s">
        <v>11</v>
      </c>
      <c r="F1" s="5" t="s">
        <v>12</v>
      </c>
      <c r="G1" s="5" t="s">
        <v>29</v>
      </c>
      <c r="H1" s="5" t="s">
        <v>32</v>
      </c>
      <c r="M1" s="5" t="s">
        <v>30</v>
      </c>
      <c r="N1" s="5" t="s">
        <v>33</v>
      </c>
    </row>
    <row r="2" spans="1:14" x14ac:dyDescent="0.35">
      <c r="A2" s="7"/>
      <c r="B2" s="8">
        <v>108</v>
      </c>
      <c r="C2" s="8" t="s">
        <v>25</v>
      </c>
      <c r="D2" s="9">
        <v>42387</v>
      </c>
      <c r="E2" s="8">
        <v>0.53749999999999998</v>
      </c>
      <c r="F2" s="10">
        <v>1860.4650999999999</v>
      </c>
      <c r="G2" s="10">
        <v>1000</v>
      </c>
      <c r="H2" s="10">
        <f>E2*F$5</f>
        <v>992.68724999999995</v>
      </c>
      <c r="I2" s="8">
        <v>1</v>
      </c>
      <c r="J2" s="8"/>
      <c r="K2" s="8"/>
      <c r="L2" s="8"/>
      <c r="M2" s="1">
        <f>G2</f>
        <v>1000</v>
      </c>
      <c r="N2" s="1">
        <f>H2-M2</f>
        <v>-7.3127500000000509</v>
      </c>
    </row>
    <row r="3" spans="1:14" x14ac:dyDescent="0.35">
      <c r="A3" s="7"/>
      <c r="B3" s="8">
        <v>171</v>
      </c>
      <c r="C3" s="8" t="s">
        <v>5</v>
      </c>
      <c r="D3" s="9">
        <v>43516</v>
      </c>
      <c r="E3" s="8">
        <v>0.46779999999999999</v>
      </c>
      <c r="F3" s="10">
        <v>1895.2417</v>
      </c>
      <c r="G3" s="10">
        <v>886.59</v>
      </c>
      <c r="H3" s="10">
        <f t="shared" ref="H3:H5" si="0">E3*F$5</f>
        <v>863.96110799999997</v>
      </c>
      <c r="I3" s="8">
        <v>1</v>
      </c>
      <c r="J3" s="8"/>
      <c r="K3" s="8" t="s">
        <v>6</v>
      </c>
      <c r="L3" s="8"/>
      <c r="M3" s="16">
        <f>F8*H8+F9*H9</f>
        <v>583.23877882617819</v>
      </c>
      <c r="N3" s="1">
        <f t="shared" ref="N3:N4" si="1">H3-M3</f>
        <v>280.72232917382178</v>
      </c>
    </row>
    <row r="4" spans="1:14" x14ac:dyDescent="0.35">
      <c r="A4" s="7"/>
      <c r="B4" s="8">
        <v>201</v>
      </c>
      <c r="C4" s="8" t="s">
        <v>5</v>
      </c>
      <c r="D4" s="9">
        <v>44477</v>
      </c>
      <c r="E4" s="8">
        <v>5.1657999999999999</v>
      </c>
      <c r="F4" s="10">
        <v>1904.1615999999999</v>
      </c>
      <c r="G4" s="10">
        <v>9836.52</v>
      </c>
      <c r="H4" s="10">
        <f t="shared" si="0"/>
        <v>9540.5093879999986</v>
      </c>
      <c r="I4" s="8">
        <v>1</v>
      </c>
      <c r="J4" s="8"/>
      <c r="K4" s="8" t="s">
        <v>9</v>
      </c>
      <c r="L4" s="8"/>
      <c r="M4" s="16">
        <f>F11*H11+F12*H12</f>
        <v>7668.9883064872101</v>
      </c>
      <c r="N4" s="1">
        <f t="shared" si="1"/>
        <v>1871.5210815127884</v>
      </c>
    </row>
    <row r="5" spans="1:14" x14ac:dyDescent="0.35">
      <c r="A5" s="7"/>
      <c r="B5" s="8"/>
      <c r="C5" s="8"/>
      <c r="D5" s="9" t="s">
        <v>13</v>
      </c>
      <c r="E5" s="8">
        <f>SUM(E2:E4)</f>
        <v>6.1711</v>
      </c>
      <c r="F5" s="10">
        <v>1846.86</v>
      </c>
      <c r="G5" s="10"/>
      <c r="H5" s="10">
        <f>SUM(H2:H4)</f>
        <v>11397.157745999999</v>
      </c>
      <c r="I5" s="8"/>
      <c r="J5" s="8"/>
      <c r="K5" s="8"/>
      <c r="L5" s="8"/>
      <c r="M5" s="4">
        <f>SUM(M2:M4)</f>
        <v>9252.2270853133887</v>
      </c>
      <c r="N5" s="4">
        <f>SUM(N2:N4)</f>
        <v>2144.9306606866103</v>
      </c>
    </row>
    <row r="6" spans="1:14" x14ac:dyDescent="0.35">
      <c r="A6" s="7"/>
      <c r="B6" s="8"/>
      <c r="C6" s="8"/>
      <c r="D6" s="9"/>
      <c r="E6" s="8"/>
      <c r="F6" s="10"/>
      <c r="G6" s="10"/>
      <c r="H6" s="10"/>
      <c r="I6" s="8"/>
      <c r="J6" s="8"/>
      <c r="K6" s="8"/>
      <c r="L6" s="8"/>
      <c r="M6" s="4">
        <f>H5-M5</f>
        <v>2144.9306606866103</v>
      </c>
      <c r="N6" s="2" t="s">
        <v>31</v>
      </c>
    </row>
    <row r="7" spans="1:14" x14ac:dyDescent="0.35">
      <c r="D7" s="5" t="s">
        <v>27</v>
      </c>
      <c r="E7" s="5" t="s">
        <v>11</v>
      </c>
      <c r="F7" s="5" t="s">
        <v>26</v>
      </c>
      <c r="G7" s="5" t="s">
        <v>12</v>
      </c>
      <c r="H7" s="5" t="s">
        <v>28</v>
      </c>
    </row>
    <row r="8" spans="1:14" x14ac:dyDescent="0.35">
      <c r="B8">
        <v>81</v>
      </c>
      <c r="C8">
        <v>171</v>
      </c>
      <c r="D8">
        <v>17</v>
      </c>
      <c r="E8">
        <v>0.30009999999999998</v>
      </c>
      <c r="F8">
        <v>18.2224</v>
      </c>
      <c r="G8" s="1">
        <f>F3</f>
        <v>1895.2417</v>
      </c>
      <c r="H8" s="16">
        <v>19.7899983277443</v>
      </c>
    </row>
    <row r="9" spans="1:14" x14ac:dyDescent="0.35">
      <c r="B9">
        <v>82</v>
      </c>
      <c r="C9">
        <v>171</v>
      </c>
      <c r="D9">
        <v>27</v>
      </c>
      <c r="E9">
        <v>0.16769999999999999</v>
      </c>
      <c r="F9">
        <v>13.0237</v>
      </c>
      <c r="G9" s="1">
        <f>G8</f>
        <v>1895.2417</v>
      </c>
      <c r="H9" s="16">
        <v>17.093261768828398</v>
      </c>
    </row>
    <row r="10" spans="1:14" x14ac:dyDescent="0.35">
      <c r="H10" s="16"/>
    </row>
    <row r="11" spans="1:14" x14ac:dyDescent="0.35">
      <c r="B11">
        <v>88</v>
      </c>
      <c r="C11">
        <v>201</v>
      </c>
      <c r="D11">
        <v>15</v>
      </c>
      <c r="E11">
        <v>4.6418999999999997</v>
      </c>
      <c r="F11">
        <v>321.66890000000001</v>
      </c>
      <c r="G11" s="1">
        <f>F4</f>
        <v>1904.1615999999999</v>
      </c>
      <c r="H11" s="16">
        <v>22.9920399034783</v>
      </c>
    </row>
    <row r="12" spans="1:14" x14ac:dyDescent="0.35">
      <c r="B12">
        <v>89</v>
      </c>
      <c r="C12">
        <v>201</v>
      </c>
      <c r="D12">
        <v>16</v>
      </c>
      <c r="E12">
        <v>0.52390000000000003</v>
      </c>
      <c r="F12">
        <v>14.9597</v>
      </c>
      <c r="G12" s="1">
        <f>G11</f>
        <v>1904.1615999999999</v>
      </c>
      <c r="H12" s="16">
        <v>18.259999998612201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59EB-DCDD-42EB-8735-4CF6CA83B044}">
  <dimension ref="A1:R11"/>
  <sheetViews>
    <sheetView zoomScale="130" zoomScaleNormal="130" workbookViewId="0">
      <selection sqref="A1:F1"/>
    </sheetView>
  </sheetViews>
  <sheetFormatPr defaultRowHeight="14.5" x14ac:dyDescent="0.35"/>
  <cols>
    <col min="1" max="1" width="3.1796875" customWidth="1"/>
    <col min="2" max="2" width="3.90625" bestFit="1" customWidth="1"/>
    <col min="3" max="3" width="8.81640625" bestFit="1" customWidth="1"/>
    <col min="4" max="4" width="10.7265625" bestFit="1" customWidth="1"/>
    <col min="5" max="5" width="9.1796875" bestFit="1" customWidth="1"/>
    <col min="6" max="6" width="8.08984375" bestFit="1" customWidth="1"/>
    <col min="7" max="7" width="10.6328125" bestFit="1" customWidth="1"/>
    <col min="8" max="8" width="10.6328125" hidden="1" customWidth="1"/>
    <col min="9" max="13" width="0" hidden="1" customWidth="1"/>
    <col min="14" max="14" width="2.81640625" customWidth="1"/>
    <col min="16" max="16" width="2.1796875" customWidth="1"/>
    <col min="17" max="17" width="10.6328125" bestFit="1" customWidth="1"/>
  </cols>
  <sheetData>
    <row r="1" spans="1:18" x14ac:dyDescent="0.35">
      <c r="E1" s="3" t="s">
        <v>11</v>
      </c>
      <c r="F1" s="3" t="s">
        <v>12</v>
      </c>
      <c r="Q1" s="3" t="s">
        <v>15</v>
      </c>
      <c r="R1" s="2" t="s">
        <v>16</v>
      </c>
    </row>
    <row r="2" spans="1:18" x14ac:dyDescent="0.35">
      <c r="A2" s="7"/>
      <c r="B2" s="8">
        <v>101</v>
      </c>
      <c r="C2" s="8" t="s">
        <v>5</v>
      </c>
      <c r="D2" s="9">
        <v>42279</v>
      </c>
      <c r="E2" s="11">
        <v>160.75280000000001</v>
      </c>
      <c r="F2" s="10">
        <v>323.52999999999997</v>
      </c>
      <c r="G2" s="10">
        <v>52008.35</v>
      </c>
      <c r="H2" s="10">
        <v>52008.35</v>
      </c>
      <c r="I2" s="8">
        <v>1</v>
      </c>
      <c r="J2" s="8"/>
      <c r="K2" s="8" t="s">
        <v>6</v>
      </c>
      <c r="L2" s="8"/>
      <c r="M2" s="8" t="s">
        <v>7</v>
      </c>
      <c r="O2" s="12">
        <f>E2</f>
        <v>160.75280000000001</v>
      </c>
    </row>
    <row r="3" spans="1:18" x14ac:dyDescent="0.35">
      <c r="A3" s="7"/>
      <c r="B3" s="8">
        <v>172</v>
      </c>
      <c r="C3" s="8" t="s">
        <v>8</v>
      </c>
      <c r="D3" s="9">
        <v>43525</v>
      </c>
      <c r="E3" s="11">
        <v>80.752799999999993</v>
      </c>
      <c r="F3" s="10">
        <v>375.55</v>
      </c>
      <c r="G3" s="10">
        <v>30326.71</v>
      </c>
      <c r="H3" s="10">
        <v>30326.71</v>
      </c>
      <c r="I3" s="8">
        <v>1</v>
      </c>
      <c r="J3" s="8"/>
      <c r="K3" s="8"/>
      <c r="L3" s="8" t="s">
        <v>9</v>
      </c>
      <c r="M3" s="8"/>
      <c r="O3" s="12">
        <f>O2-E3</f>
        <v>80.000000000000014</v>
      </c>
    </row>
    <row r="4" spans="1:18" x14ac:dyDescent="0.35">
      <c r="A4" s="7"/>
      <c r="B4" s="8">
        <v>196</v>
      </c>
      <c r="C4" s="8" t="s">
        <v>8</v>
      </c>
      <c r="D4" s="9">
        <v>44469</v>
      </c>
      <c r="E4" s="11">
        <v>20</v>
      </c>
      <c r="F4" s="10">
        <v>533.87</v>
      </c>
      <c r="G4" s="10">
        <v>10677.4</v>
      </c>
      <c r="H4" s="10">
        <v>10677.4</v>
      </c>
      <c r="I4" s="8">
        <v>1</v>
      </c>
      <c r="J4" s="8"/>
      <c r="K4" s="8"/>
      <c r="L4" s="8" t="s">
        <v>10</v>
      </c>
      <c r="M4" s="8"/>
      <c r="O4" s="12">
        <f t="shared" ref="O4:O5" si="0">O3-E4</f>
        <v>60.000000000000014</v>
      </c>
    </row>
    <row r="5" spans="1:18" x14ac:dyDescent="0.35">
      <c r="A5" s="7"/>
      <c r="B5" s="8">
        <v>204</v>
      </c>
      <c r="C5" s="8" t="s">
        <v>8</v>
      </c>
      <c r="D5" s="9">
        <v>44522</v>
      </c>
      <c r="E5" s="11">
        <v>35</v>
      </c>
      <c r="F5" s="10">
        <v>574.70000000000005</v>
      </c>
      <c r="G5" s="10">
        <v>20114.5</v>
      </c>
      <c r="H5" s="10">
        <v>20114.5</v>
      </c>
      <c r="I5" s="8">
        <v>1</v>
      </c>
      <c r="J5" s="8"/>
      <c r="K5" s="8"/>
      <c r="L5" s="8" t="s">
        <v>10</v>
      </c>
      <c r="M5" s="8"/>
      <c r="O5" s="12">
        <f t="shared" si="0"/>
        <v>25.000000000000014</v>
      </c>
    </row>
    <row r="6" spans="1:18" x14ac:dyDescent="0.35">
      <c r="C6" s="8" t="s">
        <v>14</v>
      </c>
      <c r="D6" t="s">
        <v>13</v>
      </c>
      <c r="E6" s="12">
        <f>+E2-E3-E4-E5</f>
        <v>25.000000000000014</v>
      </c>
      <c r="F6" s="10">
        <v>458.06</v>
      </c>
      <c r="G6" s="10">
        <f>E6*F5</f>
        <v>14367.500000000009</v>
      </c>
      <c r="Q6" s="10">
        <f>E6*F6</f>
        <v>11451.500000000007</v>
      </c>
    </row>
    <row r="9" spans="1:18" x14ac:dyDescent="0.35">
      <c r="B9">
        <v>17</v>
      </c>
      <c r="E9">
        <v>87.633899999999997</v>
      </c>
      <c r="F9" s="10">
        <v>323.52997894904399</v>
      </c>
    </row>
    <row r="10" spans="1:18" x14ac:dyDescent="0.35">
      <c r="D10" t="s">
        <v>0</v>
      </c>
      <c r="E10" s="14">
        <v>992.3886</v>
      </c>
      <c r="F10" s="10">
        <v>19.7899983277443</v>
      </c>
    </row>
    <row r="11" spans="1:18" x14ac:dyDescent="0.35">
      <c r="E11">
        <f>E6/E9*E10</f>
        <v>283.10636637191789</v>
      </c>
      <c r="G11" s="1">
        <f>F10*E11</f>
        <v>5602.6745170740205</v>
      </c>
      <c r="Q11" s="1">
        <f>+Q6-G11</f>
        <v>5848.8254829259868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19-NB Capital Plus FI</vt:lpstr>
      <vt:lpstr>Aktien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2022-05-23T10:53:42Z</dcterms:created>
  <dcterms:modified xsi:type="dcterms:W3CDTF">2022-05-23T17:58:10Z</dcterms:modified>
</cp:coreProperties>
</file>