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Sheet1" sheetId="1" r:id="rId1"/>
    <sheet name="Sheet2" sheetId="2" r:id="rId2"/>
  </sheets>
  <calcPr calcId="125725"/>
</workbook>
</file>

<file path=xl/calcChain.xml><?xml version="1.0" encoding="utf-8"?>
<calcChain xmlns="http://schemas.openxmlformats.org/spreadsheetml/2006/main">
  <c r="D47" i="1"/>
  <c r="D46"/>
  <c r="J4"/>
  <c r="J3"/>
  <c r="K4" s="1"/>
  <c r="I4"/>
  <c r="H40"/>
  <c r="H35"/>
  <c r="H33"/>
  <c r="H31"/>
  <c r="H29"/>
  <c r="H37"/>
  <c r="H41"/>
  <c r="G29"/>
  <c r="G30"/>
  <c r="H30" s="1"/>
  <c r="G31"/>
  <c r="G32"/>
  <c r="H32" s="1"/>
  <c r="G33"/>
  <c r="G34"/>
  <c r="H34" s="1"/>
  <c r="G35"/>
  <c r="G36"/>
  <c r="H36" s="1"/>
  <c r="G37"/>
  <c r="G38"/>
  <c r="H38" s="1"/>
  <c r="G39"/>
  <c r="H39" s="1"/>
  <c r="G40"/>
  <c r="G41"/>
  <c r="G28"/>
  <c r="H28" s="1"/>
  <c r="H42" s="1"/>
  <c r="F30"/>
  <c r="F31" s="1"/>
  <c r="F32" s="1"/>
  <c r="F33" s="1"/>
  <c r="F34" s="1"/>
  <c r="F35" s="1"/>
  <c r="F36" s="1"/>
  <c r="F37" s="1"/>
  <c r="F38" s="1"/>
  <c r="F29"/>
  <c r="F28"/>
  <c r="G24"/>
  <c r="H24" s="1"/>
  <c r="H25" s="1"/>
  <c r="H19"/>
  <c r="G19"/>
  <c r="G18"/>
  <c r="H18" s="1"/>
  <c r="F18"/>
  <c r="F19" s="1"/>
  <c r="G14"/>
  <c r="H14" s="1"/>
  <c r="G12"/>
  <c r="H12" s="1"/>
  <c r="F12"/>
  <c r="F13" s="1"/>
  <c r="F14" s="1"/>
  <c r="G13" s="1"/>
  <c r="H13" s="1"/>
  <c r="G8"/>
  <c r="H8" s="1"/>
  <c r="G7"/>
  <c r="H7" s="1"/>
  <c r="G6"/>
  <c r="H6" s="1"/>
  <c r="G5"/>
  <c r="H5" s="1"/>
  <c r="G4"/>
  <c r="H4" s="1"/>
  <c r="G3"/>
  <c r="H3" s="1"/>
  <c r="F3"/>
  <c r="F4" s="1"/>
  <c r="F5" s="1"/>
  <c r="F6" s="1"/>
  <c r="F7" s="1"/>
  <c r="F8" s="1"/>
  <c r="F3" i="2"/>
  <c r="F4"/>
  <c r="F5"/>
  <c r="F11" s="1"/>
  <c r="F6"/>
  <c r="F7"/>
  <c r="F8"/>
  <c r="F9"/>
  <c r="F10"/>
  <c r="F2"/>
  <c r="F39" i="1" l="1"/>
  <c r="F40" s="1"/>
  <c r="F41" s="1"/>
  <c r="H20"/>
  <c r="H15"/>
  <c r="H9"/>
  <c r="H44" l="1"/>
</calcChain>
</file>

<file path=xl/comments1.xml><?xml version="1.0" encoding="utf-8"?>
<comments xmlns="http://schemas.openxmlformats.org/spreadsheetml/2006/main">
  <authors>
    <author>joanp</author>
  </authors>
  <commentList>
    <comment ref="H23" authorId="0">
      <text>
        <r>
          <rPr>
            <b/>
            <sz val="9"/>
            <color indexed="81"/>
            <rFont val="Tahoma"/>
            <family val="2"/>
          </rPr>
          <t>Preu venda de America Extended</t>
        </r>
      </text>
    </comment>
  </commentList>
</comments>
</file>

<file path=xl/sharedStrings.xml><?xml version="1.0" encoding="utf-8"?>
<sst xmlns="http://schemas.openxmlformats.org/spreadsheetml/2006/main" count="58" uniqueCount="18">
  <si>
    <t>Asian Smaller Companies Fund</t>
  </si>
  <si>
    <t>Thailand A-USD</t>
  </si>
  <si>
    <t>Patrimoine A EUR Acc</t>
  </si>
  <si>
    <t>Indonesia Fund A-USD</t>
  </si>
  <si>
    <t>Telefònica</t>
  </si>
  <si>
    <t>Id Mov</t>
  </si>
  <si>
    <t>Data</t>
  </si>
  <si>
    <t>Parts</t>
  </si>
  <si>
    <t>PU</t>
  </si>
  <si>
    <t>Compra</t>
  </si>
  <si>
    <t>Venda</t>
  </si>
  <si>
    <t>PiG</t>
  </si>
  <si>
    <t>Saldo parts</t>
  </si>
  <si>
    <t>Parts utilitz</t>
  </si>
  <si>
    <t>Import B</t>
  </si>
  <si>
    <t>Traspàs C</t>
  </si>
  <si>
    <t>PiG Total</t>
  </si>
  <si>
    <t>Id</t>
  </si>
</sst>
</file>

<file path=xl/styles.xml><?xml version="1.0" encoding="utf-8"?>
<styleSheet xmlns="http://schemas.openxmlformats.org/spreadsheetml/2006/main">
  <numFmts count="5">
    <numFmt numFmtId="8" formatCode="#,##0.00\ &quot;€&quot;;[Red]\-#,##0.00\ &quot;€&quot;"/>
    <numFmt numFmtId="164" formatCode="#,##0.0000"/>
    <numFmt numFmtId="165" formatCode="#,##0.00\ &quot;€&quot;"/>
    <numFmt numFmtId="170" formatCode="#,##0.0000_ ;[Red]\-#,##0.0000\ "/>
    <numFmt numFmtId="171" formatCode="#,##0.000_ ;[Red]\-#,##0.000\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8" fontId="0" fillId="0" borderId="0" xfId="0" applyNumberFormat="1"/>
    <xf numFmtId="8" fontId="0" fillId="0" borderId="0" xfId="0" applyNumberFormat="1" applyAlignment="1">
      <alignment wrapText="1"/>
    </xf>
    <xf numFmtId="4" fontId="0" fillId="0" borderId="0" xfId="0" applyNumberFormat="1"/>
    <xf numFmtId="4" fontId="0" fillId="0" borderId="0" xfId="0" applyNumberFormat="1" applyAlignment="1">
      <alignment wrapText="1"/>
    </xf>
    <xf numFmtId="170" fontId="0" fillId="0" borderId="0" xfId="0" applyNumberFormat="1" applyAlignment="1">
      <alignment wrapText="1"/>
    </xf>
    <xf numFmtId="8" fontId="1" fillId="0" borderId="0" xfId="0" applyNumberFormat="1" applyFont="1"/>
    <xf numFmtId="171" fontId="0" fillId="0" borderId="0" xfId="0" applyNumberFormat="1"/>
    <xf numFmtId="0" fontId="1" fillId="0" borderId="0" xfId="0" applyFont="1" applyAlignment="1">
      <alignment horizontal="right"/>
    </xf>
    <xf numFmtId="8" fontId="1" fillId="0" borderId="0" xfId="0" applyNumberFormat="1" applyFont="1" applyAlignment="1">
      <alignment horizontal="center"/>
    </xf>
    <xf numFmtId="8" fontId="1" fillId="0" borderId="0" xfId="0" applyNumberFormat="1" applyFont="1" applyAlignment="1"/>
    <xf numFmtId="8" fontId="0" fillId="0" borderId="0" xfId="0" applyNumberFormat="1" applyAlignment="1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zoomScale="130" zoomScaleNormal="130" workbookViewId="0">
      <pane ySplit="1" topLeftCell="A2" activePane="bottomLeft" state="frozen"/>
      <selection pane="bottomLeft" activeCell="B5" sqref="B5"/>
    </sheetView>
  </sheetViews>
  <sheetFormatPr defaultRowHeight="14.5"/>
  <cols>
    <col min="1" max="1" width="5.7265625" style="20" customWidth="1"/>
    <col min="2" max="2" width="13.7265625" customWidth="1"/>
    <col min="3" max="3" width="16.36328125" customWidth="1"/>
    <col min="6" max="6" width="10" customWidth="1"/>
    <col min="7" max="7" width="10.81640625" customWidth="1"/>
    <col min="8" max="8" width="11.6328125" style="19" customWidth="1"/>
    <col min="10" max="11" width="10.6328125" bestFit="1" customWidth="1"/>
  </cols>
  <sheetData>
    <row r="1" spans="1:11">
      <c r="A1" s="3" t="s">
        <v>17</v>
      </c>
      <c r="C1" s="3" t="s">
        <v>6</v>
      </c>
      <c r="D1" s="3" t="s">
        <v>7</v>
      </c>
      <c r="E1" s="5" t="s">
        <v>8</v>
      </c>
      <c r="F1" s="3" t="s">
        <v>12</v>
      </c>
      <c r="G1" s="16" t="s">
        <v>13</v>
      </c>
      <c r="H1" s="17" t="s">
        <v>14</v>
      </c>
    </row>
    <row r="2" spans="1:11">
      <c r="A2" s="2" t="s">
        <v>0</v>
      </c>
      <c r="E2" s="6"/>
      <c r="F2" s="3"/>
      <c r="G2" s="16"/>
      <c r="H2" s="18"/>
    </row>
    <row r="3" spans="1:11">
      <c r="A3" s="21">
        <v>1</v>
      </c>
      <c r="B3" s="7" t="s">
        <v>9</v>
      </c>
      <c r="C3" s="8">
        <v>41172</v>
      </c>
      <c r="D3" s="7">
        <v>325.52199999999999</v>
      </c>
      <c r="E3" s="10">
        <v>30.719899999999999</v>
      </c>
      <c r="F3" s="15">
        <f>D3</f>
        <v>325.52199999999999</v>
      </c>
      <c r="G3" s="13">
        <f>D3</f>
        <v>325.52199999999999</v>
      </c>
      <c r="H3" s="19">
        <f>-G3*E3</f>
        <v>-10000.0032878</v>
      </c>
      <c r="J3" s="9">
        <f>D3*E3</f>
        <v>10000.0032878</v>
      </c>
    </row>
    <row r="4" spans="1:11">
      <c r="A4" s="21">
        <v>2</v>
      </c>
      <c r="B4" s="7" t="s">
        <v>9</v>
      </c>
      <c r="C4" s="8">
        <v>41187</v>
      </c>
      <c r="D4" s="12">
        <v>1267.6880000000001</v>
      </c>
      <c r="E4" s="10">
        <v>31.5535</v>
      </c>
      <c r="F4" s="9">
        <f>F3+D4</f>
        <v>1593.21</v>
      </c>
      <c r="G4" s="13">
        <f>D4</f>
        <v>1267.6880000000001</v>
      </c>
      <c r="H4" s="19">
        <f>-G4*E4</f>
        <v>-39999.993308000005</v>
      </c>
      <c r="I4" s="11">
        <f>+D6-D3</f>
        <v>1090.0600000000002</v>
      </c>
      <c r="J4" s="9">
        <f>I4*E4</f>
        <v>34395.208210000004</v>
      </c>
      <c r="K4" s="9">
        <f>+J3+J4</f>
        <v>44395.211497800003</v>
      </c>
    </row>
    <row r="5" spans="1:11">
      <c r="A5" s="21">
        <v>3</v>
      </c>
      <c r="B5" s="7" t="s">
        <v>9</v>
      </c>
      <c r="C5" s="8">
        <v>41410</v>
      </c>
      <c r="D5" s="7">
        <v>522.37400000000002</v>
      </c>
      <c r="E5" s="10">
        <v>38.286799999999999</v>
      </c>
      <c r="F5" s="9">
        <f>F4+D5</f>
        <v>2115.5839999999998</v>
      </c>
      <c r="G5" s="13">
        <f>D5</f>
        <v>522.37400000000002</v>
      </c>
      <c r="H5" s="19">
        <f>-G5*E5</f>
        <v>-20000.028863200001</v>
      </c>
    </row>
    <row r="6" spans="1:11">
      <c r="A6" s="21">
        <v>4</v>
      </c>
      <c r="B6" s="7" t="s">
        <v>10</v>
      </c>
      <c r="C6" s="8">
        <v>41438</v>
      </c>
      <c r="D6" s="12">
        <v>1415.5820000000001</v>
      </c>
      <c r="E6" s="10">
        <v>33.983400000000003</v>
      </c>
      <c r="F6" s="9">
        <f>F5-D6</f>
        <v>700.00199999999973</v>
      </c>
      <c r="G6" s="13">
        <f>D6</f>
        <v>1415.5820000000001</v>
      </c>
      <c r="H6" s="19">
        <f>G6*E6</f>
        <v>48106.289338800008</v>
      </c>
    </row>
    <row r="7" spans="1:11">
      <c r="A7" s="21">
        <v>5</v>
      </c>
      <c r="B7" s="7" t="s">
        <v>10</v>
      </c>
      <c r="C7" s="8">
        <v>41492</v>
      </c>
      <c r="D7" s="7">
        <v>178</v>
      </c>
      <c r="E7" s="10">
        <v>33.8964</v>
      </c>
      <c r="F7" s="9">
        <f>F6-D7</f>
        <v>522.00199999999973</v>
      </c>
      <c r="G7" s="13">
        <f>D7</f>
        <v>178</v>
      </c>
      <c r="H7" s="19">
        <f>G7*E7</f>
        <v>6033.5591999999997</v>
      </c>
    </row>
    <row r="8" spans="1:11">
      <c r="A8" s="21">
        <v>6</v>
      </c>
      <c r="B8" s="7" t="s">
        <v>10</v>
      </c>
      <c r="C8" s="8">
        <v>41506</v>
      </c>
      <c r="D8" s="7">
        <v>522.00199999999995</v>
      </c>
      <c r="E8" s="10">
        <v>32.470300000000002</v>
      </c>
      <c r="F8" s="9">
        <f>F7-D8</f>
        <v>0</v>
      </c>
      <c r="G8" s="13">
        <f>D8</f>
        <v>522.00199999999995</v>
      </c>
      <c r="H8" s="19">
        <f>G8*E8</f>
        <v>16949.5615406</v>
      </c>
    </row>
    <row r="9" spans="1:11">
      <c r="E9" s="2"/>
      <c r="F9" s="14"/>
      <c r="G9" s="16" t="s">
        <v>11</v>
      </c>
      <c r="H9" s="18">
        <f>SUM(H3:H8)</f>
        <v>1089.384620400011</v>
      </c>
    </row>
    <row r="10" spans="1:11">
      <c r="E10" s="6"/>
    </row>
    <row r="11" spans="1:11">
      <c r="A11" s="2" t="s">
        <v>1</v>
      </c>
      <c r="E11" s="6"/>
    </row>
    <row r="12" spans="1:11">
      <c r="A12" s="21">
        <v>11</v>
      </c>
      <c r="B12" s="7" t="s">
        <v>9</v>
      </c>
      <c r="C12" s="8">
        <v>41554</v>
      </c>
      <c r="D12" s="7">
        <v>28.28</v>
      </c>
      <c r="E12" s="10">
        <v>35.357100000000003</v>
      </c>
      <c r="F12" s="15">
        <f>D12</f>
        <v>28.28</v>
      </c>
      <c r="G12" s="13">
        <f>D12</f>
        <v>28.28</v>
      </c>
      <c r="H12" s="19">
        <f>-G12*E12</f>
        <v>-999.89878800000008</v>
      </c>
    </row>
    <row r="13" spans="1:11">
      <c r="A13" s="21">
        <v>12</v>
      </c>
      <c r="B13" s="7" t="s">
        <v>9</v>
      </c>
      <c r="C13" s="8">
        <v>41565</v>
      </c>
      <c r="D13" s="7">
        <v>134.86000000000001</v>
      </c>
      <c r="E13" s="10">
        <v>37.076300000000003</v>
      </c>
      <c r="F13" s="15">
        <f>F12+D13</f>
        <v>163.14000000000001</v>
      </c>
      <c r="G13" s="13">
        <f>D13-F14</f>
        <v>131.72</v>
      </c>
      <c r="H13" s="19">
        <f>-G13*E13</f>
        <v>-4883.6902360000004</v>
      </c>
    </row>
    <row r="14" spans="1:11">
      <c r="A14" s="21">
        <v>13</v>
      </c>
      <c r="B14" s="7" t="s">
        <v>10</v>
      </c>
      <c r="C14" s="8">
        <v>41639</v>
      </c>
      <c r="D14" s="7">
        <v>160</v>
      </c>
      <c r="E14" s="10">
        <v>30.947800000000001</v>
      </c>
      <c r="F14" s="15">
        <f>F13-D14</f>
        <v>3.1400000000000148</v>
      </c>
      <c r="G14" s="13">
        <f>D14</f>
        <v>160</v>
      </c>
      <c r="H14" s="19">
        <f>G14*E14</f>
        <v>4951.6480000000001</v>
      </c>
    </row>
    <row r="15" spans="1:11">
      <c r="E15" s="6"/>
      <c r="F15" s="9"/>
      <c r="G15" s="16" t="s">
        <v>11</v>
      </c>
      <c r="H15" s="18">
        <f>SUM(H12:H14)</f>
        <v>-931.94102400000065</v>
      </c>
    </row>
    <row r="16" spans="1:11">
      <c r="E16" s="6"/>
    </row>
    <row r="17" spans="1:8">
      <c r="A17" s="2" t="s">
        <v>2</v>
      </c>
      <c r="E17" s="6"/>
    </row>
    <row r="18" spans="1:8">
      <c r="A18" s="21">
        <v>35</v>
      </c>
      <c r="B18" s="7" t="s">
        <v>9</v>
      </c>
      <c r="C18" s="8">
        <v>41201</v>
      </c>
      <c r="D18" s="7">
        <v>21.84</v>
      </c>
      <c r="E18" s="10">
        <v>549.56460000000004</v>
      </c>
      <c r="F18">
        <f>D18</f>
        <v>21.84</v>
      </c>
      <c r="G18">
        <f>D18</f>
        <v>21.84</v>
      </c>
      <c r="H18" s="19">
        <f>-G18*E18</f>
        <v>-12002.490864000001</v>
      </c>
    </row>
    <row r="19" spans="1:8">
      <c r="A19" s="21">
        <v>36</v>
      </c>
      <c r="B19" s="7" t="s">
        <v>10</v>
      </c>
      <c r="C19" s="8">
        <v>41436</v>
      </c>
      <c r="D19" s="7">
        <v>21.84</v>
      </c>
      <c r="E19" s="10">
        <v>547.44000000000005</v>
      </c>
      <c r="F19">
        <f>F18-D19</f>
        <v>0</v>
      </c>
      <c r="G19">
        <f>D19</f>
        <v>21.84</v>
      </c>
      <c r="H19" s="19">
        <f>G19*E19</f>
        <v>11956.089600000001</v>
      </c>
    </row>
    <row r="20" spans="1:8">
      <c r="G20" s="16" t="s">
        <v>11</v>
      </c>
      <c r="H20" s="18">
        <f>SUM(H18:H19)</f>
        <v>-46.401264000000083</v>
      </c>
    </row>
    <row r="22" spans="1:8">
      <c r="A22" s="2" t="s">
        <v>3</v>
      </c>
    </row>
    <row r="23" spans="1:8" ht="13.5" customHeight="1">
      <c r="A23" s="21">
        <v>34</v>
      </c>
      <c r="B23" s="7" t="s">
        <v>15</v>
      </c>
      <c r="C23" s="8">
        <v>41385</v>
      </c>
      <c r="D23" s="7">
        <v>394.85</v>
      </c>
      <c r="E23" s="10">
        <v>26.2791</v>
      </c>
      <c r="H23" s="19">
        <v>-10000</v>
      </c>
    </row>
    <row r="24" spans="1:8">
      <c r="A24" s="21">
        <v>42</v>
      </c>
      <c r="B24" s="7" t="s">
        <v>10</v>
      </c>
      <c r="C24" s="8">
        <v>41436</v>
      </c>
      <c r="D24" s="7">
        <v>394.85</v>
      </c>
      <c r="E24" s="10">
        <v>24.609000000000002</v>
      </c>
      <c r="G24">
        <f>D24</f>
        <v>394.85</v>
      </c>
      <c r="H24" s="19">
        <f>G24*E24</f>
        <v>9716.8636500000011</v>
      </c>
    </row>
    <row r="25" spans="1:8">
      <c r="G25" s="16" t="s">
        <v>11</v>
      </c>
      <c r="H25" s="18">
        <f>SUM(H23:H24)</f>
        <v>-283.13634999999886</v>
      </c>
    </row>
    <row r="27" spans="1:8">
      <c r="A27" s="2" t="s">
        <v>4</v>
      </c>
    </row>
    <row r="28" spans="1:8">
      <c r="A28" s="21">
        <v>43</v>
      </c>
      <c r="B28" s="7" t="s">
        <v>9</v>
      </c>
      <c r="C28" s="8">
        <v>36850</v>
      </c>
      <c r="D28" s="7">
        <v>60</v>
      </c>
      <c r="E28" s="10">
        <v>20.100000000000001</v>
      </c>
      <c r="F28">
        <f>D28</f>
        <v>60</v>
      </c>
      <c r="G28">
        <f>D28</f>
        <v>60</v>
      </c>
      <c r="H28" s="19">
        <f>-G28*E28</f>
        <v>-1206</v>
      </c>
    </row>
    <row r="29" spans="1:8">
      <c r="A29" s="21">
        <v>46</v>
      </c>
      <c r="B29" s="7" t="s">
        <v>9</v>
      </c>
      <c r="C29" s="8">
        <v>36910</v>
      </c>
      <c r="D29" s="7">
        <v>1</v>
      </c>
      <c r="E29" s="10">
        <v>3.25</v>
      </c>
      <c r="F29">
        <f>F28+D29</f>
        <v>61</v>
      </c>
      <c r="G29">
        <f t="shared" ref="G29:G41" si="0">D29</f>
        <v>1</v>
      </c>
      <c r="H29" s="19">
        <f t="shared" ref="H29:H36" si="1">-G29*E29</f>
        <v>-3.25</v>
      </c>
    </row>
    <row r="30" spans="1:8">
      <c r="A30" s="21">
        <v>49</v>
      </c>
      <c r="B30" s="7" t="s">
        <v>9</v>
      </c>
      <c r="C30" s="8">
        <v>36970</v>
      </c>
      <c r="D30" s="7">
        <v>1</v>
      </c>
      <c r="E30" s="10">
        <v>3.25</v>
      </c>
      <c r="F30">
        <f t="shared" ref="F30:F40" si="2">F29+D30</f>
        <v>62</v>
      </c>
      <c r="G30">
        <f t="shared" si="0"/>
        <v>1</v>
      </c>
      <c r="H30" s="19">
        <f t="shared" si="1"/>
        <v>-3.25</v>
      </c>
    </row>
    <row r="31" spans="1:8">
      <c r="A31" s="21">
        <v>51</v>
      </c>
      <c r="B31" s="7" t="s">
        <v>9</v>
      </c>
      <c r="C31" s="8">
        <v>37295</v>
      </c>
      <c r="D31" s="7">
        <v>1</v>
      </c>
      <c r="E31" s="10">
        <v>3.25</v>
      </c>
      <c r="F31">
        <f t="shared" si="2"/>
        <v>63</v>
      </c>
      <c r="G31">
        <f t="shared" si="0"/>
        <v>1</v>
      </c>
      <c r="H31" s="19">
        <f t="shared" si="1"/>
        <v>-3.25</v>
      </c>
    </row>
    <row r="32" spans="1:8">
      <c r="A32" s="21">
        <v>53</v>
      </c>
      <c r="B32" s="7" t="s">
        <v>9</v>
      </c>
      <c r="C32" s="8">
        <v>37351</v>
      </c>
      <c r="D32" s="7">
        <v>1</v>
      </c>
      <c r="E32" s="10">
        <v>3.25</v>
      </c>
      <c r="F32">
        <f t="shared" si="2"/>
        <v>64</v>
      </c>
      <c r="G32">
        <f t="shared" si="0"/>
        <v>1</v>
      </c>
      <c r="H32" s="19">
        <f t="shared" si="1"/>
        <v>-3.25</v>
      </c>
    </row>
    <row r="33" spans="1:8">
      <c r="A33" s="21">
        <v>55</v>
      </c>
      <c r="B33" s="7" t="s">
        <v>9</v>
      </c>
      <c r="C33" s="8">
        <v>37667</v>
      </c>
      <c r="D33" s="7">
        <v>1</v>
      </c>
      <c r="E33" s="10">
        <v>3.25</v>
      </c>
      <c r="F33">
        <f t="shared" si="2"/>
        <v>65</v>
      </c>
      <c r="G33">
        <f t="shared" si="0"/>
        <v>1</v>
      </c>
      <c r="H33" s="19">
        <f t="shared" si="1"/>
        <v>-3.25</v>
      </c>
    </row>
    <row r="34" spans="1:8">
      <c r="A34" s="21">
        <v>58</v>
      </c>
      <c r="B34" s="7" t="s">
        <v>9</v>
      </c>
      <c r="C34" s="8">
        <v>37712</v>
      </c>
      <c r="D34" s="7">
        <v>1</v>
      </c>
      <c r="E34" s="10">
        <v>3</v>
      </c>
      <c r="F34">
        <f t="shared" si="2"/>
        <v>66</v>
      </c>
      <c r="G34">
        <f t="shared" si="0"/>
        <v>1</v>
      </c>
      <c r="H34" s="19">
        <f t="shared" si="1"/>
        <v>-3</v>
      </c>
    </row>
    <row r="35" spans="1:8">
      <c r="A35" s="21">
        <v>63</v>
      </c>
      <c r="B35" s="7" t="s">
        <v>9</v>
      </c>
      <c r="C35" s="8">
        <v>38531</v>
      </c>
      <c r="D35" s="7">
        <v>3</v>
      </c>
      <c r="E35" s="10">
        <v>3.3E-3</v>
      </c>
      <c r="F35">
        <f t="shared" si="2"/>
        <v>69</v>
      </c>
      <c r="G35">
        <f t="shared" si="0"/>
        <v>3</v>
      </c>
      <c r="H35" s="19">
        <f t="shared" si="1"/>
        <v>-9.8999999999999991E-3</v>
      </c>
    </row>
    <row r="36" spans="1:8">
      <c r="A36" s="21">
        <v>64</v>
      </c>
      <c r="B36" s="7" t="s">
        <v>9</v>
      </c>
      <c r="C36" s="8">
        <v>41222</v>
      </c>
      <c r="D36" s="12">
        <v>1006</v>
      </c>
      <c r="E36" s="10">
        <v>9.92</v>
      </c>
      <c r="F36">
        <f t="shared" si="2"/>
        <v>1075</v>
      </c>
      <c r="G36">
        <f t="shared" si="0"/>
        <v>1006</v>
      </c>
      <c r="H36" s="19">
        <f t="shared" si="1"/>
        <v>-9979.52</v>
      </c>
    </row>
    <row r="37" spans="1:8">
      <c r="A37" s="21">
        <v>65</v>
      </c>
      <c r="B37" s="7" t="s">
        <v>10</v>
      </c>
      <c r="C37" s="8">
        <v>41289</v>
      </c>
      <c r="D37" s="7">
        <v>69</v>
      </c>
      <c r="E37" s="10">
        <v>10.96</v>
      </c>
      <c r="F37">
        <f>F36-D37</f>
        <v>1006</v>
      </c>
      <c r="G37">
        <f t="shared" si="0"/>
        <v>69</v>
      </c>
      <c r="H37" s="19">
        <f t="shared" ref="H37:H41" si="3">G37*E37</f>
        <v>756.24</v>
      </c>
    </row>
    <row r="38" spans="1:8">
      <c r="A38" s="21">
        <v>66</v>
      </c>
      <c r="B38" s="7" t="s">
        <v>10</v>
      </c>
      <c r="C38" s="8">
        <v>41289</v>
      </c>
      <c r="D38" s="12">
        <v>1006</v>
      </c>
      <c r="E38" s="10">
        <v>10.96</v>
      </c>
      <c r="F38">
        <f>F37-D38</f>
        <v>0</v>
      </c>
      <c r="G38">
        <f t="shared" si="0"/>
        <v>1006</v>
      </c>
      <c r="H38" s="19">
        <f t="shared" si="3"/>
        <v>11025.76</v>
      </c>
    </row>
    <row r="39" spans="1:8">
      <c r="A39" s="21">
        <v>67</v>
      </c>
      <c r="B39" s="7" t="s">
        <v>9</v>
      </c>
      <c r="C39" s="8">
        <v>41317</v>
      </c>
      <c r="D39" s="7">
        <v>920</v>
      </c>
      <c r="E39" s="10">
        <v>9.8949999999999996</v>
      </c>
      <c r="F39">
        <f t="shared" si="2"/>
        <v>920</v>
      </c>
      <c r="G39">
        <f t="shared" si="0"/>
        <v>920</v>
      </c>
      <c r="H39" s="19">
        <f t="shared" ref="H39:H40" si="4">-G39*E39</f>
        <v>-9103.4</v>
      </c>
    </row>
    <row r="40" spans="1:8">
      <c r="A40" s="21">
        <v>68</v>
      </c>
      <c r="B40" s="7" t="s">
        <v>9</v>
      </c>
      <c r="C40" s="8">
        <v>41317</v>
      </c>
      <c r="D40" s="7">
        <v>90</v>
      </c>
      <c r="E40" s="10">
        <v>9.8960000000000008</v>
      </c>
      <c r="F40">
        <f t="shared" si="2"/>
        <v>1010</v>
      </c>
      <c r="G40">
        <f t="shared" si="0"/>
        <v>90</v>
      </c>
      <c r="H40" s="19">
        <f t="shared" si="4"/>
        <v>-890.6400000000001</v>
      </c>
    </row>
    <row r="41" spans="1:8">
      <c r="A41" s="21">
        <v>69</v>
      </c>
      <c r="B41" s="7" t="s">
        <v>10</v>
      </c>
      <c r="C41" s="8">
        <v>41351</v>
      </c>
      <c r="D41" s="12">
        <v>1010</v>
      </c>
      <c r="E41" s="10">
        <v>11.2</v>
      </c>
      <c r="F41">
        <f>F40-D41</f>
        <v>0</v>
      </c>
      <c r="G41">
        <f t="shared" si="0"/>
        <v>1010</v>
      </c>
      <c r="H41" s="19">
        <f t="shared" si="3"/>
        <v>11312</v>
      </c>
    </row>
    <row r="42" spans="1:8">
      <c r="G42" s="16" t="s">
        <v>11</v>
      </c>
      <c r="H42" s="18">
        <f>SUM(H28:H41)</f>
        <v>1895.1800999999996</v>
      </c>
    </row>
    <row r="44" spans="1:8">
      <c r="G44" s="16" t="s">
        <v>16</v>
      </c>
      <c r="H44" s="18">
        <f>H9+H15+H20+H25+H42</f>
        <v>1723.086082400011</v>
      </c>
    </row>
    <row r="46" spans="1:8">
      <c r="B46" s="10">
        <v>30914.39</v>
      </c>
      <c r="C46" s="9">
        <v>31441.47</v>
      </c>
      <c r="D46" s="9">
        <f>+B46-C46</f>
        <v>-527.08000000000175</v>
      </c>
    </row>
    <row r="47" spans="1:8">
      <c r="B47" s="10">
        <v>116106.73</v>
      </c>
      <c r="C47" s="9">
        <v>116633.81</v>
      </c>
      <c r="D47" s="9">
        <f>+B47-C47</f>
        <v>-527.08000000000175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zoomScale="145" zoomScaleNormal="145" workbookViewId="0">
      <pane ySplit="1" topLeftCell="A2" activePane="bottomLeft" state="frozen"/>
      <selection pane="bottomLeft" activeCell="A17" sqref="A17"/>
    </sheetView>
  </sheetViews>
  <sheetFormatPr defaultRowHeight="14.5"/>
  <cols>
    <col min="1" max="1" width="18.36328125" customWidth="1"/>
    <col min="3" max="3" width="11.1796875" customWidth="1"/>
    <col min="4" max="4" width="9.81640625" bestFit="1" customWidth="1"/>
    <col min="5" max="5" width="8.7265625" style="6"/>
    <col min="6" max="6" width="11.36328125" customWidth="1"/>
    <col min="7" max="7" width="10.90625" bestFit="1" customWidth="1"/>
    <col min="8" max="8" width="11.08984375" customWidth="1"/>
  </cols>
  <sheetData>
    <row r="1" spans="1:6">
      <c r="A1" s="3"/>
      <c r="B1" s="3" t="s">
        <v>5</v>
      </c>
      <c r="C1" s="3" t="s">
        <v>6</v>
      </c>
      <c r="D1" s="3" t="s">
        <v>7</v>
      </c>
      <c r="E1" s="5" t="s">
        <v>8</v>
      </c>
    </row>
    <row r="2" spans="1:6">
      <c r="A2" t="s">
        <v>0</v>
      </c>
      <c r="B2">
        <v>4</v>
      </c>
      <c r="C2" s="1">
        <v>41438</v>
      </c>
      <c r="D2" s="4">
        <v>1415.5820000000001</v>
      </c>
      <c r="E2" s="6">
        <v>33.983393402854801</v>
      </c>
      <c r="F2" s="6">
        <f>D2*E2</f>
        <v>48106.280000000006</v>
      </c>
    </row>
    <row r="3" spans="1:6">
      <c r="A3" t="s">
        <v>0</v>
      </c>
      <c r="B3">
        <v>5</v>
      </c>
      <c r="C3" s="1">
        <v>41492</v>
      </c>
      <c r="D3" s="4">
        <v>178</v>
      </c>
      <c r="E3" s="6">
        <v>33.896398876404497</v>
      </c>
      <c r="F3" s="6">
        <f>D3*E3</f>
        <v>6033.5590000000002</v>
      </c>
    </row>
    <row r="4" spans="1:6">
      <c r="A4" t="s">
        <v>0</v>
      </c>
      <c r="B4">
        <v>6</v>
      </c>
      <c r="C4" s="1">
        <v>41506</v>
      </c>
      <c r="D4" s="4">
        <v>522.00199999999995</v>
      </c>
      <c r="E4" s="6">
        <v>32.470297048670297</v>
      </c>
      <c r="F4" s="6">
        <f>D4*E4</f>
        <v>16949.55999999999</v>
      </c>
    </row>
    <row r="5" spans="1:6">
      <c r="A5" t="s">
        <v>1</v>
      </c>
      <c r="B5">
        <v>13</v>
      </c>
      <c r="C5" s="1">
        <v>41639</v>
      </c>
      <c r="D5" s="4">
        <v>160</v>
      </c>
      <c r="E5" s="6">
        <v>30.947749999999999</v>
      </c>
      <c r="F5" s="6">
        <f>D5*E5</f>
        <v>4951.6399999999994</v>
      </c>
    </row>
    <row r="6" spans="1:6">
      <c r="A6" t="s">
        <v>2</v>
      </c>
      <c r="B6">
        <v>36</v>
      </c>
      <c r="C6" s="1">
        <v>41436</v>
      </c>
      <c r="D6" s="4">
        <v>21.84</v>
      </c>
      <c r="E6" s="6">
        <v>547.44001831501805</v>
      </c>
      <c r="F6" s="6">
        <f>D6*E6</f>
        <v>11956.089999999995</v>
      </c>
    </row>
    <row r="7" spans="1:6">
      <c r="A7" t="s">
        <v>3</v>
      </c>
      <c r="B7">
        <v>42</v>
      </c>
      <c r="C7" s="1">
        <v>41436</v>
      </c>
      <c r="D7" s="4">
        <v>394.85</v>
      </c>
      <c r="E7" s="6">
        <v>24.609000886412598</v>
      </c>
      <c r="F7" s="6">
        <f>D7*E7</f>
        <v>9716.8640000000159</v>
      </c>
    </row>
    <row r="8" spans="1:6">
      <c r="A8" t="s">
        <v>4</v>
      </c>
      <c r="B8">
        <v>65</v>
      </c>
      <c r="C8" s="1">
        <v>41289</v>
      </c>
      <c r="D8" s="4">
        <v>69</v>
      </c>
      <c r="E8" s="6">
        <v>10.96</v>
      </c>
      <c r="F8" s="6">
        <f>D8*E8</f>
        <v>756.24</v>
      </c>
    </row>
    <row r="9" spans="1:6">
      <c r="A9" t="s">
        <v>4</v>
      </c>
      <c r="B9">
        <v>66</v>
      </c>
      <c r="C9" s="1">
        <v>41289</v>
      </c>
      <c r="D9" s="4">
        <v>1006</v>
      </c>
      <c r="E9" s="6">
        <v>10.96</v>
      </c>
      <c r="F9" s="6">
        <f>D9*E9</f>
        <v>11025.76</v>
      </c>
    </row>
    <row r="10" spans="1:6">
      <c r="A10" t="s">
        <v>4</v>
      </c>
      <c r="B10">
        <v>69</v>
      </c>
      <c r="C10" s="1">
        <v>41351</v>
      </c>
      <c r="D10" s="4">
        <v>1010</v>
      </c>
      <c r="E10" s="6">
        <v>11.2</v>
      </c>
      <c r="F10" s="6">
        <f>D10*E10</f>
        <v>11312</v>
      </c>
    </row>
    <row r="11" spans="1:6">
      <c r="F11" s="6">
        <f>SUM(F2:F10)</f>
        <v>120807.99300000002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2021-04-27T15:16:20Z</dcterms:created>
  <dcterms:modified xsi:type="dcterms:W3CDTF">2021-04-27T16:54:17Z</dcterms:modified>
</cp:coreProperties>
</file>