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80" windowWidth="19140" windowHeight="7340" activeTab="1"/>
  </bookViews>
  <sheets>
    <sheet name="Sheet1" sheetId="1" r:id="rId1"/>
    <sheet name="Arcelor" sheetId="2" r:id="rId2"/>
  </sheets>
  <calcPr calcId="125725"/>
</workbook>
</file>

<file path=xl/calcChain.xml><?xml version="1.0" encoding="utf-8"?>
<calcChain xmlns="http://schemas.openxmlformats.org/spreadsheetml/2006/main">
  <c r="U14" i="2"/>
  <c r="U11"/>
  <c r="V11"/>
  <c r="S11"/>
  <c r="R14"/>
  <c r="R11"/>
  <c r="P14"/>
  <c r="P11"/>
  <c r="N12"/>
  <c r="M8"/>
  <c r="P6"/>
  <c r="N8"/>
  <c r="N7"/>
  <c r="P2"/>
  <c r="M4"/>
  <c r="N3"/>
  <c r="F27" i="1" l="1"/>
  <c r="O20"/>
  <c r="N20"/>
  <c r="O11"/>
  <c r="N11"/>
  <c r="K11"/>
  <c r="J11"/>
  <c r="K20"/>
  <c r="J20"/>
  <c r="G20"/>
  <c r="F20"/>
  <c r="C20"/>
  <c r="G11"/>
  <c r="F11"/>
  <c r="C11"/>
  <c r="B11"/>
  <c r="O10" i="2"/>
  <c r="N4"/>
  <c r="L2"/>
  <c r="L5" s="1"/>
  <c r="L6" s="1"/>
  <c r="L9" s="1"/>
  <c r="L10" s="1"/>
  <c r="L11" s="1"/>
  <c r="L13" s="1"/>
  <c r="L14" s="1"/>
</calcChain>
</file>

<file path=xl/sharedStrings.xml><?xml version="1.0" encoding="utf-8"?>
<sst xmlns="http://schemas.openxmlformats.org/spreadsheetml/2006/main" count="125" uniqueCount="34">
  <si>
    <t>Debug Trace:</t>
  </si>
  <si>
    <t>Parts</t>
  </si>
  <si>
    <t>Import</t>
  </si>
  <si>
    <t>Optimal Income A-H Grs Acc Hdg EUR</t>
  </si>
  <si>
    <t>Biotechnology C USD Acc</t>
  </si>
  <si>
    <t>European Growth N Acc ?</t>
  </si>
  <si>
    <t>Total Return N Acc €-H1</t>
  </si>
  <si>
    <t>NB Capital Plus FI</t>
  </si>
  <si>
    <t>Bolsa Tecnología y Telecomunicaciones FI</t>
  </si>
  <si>
    <t>Prod Orig</t>
  </si>
  <si>
    <t>Prod Act</t>
  </si>
  <si>
    <t>Deutschland</t>
  </si>
  <si>
    <t>DWS Aktien Strategie Deutschland</t>
  </si>
  <si>
    <t>Global Technology A-Acc-EUR</t>
  </si>
  <si>
    <t>Traspasat de Aktien a Optimal</t>
  </si>
  <si>
    <t>Prod</t>
  </si>
  <si>
    <t>Arcelor Mittal Steel</t>
  </si>
  <si>
    <t>Compra</t>
  </si>
  <si>
    <t>Venda</t>
  </si>
  <si>
    <t>Dividends</t>
  </si>
  <si>
    <t>PU</t>
  </si>
  <si>
    <t>Brut</t>
  </si>
  <si>
    <t xml:space="preserve">Net </t>
  </si>
  <si>
    <t>Desp</t>
  </si>
  <si>
    <t>Saldo P</t>
  </si>
  <si>
    <t>Id Venda</t>
  </si>
  <si>
    <t>Parts V</t>
  </si>
  <si>
    <t>Parts Cart</t>
  </si>
  <si>
    <t>No Split</t>
  </si>
  <si>
    <t>Split x 4</t>
  </si>
  <si>
    <t>C.Split / 2</t>
  </si>
  <si>
    <t>No C.Split</t>
  </si>
  <si>
    <t>ContraSplit</t>
  </si>
  <si>
    <t>Preu abans</t>
  </si>
</sst>
</file>

<file path=xl/styles.xml><?xml version="1.0" encoding="utf-8"?>
<styleSheet xmlns="http://schemas.openxmlformats.org/spreadsheetml/2006/main">
  <numFmts count="2">
    <numFmt numFmtId="8" formatCode="#,##0.00\ &quot;€&quot;;[Red]\-#,##0.00\ &quot;€&quot;"/>
    <numFmt numFmtId="164" formatCode="#,##0.00\ &quot;€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" fontId="0" fillId="0" borderId="0" xfId="0" applyNumberFormat="1"/>
    <xf numFmtId="8" fontId="0" fillId="0" borderId="0" xfId="0" applyNumberFormat="1"/>
    <xf numFmtId="164" fontId="0" fillId="0" borderId="0" xfId="0" applyNumberFormat="1"/>
    <xf numFmtId="0" fontId="1" fillId="0" borderId="0" xfId="0" applyFont="1"/>
    <xf numFmtId="4" fontId="1" fillId="0" borderId="0" xfId="0" applyNumberFormat="1" applyFont="1"/>
    <xf numFmtId="164" fontId="1" fillId="0" borderId="0" xfId="0" applyNumberFormat="1" applyFont="1"/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wrapText="1"/>
    </xf>
    <xf numFmtId="14" fontId="0" fillId="0" borderId="0" xfId="0" applyNumberFormat="1"/>
    <xf numFmtId="14" fontId="0" fillId="0" borderId="0" xfId="0" applyNumberFormat="1" applyAlignment="1">
      <alignment wrapText="1"/>
    </xf>
    <xf numFmtId="8" fontId="0" fillId="0" borderId="0" xfId="0" applyNumberFormat="1" applyAlignment="1">
      <alignment wrapText="1"/>
    </xf>
    <xf numFmtId="3" fontId="0" fillId="0" borderId="0" xfId="0" applyNumberFormat="1" applyAlignment="1">
      <alignment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28"/>
  <sheetViews>
    <sheetView zoomScale="115" zoomScaleNormal="115" workbookViewId="0">
      <selection activeCell="E16" sqref="E16"/>
    </sheetView>
  </sheetViews>
  <sheetFormatPr defaultRowHeight="14.5"/>
  <cols>
    <col min="1" max="1" width="30.36328125" customWidth="1"/>
    <col min="2" max="2" width="9.1796875" customWidth="1"/>
    <col min="3" max="3" width="11.90625" customWidth="1"/>
    <col min="4" max="4" width="1.90625" customWidth="1"/>
    <col min="5" max="5" width="12.453125" customWidth="1"/>
    <col min="7" max="7" width="12.453125" style="3" customWidth="1"/>
    <col min="8" max="8" width="1.6328125" customWidth="1"/>
    <col min="11" max="11" width="12.1796875" customWidth="1"/>
    <col min="12" max="12" width="2.6328125" customWidth="1"/>
    <col min="15" max="15" width="12.36328125" customWidth="1"/>
  </cols>
  <sheetData>
    <row r="2" spans="1:15">
      <c r="E2" s="4" t="s">
        <v>14</v>
      </c>
      <c r="I2" s="4"/>
    </row>
    <row r="3" spans="1:15">
      <c r="A3" t="s">
        <v>0</v>
      </c>
      <c r="E3" t="s">
        <v>0</v>
      </c>
      <c r="I3" t="s">
        <v>0</v>
      </c>
      <c r="M3" t="s">
        <v>0</v>
      </c>
    </row>
    <row r="4" spans="1:15">
      <c r="A4" s="4" t="s">
        <v>9</v>
      </c>
      <c r="B4" s="7" t="s">
        <v>1</v>
      </c>
      <c r="C4" s="7" t="s">
        <v>2</v>
      </c>
      <c r="E4" s="10" t="s">
        <v>9</v>
      </c>
      <c r="F4" s="7" t="s">
        <v>1</v>
      </c>
      <c r="G4" s="7" t="s">
        <v>2</v>
      </c>
      <c r="I4" s="10" t="s">
        <v>9</v>
      </c>
      <c r="J4" s="7" t="s">
        <v>1</v>
      </c>
      <c r="K4" s="7" t="s">
        <v>2</v>
      </c>
      <c r="M4" t="s">
        <v>9</v>
      </c>
      <c r="N4" t="s">
        <v>1</v>
      </c>
      <c r="O4" t="s">
        <v>2</v>
      </c>
    </row>
    <row r="5" spans="1:15">
      <c r="A5" t="s">
        <v>4</v>
      </c>
      <c r="B5">
        <v>22.006</v>
      </c>
      <c r="C5" s="3">
        <v>5511.21</v>
      </c>
      <c r="E5" t="s">
        <v>4</v>
      </c>
      <c r="F5">
        <v>22.006</v>
      </c>
      <c r="G5" s="3">
        <v>5511.21</v>
      </c>
      <c r="I5" t="s">
        <v>4</v>
      </c>
      <c r="J5">
        <v>22.006</v>
      </c>
      <c r="K5" s="3">
        <v>5511.21</v>
      </c>
      <c r="M5" t="s">
        <v>4</v>
      </c>
      <c r="N5">
        <v>22.006</v>
      </c>
      <c r="O5" s="1">
        <v>5511.21</v>
      </c>
    </row>
    <row r="6" spans="1:15">
      <c r="A6" t="s">
        <v>8</v>
      </c>
      <c r="B6">
        <v>679.64</v>
      </c>
      <c r="C6" s="3">
        <v>15626.31</v>
      </c>
      <c r="E6" t="s">
        <v>8</v>
      </c>
      <c r="F6">
        <v>679.64</v>
      </c>
      <c r="G6" s="3">
        <v>15626.31</v>
      </c>
      <c r="I6" t="s">
        <v>8</v>
      </c>
      <c r="J6">
        <v>679.64</v>
      </c>
      <c r="K6" s="3">
        <v>15626.31</v>
      </c>
      <c r="M6" t="s">
        <v>8</v>
      </c>
      <c r="N6">
        <v>679.64</v>
      </c>
      <c r="O6" s="1">
        <v>15626.31</v>
      </c>
    </row>
    <row r="7" spans="1:15">
      <c r="A7" t="s">
        <v>5</v>
      </c>
      <c r="B7">
        <v>76.745999999999995</v>
      </c>
      <c r="C7" s="3">
        <v>1000</v>
      </c>
      <c r="E7" t="s">
        <v>5</v>
      </c>
      <c r="F7">
        <v>76.745999999999995</v>
      </c>
      <c r="G7" s="3">
        <v>1000</v>
      </c>
      <c r="I7" t="s">
        <v>5</v>
      </c>
      <c r="J7">
        <v>76.745999999999995</v>
      </c>
      <c r="K7" s="3">
        <v>1000</v>
      </c>
      <c r="M7" t="s">
        <v>5</v>
      </c>
      <c r="N7">
        <v>76.745999999999995</v>
      </c>
      <c r="O7" s="1">
        <v>1000</v>
      </c>
    </row>
    <row r="8" spans="1:15">
      <c r="A8" t="s">
        <v>7</v>
      </c>
      <c r="B8">
        <v>0.53800000000000003</v>
      </c>
      <c r="C8" s="3">
        <v>1000</v>
      </c>
      <c r="E8" t="s">
        <v>7</v>
      </c>
      <c r="F8">
        <v>0.53800000000000003</v>
      </c>
      <c r="G8" s="3">
        <v>1000</v>
      </c>
      <c r="I8" t="s">
        <v>7</v>
      </c>
      <c r="J8" s="1">
        <v>0.53800000000000003</v>
      </c>
      <c r="K8" s="3">
        <v>1000</v>
      </c>
      <c r="M8" t="s">
        <v>7</v>
      </c>
      <c r="N8">
        <v>0.53800000000000003</v>
      </c>
      <c r="O8" s="1">
        <v>1000</v>
      </c>
    </row>
    <row r="9" spans="1:15">
      <c r="A9" t="s">
        <v>3</v>
      </c>
      <c r="B9">
        <v>56.673000000000002</v>
      </c>
      <c r="C9" s="3">
        <v>968.73</v>
      </c>
      <c r="E9" t="s">
        <v>3</v>
      </c>
      <c r="F9">
        <v>56.673000000000002</v>
      </c>
      <c r="G9" s="3">
        <v>968.73</v>
      </c>
      <c r="I9" t="s">
        <v>3</v>
      </c>
      <c r="J9">
        <v>56.673000000000002</v>
      </c>
      <c r="K9" s="3">
        <v>968.73</v>
      </c>
      <c r="M9" t="s">
        <v>3</v>
      </c>
      <c r="N9">
        <v>56.673000000000002</v>
      </c>
      <c r="O9">
        <v>968.73</v>
      </c>
    </row>
    <row r="10" spans="1:15">
      <c r="A10" t="s">
        <v>6</v>
      </c>
      <c r="B10" s="1">
        <v>1559.6859999999999</v>
      </c>
      <c r="C10" s="3">
        <v>30028.28</v>
      </c>
      <c r="E10" t="s">
        <v>6</v>
      </c>
      <c r="F10" s="1">
        <v>1559.6859999999999</v>
      </c>
      <c r="G10" s="3">
        <v>30028.28</v>
      </c>
      <c r="I10" t="s">
        <v>6</v>
      </c>
      <c r="J10" s="1">
        <v>1559.6859999999999</v>
      </c>
      <c r="K10" s="3">
        <v>30028.28</v>
      </c>
      <c r="M10" t="s">
        <v>6</v>
      </c>
      <c r="N10" s="1">
        <v>1559.6859999999999</v>
      </c>
      <c r="O10" s="1">
        <v>30028.28</v>
      </c>
    </row>
    <row r="11" spans="1:15">
      <c r="A11" s="4"/>
      <c r="B11" s="5">
        <f>SUM(B5:B10)</f>
        <v>2395.2889999999998</v>
      </c>
      <c r="C11" s="6">
        <f>SUM(C5:C10)</f>
        <v>54134.53</v>
      </c>
      <c r="D11" s="4"/>
      <c r="E11" s="4"/>
      <c r="F11" s="5">
        <f>SUM(F5:F10)</f>
        <v>2395.2889999999998</v>
      </c>
      <c r="G11" s="6">
        <f>SUM(G5:G10)</f>
        <v>54134.53</v>
      </c>
      <c r="J11" s="5">
        <f>SUM(J5:J10)</f>
        <v>2395.2889999999998</v>
      </c>
      <c r="K11" s="6">
        <f>SUM(K5:K10)</f>
        <v>54134.53</v>
      </c>
      <c r="N11" s="5">
        <f>SUM(N5:N10)</f>
        <v>2395.2889999999998</v>
      </c>
      <c r="O11" s="6">
        <f>SUM(O5:O10)</f>
        <v>54134.53</v>
      </c>
    </row>
    <row r="12" spans="1:15">
      <c r="A12" s="4"/>
      <c r="B12" s="8"/>
      <c r="C12" s="9"/>
      <c r="K12" s="3"/>
    </row>
    <row r="13" spans="1:15">
      <c r="A13" s="4" t="s">
        <v>10</v>
      </c>
      <c r="B13" s="7"/>
      <c r="C13" s="7" t="s">
        <v>2</v>
      </c>
      <c r="E13" s="10" t="s">
        <v>10</v>
      </c>
      <c r="F13" s="7" t="s">
        <v>1</v>
      </c>
      <c r="G13" s="7" t="s">
        <v>2</v>
      </c>
      <c r="I13" s="10" t="s">
        <v>10</v>
      </c>
      <c r="J13" s="7" t="s">
        <v>1</v>
      </c>
      <c r="K13" s="7" t="s">
        <v>2</v>
      </c>
      <c r="M13" t="s">
        <v>10</v>
      </c>
      <c r="N13" t="s">
        <v>1</v>
      </c>
      <c r="O13" t="s">
        <v>2</v>
      </c>
    </row>
    <row r="14" spans="1:15">
      <c r="A14" t="s">
        <v>4</v>
      </c>
      <c r="C14" s="3">
        <v>13927.67</v>
      </c>
      <c r="E14" t="s">
        <v>4</v>
      </c>
      <c r="F14">
        <v>22.326000000000001</v>
      </c>
      <c r="G14" s="3">
        <v>13927.67</v>
      </c>
      <c r="I14" t="s">
        <v>4</v>
      </c>
      <c r="J14">
        <v>22.326000000000001</v>
      </c>
      <c r="K14" s="3">
        <v>13927.67</v>
      </c>
      <c r="M14" t="s">
        <v>4</v>
      </c>
      <c r="N14">
        <v>22.326000000000001</v>
      </c>
      <c r="O14" s="1">
        <v>13927.67</v>
      </c>
    </row>
    <row r="15" spans="1:15">
      <c r="A15" t="s">
        <v>11</v>
      </c>
      <c r="C15" s="3">
        <v>1350.5</v>
      </c>
      <c r="E15" t="s">
        <v>11</v>
      </c>
      <c r="F15">
        <v>4.9980000000000002</v>
      </c>
      <c r="G15" s="3">
        <v>1350.5</v>
      </c>
      <c r="I15" t="s">
        <v>11</v>
      </c>
      <c r="J15">
        <v>4.9980000000000002</v>
      </c>
      <c r="K15" s="3">
        <v>1350.5</v>
      </c>
      <c r="M15" t="s">
        <v>11</v>
      </c>
      <c r="N15">
        <v>4.9980000000000002</v>
      </c>
      <c r="O15" s="1">
        <v>1350.5</v>
      </c>
    </row>
    <row r="16" spans="1:15">
      <c r="A16" t="s">
        <v>12</v>
      </c>
      <c r="C16" s="3">
        <v>41252</v>
      </c>
      <c r="E16" t="s">
        <v>12</v>
      </c>
      <c r="F16">
        <v>30</v>
      </c>
      <c r="G16" s="3">
        <v>15469.5</v>
      </c>
      <c r="I16" t="s">
        <v>12</v>
      </c>
      <c r="J16">
        <v>30</v>
      </c>
      <c r="K16" s="3">
        <v>15475.5</v>
      </c>
      <c r="M16" t="s">
        <v>12</v>
      </c>
      <c r="N16">
        <v>30</v>
      </c>
      <c r="O16" s="1">
        <v>15475.5</v>
      </c>
    </row>
    <row r="17" spans="1:15">
      <c r="A17" t="s">
        <v>13</v>
      </c>
      <c r="B17" s="1"/>
      <c r="C17" s="3">
        <v>58092.02</v>
      </c>
      <c r="E17" t="s">
        <v>13</v>
      </c>
      <c r="F17" s="1">
        <v>1778.69</v>
      </c>
      <c r="G17" s="3">
        <v>58092.02</v>
      </c>
      <c r="I17" t="s">
        <v>13</v>
      </c>
      <c r="J17" s="1">
        <v>1778.69</v>
      </c>
      <c r="K17" s="3">
        <v>58092.03</v>
      </c>
      <c r="L17" s="3"/>
      <c r="M17" t="s">
        <v>13</v>
      </c>
      <c r="N17">
        <v>778.69</v>
      </c>
      <c r="O17" s="1">
        <v>25432.02</v>
      </c>
    </row>
    <row r="18" spans="1:15">
      <c r="A18" t="s">
        <v>7</v>
      </c>
      <c r="C18" s="3">
        <v>1916.62</v>
      </c>
      <c r="E18" t="s">
        <v>7</v>
      </c>
      <c r="F18">
        <v>1.0049999999999999</v>
      </c>
      <c r="G18" s="3">
        <v>1916.62</v>
      </c>
      <c r="I18" t="s">
        <v>7</v>
      </c>
      <c r="J18">
        <v>1.0049999999999999</v>
      </c>
      <c r="K18" s="3">
        <v>1916.62</v>
      </c>
      <c r="M18" t="s">
        <v>7</v>
      </c>
      <c r="N18">
        <v>1.0049999999999999</v>
      </c>
      <c r="O18" s="1">
        <v>1916.62</v>
      </c>
    </row>
    <row r="19" spans="1:15">
      <c r="E19" t="s">
        <v>3</v>
      </c>
      <c r="F19">
        <v>400</v>
      </c>
      <c r="G19" s="3">
        <v>25782.5</v>
      </c>
      <c r="I19" t="s">
        <v>3</v>
      </c>
      <c r="J19">
        <v>400</v>
      </c>
      <c r="K19" s="1">
        <v>25792.52</v>
      </c>
      <c r="L19" s="1"/>
      <c r="M19" t="s">
        <v>3</v>
      </c>
      <c r="N19">
        <v>700</v>
      </c>
      <c r="O19" s="1">
        <v>45136.91</v>
      </c>
    </row>
    <row r="20" spans="1:15">
      <c r="B20" s="5"/>
      <c r="C20" s="6">
        <f>SUM(C14:C19)</f>
        <v>116538.81</v>
      </c>
      <c r="F20" s="5">
        <f>SUM(F14:F19)</f>
        <v>2237.0190000000002</v>
      </c>
      <c r="G20" s="6">
        <f>SUM(G14:G19)</f>
        <v>116538.81</v>
      </c>
      <c r="J20" s="5">
        <f>SUM(J14:J19)</f>
        <v>2237.0190000000002</v>
      </c>
      <c r="K20" s="6">
        <f>SUM(K14:K19)</f>
        <v>116554.84</v>
      </c>
      <c r="N20" s="5">
        <f>SUM(N14:N19)</f>
        <v>1537.019</v>
      </c>
      <c r="O20" s="6">
        <f>SUM(O14:O19)</f>
        <v>103239.22</v>
      </c>
    </row>
    <row r="21" spans="1:15">
      <c r="C21" s="2"/>
    </row>
    <row r="22" spans="1:15">
      <c r="C22" s="3"/>
    </row>
    <row r="26" spans="1:15">
      <c r="A26" t="s">
        <v>0</v>
      </c>
      <c r="E26">
        <v>1900</v>
      </c>
      <c r="F26">
        <v>4</v>
      </c>
    </row>
    <row r="27" spans="1:15">
      <c r="A27" t="s">
        <v>15</v>
      </c>
      <c r="B27" t="s">
        <v>2</v>
      </c>
      <c r="F27">
        <f>+E26*F26</f>
        <v>7600</v>
      </c>
    </row>
    <row r="28" spans="1:15">
      <c r="A28" t="s">
        <v>16</v>
      </c>
      <c r="B28" s="1">
        <v>50350</v>
      </c>
    </row>
  </sheetData>
  <sortState ref="E14:G19">
    <sortCondition ref="E14:E19"/>
  </sortState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44"/>
  <sheetViews>
    <sheetView tabSelected="1" topLeftCell="A15" workbookViewId="0">
      <selection activeCell="P31" sqref="P31"/>
    </sheetView>
  </sheetViews>
  <sheetFormatPr defaultRowHeight="14.5"/>
  <cols>
    <col min="2" max="2" width="9.26953125" customWidth="1"/>
    <col min="3" max="3" width="11.1796875" customWidth="1"/>
    <col min="4" max="4" width="6.6328125" customWidth="1"/>
    <col min="6" max="7" width="12.90625" customWidth="1"/>
    <col min="8" max="9" width="0" hidden="1" customWidth="1"/>
    <col min="11" max="11" width="1.36328125" customWidth="1"/>
    <col min="15" max="15" width="0" hidden="1" customWidth="1"/>
    <col min="17" max="17" width="2.54296875" customWidth="1"/>
    <col min="20" max="20" width="2" customWidth="1"/>
  </cols>
  <sheetData>
    <row r="1" spans="1:22">
      <c r="A1" s="7"/>
      <c r="B1" s="7"/>
      <c r="C1" s="7"/>
      <c r="D1" s="7" t="s">
        <v>1</v>
      </c>
      <c r="E1" s="7" t="s">
        <v>20</v>
      </c>
      <c r="F1" s="7" t="s">
        <v>21</v>
      </c>
      <c r="G1" s="7" t="s">
        <v>22</v>
      </c>
      <c r="H1" s="7"/>
      <c r="I1" s="7"/>
      <c r="J1" s="7" t="s">
        <v>23</v>
      </c>
      <c r="L1" s="7" t="s">
        <v>24</v>
      </c>
      <c r="M1" s="7" t="s">
        <v>25</v>
      </c>
      <c r="N1" s="7" t="s">
        <v>26</v>
      </c>
      <c r="O1" s="7" t="s">
        <v>27</v>
      </c>
      <c r="P1" s="7" t="s">
        <v>27</v>
      </c>
      <c r="Q1" s="7"/>
      <c r="R1" s="7" t="s">
        <v>29</v>
      </c>
      <c r="S1" s="7" t="s">
        <v>28</v>
      </c>
      <c r="U1" s="7" t="s">
        <v>30</v>
      </c>
      <c r="V1" s="7" t="s">
        <v>31</v>
      </c>
    </row>
    <row r="2" spans="1:22">
      <c r="A2" s="11">
        <v>166</v>
      </c>
      <c r="B2" s="11" t="s">
        <v>17</v>
      </c>
      <c r="C2" s="13">
        <v>43389</v>
      </c>
      <c r="D2" s="15">
        <v>1600</v>
      </c>
      <c r="E2" s="14">
        <v>24.388000000000002</v>
      </c>
      <c r="F2" s="14">
        <v>39020.800000000003</v>
      </c>
      <c r="G2" s="14">
        <v>39049.31</v>
      </c>
      <c r="H2" s="11"/>
      <c r="I2" s="11">
        <v>1</v>
      </c>
      <c r="J2" s="14">
        <v>28.51</v>
      </c>
      <c r="L2" s="1">
        <f>D2</f>
        <v>1600</v>
      </c>
      <c r="M2" s="16"/>
      <c r="P2" s="16">
        <f>D2-N3-N4</f>
        <v>0</v>
      </c>
      <c r="Q2" s="16"/>
      <c r="U2">
        <v>7</v>
      </c>
    </row>
    <row r="3" spans="1:22">
      <c r="A3" s="11"/>
      <c r="B3" s="11"/>
      <c r="C3" s="13"/>
      <c r="D3" s="15"/>
      <c r="E3" s="14"/>
      <c r="F3" s="14"/>
      <c r="G3" s="14"/>
      <c r="H3" s="11"/>
      <c r="I3" s="11"/>
      <c r="J3" s="14"/>
      <c r="L3" s="1"/>
      <c r="M3" s="16">
        <v>169</v>
      </c>
      <c r="N3" s="16">
        <f>D5</f>
        <v>648</v>
      </c>
    </row>
    <row r="4" spans="1:22">
      <c r="A4" s="11"/>
      <c r="B4" s="11"/>
      <c r="C4" s="13"/>
      <c r="D4" s="15"/>
      <c r="E4" s="14"/>
      <c r="F4" s="14"/>
      <c r="G4" s="14"/>
      <c r="H4" s="11"/>
      <c r="I4" s="11"/>
      <c r="J4" s="14"/>
      <c r="L4" s="1"/>
      <c r="M4" s="16">
        <f>A10</f>
        <v>177</v>
      </c>
      <c r="N4" s="16">
        <f>D2-N3</f>
        <v>952</v>
      </c>
      <c r="O4" s="16"/>
    </row>
    <row r="5" spans="1:22">
      <c r="A5" s="11">
        <v>169</v>
      </c>
      <c r="B5" s="11" t="s">
        <v>18</v>
      </c>
      <c r="C5" s="13">
        <v>43458</v>
      </c>
      <c r="D5" s="15">
        <v>648</v>
      </c>
      <c r="E5" s="14">
        <v>18.260000000000002</v>
      </c>
      <c r="F5" s="14">
        <v>11832.48</v>
      </c>
      <c r="G5" s="14">
        <v>11822.42</v>
      </c>
      <c r="H5" s="11"/>
      <c r="I5" s="11">
        <v>1</v>
      </c>
      <c r="J5" s="14">
        <v>10.06</v>
      </c>
      <c r="L5" s="1">
        <f>L2-D5</f>
        <v>952</v>
      </c>
    </row>
    <row r="6" spans="1:22">
      <c r="A6" s="11">
        <v>174</v>
      </c>
      <c r="B6" s="11" t="s">
        <v>17</v>
      </c>
      <c r="C6" s="13">
        <v>43550</v>
      </c>
      <c r="D6" s="15">
        <v>700</v>
      </c>
      <c r="E6" s="14">
        <v>18.027999999999999</v>
      </c>
      <c r="F6" s="14">
        <v>12619.6</v>
      </c>
      <c r="G6" s="14">
        <v>12629.66</v>
      </c>
      <c r="H6" s="11"/>
      <c r="I6" s="11">
        <v>1</v>
      </c>
      <c r="J6" s="14">
        <v>10.06</v>
      </c>
      <c r="L6" s="1">
        <f>L5+D6</f>
        <v>1652</v>
      </c>
      <c r="P6" s="16">
        <f>D6-N7-N8</f>
        <v>0</v>
      </c>
      <c r="Q6" s="16"/>
    </row>
    <row r="7" spans="1:22">
      <c r="A7" s="11"/>
      <c r="B7" s="11"/>
      <c r="C7" s="13"/>
      <c r="D7" s="15"/>
      <c r="E7" s="14"/>
      <c r="F7" s="14"/>
      <c r="G7" s="14"/>
      <c r="H7" s="11"/>
      <c r="I7" s="11"/>
      <c r="J7" s="14"/>
      <c r="L7" s="1"/>
      <c r="M7">
        <v>177</v>
      </c>
      <c r="N7" s="16">
        <f>D10-N4</f>
        <v>300</v>
      </c>
    </row>
    <row r="8" spans="1:22">
      <c r="A8" s="11"/>
      <c r="B8" s="11"/>
      <c r="C8" s="13"/>
      <c r="D8" s="15"/>
      <c r="E8" s="14"/>
      <c r="F8" s="14"/>
      <c r="G8" s="14"/>
      <c r="H8" s="11"/>
      <c r="I8" s="11"/>
      <c r="J8" s="14"/>
      <c r="L8" s="1"/>
      <c r="M8">
        <f>A13</f>
        <v>179</v>
      </c>
      <c r="N8" s="16">
        <f>D6-N7</f>
        <v>400</v>
      </c>
    </row>
    <row r="9" spans="1:22">
      <c r="A9" s="11">
        <v>176</v>
      </c>
      <c r="B9" s="11" t="s">
        <v>19</v>
      </c>
      <c r="C9" s="13">
        <v>43629</v>
      </c>
      <c r="D9" s="15">
        <v>0</v>
      </c>
      <c r="E9" s="14">
        <v>294.32</v>
      </c>
      <c r="F9" s="14">
        <v>294.32</v>
      </c>
      <c r="G9" s="14">
        <v>294.32</v>
      </c>
      <c r="H9" s="11"/>
      <c r="I9" s="11">
        <v>1</v>
      </c>
      <c r="J9" s="14">
        <v>0</v>
      </c>
      <c r="L9" s="1">
        <f>L6-D9</f>
        <v>1652</v>
      </c>
    </row>
    <row r="10" spans="1:22">
      <c r="A10" s="11">
        <v>177</v>
      </c>
      <c r="B10" s="11" t="s">
        <v>18</v>
      </c>
      <c r="C10" s="13">
        <v>43797</v>
      </c>
      <c r="D10" s="15">
        <v>1252</v>
      </c>
      <c r="E10" s="14">
        <v>15.624000000000001</v>
      </c>
      <c r="F10" s="14">
        <v>19561.25</v>
      </c>
      <c r="G10" s="14">
        <v>19551.189999999999</v>
      </c>
      <c r="H10" s="11"/>
      <c r="I10" s="11">
        <v>1</v>
      </c>
      <c r="J10" s="14">
        <v>10.06</v>
      </c>
      <c r="L10" s="1">
        <f t="shared" ref="L10" si="0">L9-D10</f>
        <v>400</v>
      </c>
      <c r="O10" s="16">
        <f>D10-N4</f>
        <v>300</v>
      </c>
    </row>
    <row r="11" spans="1:22">
      <c r="A11" s="11">
        <v>178</v>
      </c>
      <c r="B11" s="11" t="s">
        <v>17</v>
      </c>
      <c r="C11" s="13">
        <v>43802</v>
      </c>
      <c r="D11" s="15">
        <v>1252</v>
      </c>
      <c r="E11" s="14">
        <v>15.3162</v>
      </c>
      <c r="F11" s="14">
        <v>19175.86</v>
      </c>
      <c r="G11" s="14">
        <v>19201.150000000001</v>
      </c>
      <c r="H11" s="11"/>
      <c r="I11" s="11">
        <v>1</v>
      </c>
      <c r="J11" s="14">
        <v>25.29</v>
      </c>
      <c r="L11" s="1">
        <f>L10+D11</f>
        <v>1652</v>
      </c>
      <c r="P11" s="16">
        <f>D11-N12</f>
        <v>400</v>
      </c>
      <c r="Q11" s="16"/>
      <c r="R11">
        <f>P11*4</f>
        <v>1600</v>
      </c>
      <c r="S11" s="16">
        <f>+D11-P11</f>
        <v>852</v>
      </c>
      <c r="U11">
        <f>P11/U2</f>
        <v>57.142857142857146</v>
      </c>
      <c r="V11" s="16">
        <f>+D11-P11</f>
        <v>852</v>
      </c>
    </row>
    <row r="12" spans="1:22">
      <c r="A12" s="11"/>
      <c r="B12" s="11"/>
      <c r="C12" s="13"/>
      <c r="D12" s="15"/>
      <c r="E12" s="14"/>
      <c r="F12" s="14"/>
      <c r="G12" s="14"/>
      <c r="H12" s="11"/>
      <c r="I12" s="11"/>
      <c r="J12" s="14"/>
      <c r="L12" s="1"/>
      <c r="M12">
        <v>179</v>
      </c>
      <c r="N12" s="16">
        <f>D13-N8</f>
        <v>852</v>
      </c>
      <c r="P12" s="16"/>
      <c r="Q12" s="16"/>
    </row>
    <row r="13" spans="1:22">
      <c r="A13" s="11">
        <v>179</v>
      </c>
      <c r="B13" s="11" t="s">
        <v>18</v>
      </c>
      <c r="C13" s="13">
        <v>43872</v>
      </c>
      <c r="D13" s="15">
        <v>1252</v>
      </c>
      <c r="E13" s="14">
        <v>16.611999999999998</v>
      </c>
      <c r="F13" s="14">
        <v>20798.22</v>
      </c>
      <c r="G13" s="14">
        <v>20781.68</v>
      </c>
      <c r="H13" s="11"/>
      <c r="I13" s="11">
        <v>1</v>
      </c>
      <c r="J13" s="14">
        <v>16.54</v>
      </c>
      <c r="L13" s="1">
        <f>L11-D13</f>
        <v>400</v>
      </c>
    </row>
    <row r="14" spans="1:22">
      <c r="A14" s="11">
        <v>182</v>
      </c>
      <c r="B14" s="11" t="s">
        <v>17</v>
      </c>
      <c r="C14" s="13">
        <v>43893</v>
      </c>
      <c r="D14" s="15">
        <v>1500</v>
      </c>
      <c r="E14" s="14">
        <v>13.281000000000001</v>
      </c>
      <c r="F14" s="14">
        <v>19921.46</v>
      </c>
      <c r="G14" s="14">
        <v>19949.75</v>
      </c>
      <c r="H14" s="11"/>
      <c r="I14" s="11">
        <v>1</v>
      </c>
      <c r="J14" s="14">
        <v>28.29</v>
      </c>
      <c r="L14" s="1">
        <f>L13+D14</f>
        <v>1900</v>
      </c>
      <c r="P14" s="16">
        <f>D14</f>
        <v>1500</v>
      </c>
      <c r="Q14" s="16"/>
      <c r="R14">
        <f>P14*4</f>
        <v>6000</v>
      </c>
      <c r="S14">
        <v>0</v>
      </c>
      <c r="U14">
        <f>P14/U2</f>
        <v>214.28571428571428</v>
      </c>
      <c r="V14">
        <v>0</v>
      </c>
    </row>
    <row r="18" spans="1:12">
      <c r="A18">
        <v>178</v>
      </c>
      <c r="B18" t="s">
        <v>32</v>
      </c>
      <c r="C18" s="12">
        <v>43802</v>
      </c>
      <c r="D18" s="15">
        <v>1252</v>
      </c>
      <c r="E18" s="2">
        <v>15.3162</v>
      </c>
      <c r="F18" s="2">
        <v>19175.86</v>
      </c>
      <c r="G18" s="2">
        <v>19175.86</v>
      </c>
      <c r="H18">
        <v>1</v>
      </c>
      <c r="I18" s="2">
        <v>25.29</v>
      </c>
    </row>
    <row r="19" spans="1:12">
      <c r="A19">
        <v>190</v>
      </c>
      <c r="B19" t="s">
        <v>17</v>
      </c>
      <c r="C19" s="12">
        <v>43802</v>
      </c>
      <c r="D19" s="15">
        <v>853</v>
      </c>
      <c r="E19" s="2">
        <v>15.3162</v>
      </c>
      <c r="F19" s="2">
        <v>13064.71</v>
      </c>
      <c r="G19" s="2">
        <v>13081.94</v>
      </c>
      <c r="H19">
        <v>1</v>
      </c>
      <c r="I19" s="2">
        <v>17.23</v>
      </c>
    </row>
    <row r="20" spans="1:12">
      <c r="A20">
        <v>191</v>
      </c>
      <c r="B20" t="s">
        <v>17</v>
      </c>
      <c r="C20" s="12">
        <v>43802</v>
      </c>
      <c r="D20" s="15">
        <v>133</v>
      </c>
      <c r="E20" s="2">
        <v>45.948599999999999</v>
      </c>
      <c r="F20" s="2">
        <v>6111.16</v>
      </c>
      <c r="G20" s="2">
        <v>6119.22</v>
      </c>
      <c r="H20">
        <v>1</v>
      </c>
      <c r="I20" s="2">
        <v>8.06</v>
      </c>
    </row>
    <row r="21" spans="1:12">
      <c r="A21">
        <v>192</v>
      </c>
      <c r="B21" t="s">
        <v>18</v>
      </c>
      <c r="C21" s="12">
        <v>43802</v>
      </c>
      <c r="D21" s="15">
        <v>1</v>
      </c>
      <c r="E21" s="2">
        <v>25.3</v>
      </c>
      <c r="F21" s="2">
        <v>25.3</v>
      </c>
      <c r="G21" s="2">
        <v>25.3</v>
      </c>
      <c r="H21">
        <v>1</v>
      </c>
      <c r="I21" s="2">
        <v>0</v>
      </c>
      <c r="L21" t="s">
        <v>33</v>
      </c>
    </row>
    <row r="22" spans="1:12">
      <c r="A22">
        <v>179</v>
      </c>
      <c r="B22" t="s">
        <v>18</v>
      </c>
      <c r="C22" s="12">
        <v>43872</v>
      </c>
      <c r="D22" s="15">
        <v>1252</v>
      </c>
      <c r="E22" s="2">
        <v>16.611999999999998</v>
      </c>
      <c r="F22" s="2">
        <v>20798.22</v>
      </c>
      <c r="G22" s="2">
        <v>20781.68</v>
      </c>
      <c r="H22">
        <v>1</v>
      </c>
      <c r="I22" s="2">
        <v>16.54</v>
      </c>
    </row>
    <row r="23" spans="1:12">
      <c r="A23">
        <v>182</v>
      </c>
      <c r="B23" t="s">
        <v>32</v>
      </c>
      <c r="C23" s="12">
        <v>43893</v>
      </c>
      <c r="D23" s="15">
        <v>1500</v>
      </c>
      <c r="E23" s="2">
        <v>13.281000000000001</v>
      </c>
      <c r="F23" s="2">
        <v>19921.46</v>
      </c>
      <c r="G23" s="2">
        <v>19921.46</v>
      </c>
      <c r="H23">
        <v>1</v>
      </c>
      <c r="I23" s="2">
        <v>28.29</v>
      </c>
    </row>
    <row r="24" spans="1:12">
      <c r="A24">
        <v>193</v>
      </c>
      <c r="B24" t="s">
        <v>17</v>
      </c>
      <c r="C24" s="12">
        <v>43893</v>
      </c>
      <c r="D24" s="15">
        <v>500</v>
      </c>
      <c r="E24" s="2">
        <v>39.8429</v>
      </c>
      <c r="F24" s="2">
        <v>19921.45</v>
      </c>
      <c r="G24" s="2">
        <v>19949.740000000002</v>
      </c>
      <c r="H24">
        <v>1</v>
      </c>
      <c r="I24" s="2">
        <v>28.29</v>
      </c>
    </row>
    <row r="25" spans="1:12">
      <c r="C25" s="12"/>
      <c r="D25" s="15"/>
      <c r="E25" s="2"/>
      <c r="F25" s="2"/>
      <c r="G25" s="2"/>
      <c r="I25" s="2"/>
    </row>
    <row r="27" spans="1:12">
      <c r="A27">
        <v>178</v>
      </c>
      <c r="B27" t="s">
        <v>32</v>
      </c>
      <c r="C27" s="12">
        <v>43802</v>
      </c>
      <c r="D27" s="15">
        <v>1252</v>
      </c>
      <c r="E27" s="2">
        <v>15.3162</v>
      </c>
      <c r="F27" s="2">
        <v>19175.86</v>
      </c>
      <c r="G27" s="2">
        <v>19175.86</v>
      </c>
      <c r="H27">
        <v>1</v>
      </c>
      <c r="I27" s="2">
        <v>25.29</v>
      </c>
    </row>
    <row r="28" spans="1:12">
      <c r="A28">
        <v>190</v>
      </c>
      <c r="B28" t="s">
        <v>17</v>
      </c>
      <c r="C28" s="12">
        <v>43802</v>
      </c>
      <c r="D28" s="15">
        <v>853</v>
      </c>
      <c r="E28" s="2">
        <v>15.3162</v>
      </c>
      <c r="F28" s="2">
        <v>13064.71</v>
      </c>
      <c r="G28" s="2">
        <v>13081.94</v>
      </c>
      <c r="H28">
        <v>1</v>
      </c>
      <c r="I28" s="2">
        <v>17.23</v>
      </c>
    </row>
    <row r="29" spans="1:12">
      <c r="A29">
        <v>191</v>
      </c>
      <c r="B29" t="s">
        <v>18</v>
      </c>
      <c r="C29" s="12">
        <v>43802</v>
      </c>
      <c r="D29" s="15">
        <v>1</v>
      </c>
      <c r="E29" s="2">
        <v>25.3</v>
      </c>
      <c r="F29" s="2">
        <v>25.3</v>
      </c>
      <c r="G29" s="2">
        <v>25.3</v>
      </c>
      <c r="H29">
        <v>1</v>
      </c>
      <c r="I29" s="2">
        <v>0</v>
      </c>
    </row>
    <row r="30" spans="1:12">
      <c r="A30">
        <v>192</v>
      </c>
      <c r="B30" t="s">
        <v>17</v>
      </c>
      <c r="C30" s="12">
        <v>43802</v>
      </c>
      <c r="D30" s="15">
        <v>133</v>
      </c>
      <c r="E30" s="2">
        <v>45.948599999999999</v>
      </c>
      <c r="F30" s="2">
        <v>6111.16</v>
      </c>
      <c r="G30" s="2">
        <v>6119.22</v>
      </c>
      <c r="H30">
        <v>1</v>
      </c>
      <c r="I30" s="2">
        <v>8.06</v>
      </c>
    </row>
    <row r="31" spans="1:12">
      <c r="A31">
        <v>179</v>
      </c>
      <c r="B31" t="s">
        <v>18</v>
      </c>
      <c r="C31" s="12">
        <v>43872</v>
      </c>
      <c r="D31" s="15">
        <v>1252</v>
      </c>
      <c r="E31" s="2">
        <v>16.611999999999998</v>
      </c>
      <c r="F31" s="2">
        <v>20798.22</v>
      </c>
      <c r="G31" s="2">
        <v>20781.68</v>
      </c>
      <c r="H31">
        <v>1</v>
      </c>
      <c r="I31" s="2">
        <v>16.54</v>
      </c>
    </row>
    <row r="32" spans="1:12">
      <c r="A32">
        <v>182</v>
      </c>
      <c r="B32" t="s">
        <v>32</v>
      </c>
      <c r="C32" s="12">
        <v>43893</v>
      </c>
      <c r="D32" s="15">
        <v>1500</v>
      </c>
      <c r="E32" s="2">
        <v>13.281000000000001</v>
      </c>
      <c r="F32" s="2">
        <v>19921.46</v>
      </c>
      <c r="G32" s="2">
        <v>19921.46</v>
      </c>
      <c r="H32">
        <v>1</v>
      </c>
      <c r="I32" s="2">
        <v>28.29</v>
      </c>
    </row>
    <row r="33" spans="1:9">
      <c r="A33">
        <v>193</v>
      </c>
      <c r="B33" t="s">
        <v>17</v>
      </c>
      <c r="C33" s="12">
        <v>43893</v>
      </c>
      <c r="D33" s="15">
        <v>500</v>
      </c>
      <c r="E33" s="2">
        <v>39.8429</v>
      </c>
      <c r="F33" s="2">
        <v>19921.45</v>
      </c>
      <c r="G33" s="2">
        <v>19949.740000000002</v>
      </c>
      <c r="H33">
        <v>1</v>
      </c>
      <c r="I33" s="2">
        <v>28.29</v>
      </c>
    </row>
    <row r="36" spans="1:9">
      <c r="A36">
        <v>178</v>
      </c>
      <c r="B36" t="s">
        <v>32</v>
      </c>
      <c r="C36" s="12">
        <v>43802</v>
      </c>
      <c r="D36" s="15">
        <v>1252</v>
      </c>
      <c r="E36" s="2">
        <v>15.3162</v>
      </c>
      <c r="F36" s="2">
        <v>19175.86</v>
      </c>
      <c r="G36" s="2">
        <v>19175.86</v>
      </c>
      <c r="H36">
        <v>1</v>
      </c>
      <c r="I36" s="2">
        <v>25.29</v>
      </c>
    </row>
    <row r="37" spans="1:9">
      <c r="A37">
        <v>190</v>
      </c>
      <c r="B37" t="s">
        <v>17</v>
      </c>
      <c r="C37" s="12">
        <v>43802</v>
      </c>
      <c r="D37" s="15">
        <v>853</v>
      </c>
      <c r="E37" s="2">
        <v>15.3162</v>
      </c>
      <c r="F37" s="2">
        <v>13064.71</v>
      </c>
      <c r="G37" s="2">
        <v>13081.94</v>
      </c>
      <c r="H37">
        <v>1</v>
      </c>
      <c r="I37" s="2">
        <v>17.23</v>
      </c>
    </row>
    <row r="38" spans="1:9">
      <c r="A38">
        <v>191</v>
      </c>
      <c r="B38" t="s">
        <v>18</v>
      </c>
      <c r="C38" s="12">
        <v>43802</v>
      </c>
      <c r="D38" s="15">
        <v>1</v>
      </c>
      <c r="E38" s="2">
        <v>25</v>
      </c>
      <c r="F38" s="2">
        <v>25</v>
      </c>
      <c r="G38" s="2">
        <v>25</v>
      </c>
      <c r="H38">
        <v>1</v>
      </c>
      <c r="I38" s="2">
        <v>0</v>
      </c>
    </row>
    <row r="39" spans="1:9">
      <c r="A39">
        <v>192</v>
      </c>
      <c r="B39" t="s">
        <v>17</v>
      </c>
      <c r="C39" s="12">
        <v>43802</v>
      </c>
      <c r="D39" s="15">
        <v>57</v>
      </c>
      <c r="E39" s="2">
        <v>107.2133</v>
      </c>
      <c r="F39" s="2">
        <v>6111.16</v>
      </c>
      <c r="G39" s="2">
        <v>6119.22</v>
      </c>
      <c r="H39">
        <v>1</v>
      </c>
      <c r="I39" s="2">
        <v>8.06</v>
      </c>
    </row>
    <row r="40" spans="1:9">
      <c r="A40">
        <v>179</v>
      </c>
      <c r="B40" t="s">
        <v>18</v>
      </c>
      <c r="C40" s="12">
        <v>43872</v>
      </c>
      <c r="D40" s="15">
        <v>1252</v>
      </c>
      <c r="E40" s="2">
        <v>16.611999999999998</v>
      </c>
      <c r="F40" s="2">
        <v>20798.22</v>
      </c>
      <c r="G40" s="2">
        <v>20781.68</v>
      </c>
      <c r="H40">
        <v>1</v>
      </c>
      <c r="I40" s="2">
        <v>16.54</v>
      </c>
    </row>
    <row r="41" spans="1:9">
      <c r="A41">
        <v>182</v>
      </c>
      <c r="B41" t="s">
        <v>32</v>
      </c>
      <c r="C41" s="12">
        <v>43893</v>
      </c>
      <c r="D41" s="15">
        <v>1500</v>
      </c>
      <c r="E41" s="2">
        <v>13.281000000000001</v>
      </c>
      <c r="F41" s="2">
        <v>19921.46</v>
      </c>
      <c r="G41" s="2">
        <v>19921.46</v>
      </c>
      <c r="H41">
        <v>1</v>
      </c>
      <c r="I41" s="2">
        <v>28.29</v>
      </c>
    </row>
    <row r="42" spans="1:9">
      <c r="A42">
        <v>193</v>
      </c>
      <c r="B42" t="s">
        <v>17</v>
      </c>
      <c r="C42" s="12">
        <v>43893</v>
      </c>
      <c r="D42" s="15">
        <v>2</v>
      </c>
      <c r="E42" s="2">
        <v>13.281000000000001</v>
      </c>
      <c r="F42" s="2">
        <v>26.56</v>
      </c>
      <c r="G42" s="2">
        <v>26.6</v>
      </c>
      <c r="H42">
        <v>1</v>
      </c>
      <c r="I42" s="2">
        <v>0.04</v>
      </c>
    </row>
    <row r="43" spans="1:9">
      <c r="A43">
        <v>194</v>
      </c>
      <c r="B43" t="s">
        <v>18</v>
      </c>
      <c r="C43" s="12">
        <v>43893</v>
      </c>
      <c r="D43" s="15">
        <v>2</v>
      </c>
      <c r="E43" s="2">
        <v>25</v>
      </c>
      <c r="F43" s="2">
        <v>50</v>
      </c>
      <c r="G43" s="2">
        <v>50</v>
      </c>
      <c r="H43">
        <v>1</v>
      </c>
      <c r="I43" s="2">
        <v>0</v>
      </c>
    </row>
    <row r="44" spans="1:9">
      <c r="A44">
        <v>195</v>
      </c>
      <c r="B44" t="s">
        <v>17</v>
      </c>
      <c r="C44" s="12">
        <v>43893</v>
      </c>
      <c r="D44" s="15">
        <v>214</v>
      </c>
      <c r="E44" s="2">
        <v>92.966800000000006</v>
      </c>
      <c r="F44" s="2">
        <v>19894.900000000001</v>
      </c>
      <c r="G44" s="2">
        <v>19923.150000000001</v>
      </c>
      <c r="H44">
        <v>1</v>
      </c>
      <c r="I44" s="2">
        <v>28.25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Arcelor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joanp</dc:creator>
  <cp:lastModifiedBy>joanp</cp:lastModifiedBy>
  <dcterms:created xsi:type="dcterms:W3CDTF">2021-05-28T07:00:28Z</dcterms:created>
  <dcterms:modified xsi:type="dcterms:W3CDTF">2021-06-05T10:40:06Z</dcterms:modified>
</cp:coreProperties>
</file>