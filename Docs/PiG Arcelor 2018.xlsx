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80" yWindow="80" windowWidth="19140" windowHeight="7340"/>
  </bookViews>
  <sheets>
    <sheet name="Sheet1" sheetId="5" r:id="rId1"/>
  </sheets>
  <calcPr calcId="125725"/>
</workbook>
</file>

<file path=xl/calcChain.xml><?xml version="1.0" encoding="utf-8"?>
<calcChain xmlns="http://schemas.openxmlformats.org/spreadsheetml/2006/main">
  <c r="H38" i="5"/>
  <c r="G38"/>
  <c r="G36"/>
  <c r="F34"/>
  <c r="F36" s="1"/>
  <c r="E38"/>
  <c r="E39" s="1"/>
  <c r="E37"/>
  <c r="E36"/>
  <c r="E33"/>
  <c r="E34" s="1"/>
  <c r="E35" s="1"/>
  <c r="D26"/>
  <c r="D27" s="1"/>
  <c r="D28" s="1"/>
  <c r="I6"/>
  <c r="J7"/>
  <c r="G6"/>
  <c r="H6" s="1"/>
  <c r="G5"/>
  <c r="G4"/>
  <c r="H4" s="1"/>
  <c r="I4" s="1"/>
  <c r="G3"/>
  <c r="H3" s="1"/>
  <c r="I3" s="1"/>
  <c r="K4" l="1"/>
  <c r="H5"/>
  <c r="H7" l="1"/>
  <c r="I5"/>
  <c r="K6" l="1"/>
  <c r="I7"/>
  <c r="I8" s="1"/>
  <c r="H13" s="1"/>
</calcChain>
</file>

<file path=xl/sharedStrings.xml><?xml version="1.0" encoding="utf-8"?>
<sst xmlns="http://schemas.openxmlformats.org/spreadsheetml/2006/main" count="42" uniqueCount="32">
  <si>
    <t>Data</t>
  </si>
  <si>
    <t>Parts</t>
  </si>
  <si>
    <t>PU</t>
  </si>
  <si>
    <t>Compra</t>
  </si>
  <si>
    <t>Venda</t>
  </si>
  <si>
    <t>Saldo parts</t>
  </si>
  <si>
    <t>Parts utilitz</t>
  </si>
  <si>
    <t>Id</t>
  </si>
  <si>
    <t>Arcelor Mittal Steel</t>
  </si>
  <si>
    <t>PiG que tributen</t>
  </si>
  <si>
    <t>Proves</t>
  </si>
  <si>
    <t>Prod</t>
  </si>
  <si>
    <t>Desp</t>
  </si>
  <si>
    <t>Import Brut</t>
  </si>
  <si>
    <t>Import Net</t>
  </si>
  <si>
    <t>4-Thailand A-USD</t>
  </si>
  <si>
    <t>Dividends</t>
  </si>
  <si>
    <t>PiG</t>
  </si>
  <si>
    <t>Prod:</t>
  </si>
  <si>
    <t>Self:</t>
  </si>
  <si>
    <t>Aquí:</t>
  </si>
  <si>
    <t>Dif:</t>
  </si>
  <si>
    <t>Deutschland</t>
  </si>
  <si>
    <t>Biotechnology C USD Acc</t>
  </si>
  <si>
    <t>DWS Aktien Strategie Deutschland</t>
  </si>
  <si>
    <t>NB Capital Plus FI</t>
  </si>
  <si>
    <t>Global Technology A-Acc-EUR</t>
  </si>
  <si>
    <t>Total</t>
  </si>
  <si>
    <t>Total parts compres reals:</t>
  </si>
  <si>
    <t>Total parts vendes reals:</t>
  </si>
  <si>
    <t>Total parts en cartera:</t>
  </si>
  <si>
    <t>Total parts:</t>
  </si>
</sst>
</file>

<file path=xl/styles.xml><?xml version="1.0" encoding="utf-8"?>
<styleSheet xmlns="http://schemas.openxmlformats.org/spreadsheetml/2006/main">
  <numFmts count="4">
    <numFmt numFmtId="8" formatCode="#,##0.00\ &quot;€&quot;;[Red]\-#,##0.00\ &quot;€&quot;"/>
    <numFmt numFmtId="164" formatCode="#,##0.00\ &quot;€&quot;"/>
    <numFmt numFmtId="165" formatCode="0.0000"/>
    <numFmt numFmtId="166" formatCode="#,##0.0000\ &quot;€&quot;;[Red]\-#,##0.0000\ &quot;€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8" fontId="0" fillId="0" borderId="0" xfId="0" applyNumberFormat="1"/>
    <xf numFmtId="8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8" fontId="1" fillId="0" borderId="0" xfId="0" applyNumberFormat="1" applyFont="1"/>
    <xf numFmtId="0" fontId="1" fillId="0" borderId="0" xfId="0" applyFont="1" applyAlignment="1">
      <alignment horizontal="right"/>
    </xf>
    <xf numFmtId="8" fontId="1" fillId="0" borderId="0" xfId="0" applyNumberFormat="1" applyFont="1" applyAlignment="1">
      <alignment horizontal="center"/>
    </xf>
    <xf numFmtId="8" fontId="1" fillId="0" borderId="0" xfId="0" applyNumberFormat="1" applyFont="1" applyAlignment="1"/>
    <xf numFmtId="8" fontId="0" fillId="0" borderId="0" xfId="0" applyNumberFormat="1" applyAlignment="1"/>
    <xf numFmtId="0" fontId="0" fillId="0" borderId="0" xfId="0" applyFont="1"/>
    <xf numFmtId="165" fontId="0" fillId="0" borderId="0" xfId="0" applyNumberFormat="1"/>
    <xf numFmtId="166" fontId="0" fillId="0" borderId="0" xfId="0" applyNumberFormat="1"/>
    <xf numFmtId="4" fontId="0" fillId="0" borderId="0" xfId="0" applyNumberFormat="1"/>
    <xf numFmtId="0" fontId="2" fillId="2" borderId="0" xfId="1" applyAlignment="1">
      <alignment wrapText="1"/>
    </xf>
    <xf numFmtId="4" fontId="2" fillId="2" borderId="0" xfId="1" applyNumberFormat="1"/>
    <xf numFmtId="0" fontId="4" fillId="4" borderId="0" xfId="3" applyAlignment="1">
      <alignment wrapText="1"/>
    </xf>
    <xf numFmtId="4" fontId="4" fillId="4" borderId="0" xfId="3" applyNumberFormat="1"/>
    <xf numFmtId="0" fontId="3" fillId="3" borderId="0" xfId="2" applyAlignment="1">
      <alignment wrapText="1"/>
    </xf>
    <xf numFmtId="8" fontId="3" fillId="3" borderId="0" xfId="2" applyNumberFormat="1" applyAlignment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"/>
  <sheetViews>
    <sheetView tabSelected="1" zoomScale="130" zoomScaleNormal="130" workbookViewId="0">
      <pane ySplit="1" topLeftCell="A26" activePane="bottomLeft" state="frozen"/>
      <selection pane="bottomLeft" activeCell="H39" sqref="H39"/>
    </sheetView>
  </sheetViews>
  <sheetFormatPr defaultRowHeight="14.5"/>
  <cols>
    <col min="1" max="1" width="5.7265625" style="14" customWidth="1"/>
    <col min="2" max="2" width="13.7265625" customWidth="1"/>
    <col min="3" max="3" width="16.36328125" customWidth="1"/>
    <col min="4" max="4" width="10.6328125" bestFit="1" customWidth="1"/>
    <col min="5" max="5" width="8.81640625" bestFit="1" customWidth="1"/>
    <col min="6" max="6" width="10" customWidth="1"/>
    <col min="7" max="7" width="10.81640625" customWidth="1"/>
    <col min="8" max="8" width="11.6328125" style="13" customWidth="1"/>
    <col min="9" max="9" width="11.6328125" customWidth="1"/>
    <col min="10" max="11" width="10.6328125" bestFit="1" customWidth="1"/>
  </cols>
  <sheetData>
    <row r="1" spans="1:11">
      <c r="A1" s="2" t="s">
        <v>7</v>
      </c>
      <c r="C1" s="2" t="s">
        <v>0</v>
      </c>
      <c r="D1" s="2" t="s">
        <v>1</v>
      </c>
      <c r="E1" s="3" t="s">
        <v>2</v>
      </c>
      <c r="F1" s="2" t="s">
        <v>5</v>
      </c>
      <c r="G1" s="10" t="s">
        <v>6</v>
      </c>
      <c r="H1" s="11" t="s">
        <v>13</v>
      </c>
      <c r="I1" s="11" t="s">
        <v>14</v>
      </c>
      <c r="J1" s="2" t="s">
        <v>12</v>
      </c>
      <c r="K1" s="2" t="s">
        <v>17</v>
      </c>
    </row>
    <row r="2" spans="1:11">
      <c r="A2" s="1" t="s">
        <v>8</v>
      </c>
    </row>
    <row r="3" spans="1:11">
      <c r="A3" s="4">
        <v>151</v>
      </c>
      <c r="B3" s="4" t="s">
        <v>3</v>
      </c>
      <c r="C3" s="5">
        <v>42822</v>
      </c>
      <c r="D3" s="4">
        <v>527</v>
      </c>
      <c r="E3" s="7">
        <v>22.773</v>
      </c>
      <c r="G3">
        <f>D4</f>
        <v>527</v>
      </c>
      <c r="H3" s="13">
        <f>-E3*G3</f>
        <v>-12001.370999999999</v>
      </c>
      <c r="I3" s="6">
        <f>+H3-J3</f>
        <v>-12016.520999999999</v>
      </c>
      <c r="J3" s="6">
        <v>15.15</v>
      </c>
    </row>
    <row r="4" spans="1:11">
      <c r="A4" s="4">
        <v>165</v>
      </c>
      <c r="B4" s="4" t="s">
        <v>4</v>
      </c>
      <c r="C4" s="5">
        <v>43236</v>
      </c>
      <c r="D4" s="4">
        <v>527</v>
      </c>
      <c r="E4" s="7">
        <v>30.416</v>
      </c>
      <c r="G4">
        <f>D4</f>
        <v>527</v>
      </c>
      <c r="H4" s="13">
        <f>E4*G4</f>
        <v>16029.232</v>
      </c>
      <c r="I4" s="6">
        <f t="shared" ref="I4:I6" si="0">+H4-J4</f>
        <v>16001.781999999999</v>
      </c>
      <c r="J4" s="6">
        <v>27.45</v>
      </c>
      <c r="K4" s="6">
        <f>I4+I3</f>
        <v>3985.2610000000004</v>
      </c>
    </row>
    <row r="5" spans="1:11">
      <c r="A5" s="4">
        <v>166</v>
      </c>
      <c r="B5" s="4" t="s">
        <v>3</v>
      </c>
      <c r="C5" s="5">
        <v>43389</v>
      </c>
      <c r="D5" s="8">
        <v>1600</v>
      </c>
      <c r="E5" s="7">
        <v>24.388000000000002</v>
      </c>
      <c r="G5">
        <f>D6</f>
        <v>648</v>
      </c>
      <c r="H5" s="13">
        <f>-E5*G5</f>
        <v>-15803.424000000001</v>
      </c>
      <c r="I5" s="6">
        <f t="shared" si="0"/>
        <v>-15814.97055</v>
      </c>
      <c r="J5" s="6">
        <v>11.546550000000002</v>
      </c>
    </row>
    <row r="6" spans="1:11">
      <c r="A6" s="4">
        <v>169</v>
      </c>
      <c r="B6" s="4" t="s">
        <v>4</v>
      </c>
      <c r="C6" s="5">
        <v>43458</v>
      </c>
      <c r="D6" s="4">
        <v>648</v>
      </c>
      <c r="E6" s="7">
        <v>18.260000000000002</v>
      </c>
      <c r="G6">
        <f>D6</f>
        <v>648</v>
      </c>
      <c r="H6" s="13">
        <f>E6*G6</f>
        <v>11832.480000000001</v>
      </c>
      <c r="I6" s="6">
        <f t="shared" si="0"/>
        <v>11822.420000000002</v>
      </c>
      <c r="J6" s="6">
        <v>10.06</v>
      </c>
      <c r="K6" s="6">
        <f>I6+I5</f>
        <v>-3992.5505499999981</v>
      </c>
    </row>
    <row r="7" spans="1:11">
      <c r="H7" s="12">
        <f>SUM(H3:H6)</f>
        <v>56.917000000001281</v>
      </c>
      <c r="I7" s="9">
        <f>SUM(I3:I6)</f>
        <v>-7.2895499999976892</v>
      </c>
      <c r="J7" s="9">
        <f>SUM(J3:J6)</f>
        <v>64.206550000000007</v>
      </c>
      <c r="K7" s="6"/>
    </row>
    <row r="8" spans="1:11">
      <c r="D8" s="1" t="s">
        <v>9</v>
      </c>
      <c r="E8" s="1"/>
      <c r="I8" s="16">
        <f>+I7+E13</f>
        <v>-5.7195499999976889</v>
      </c>
      <c r="J8" s="9"/>
    </row>
    <row r="9" spans="1:11">
      <c r="D9" s="1" t="s">
        <v>10</v>
      </c>
      <c r="E9" s="1" t="s">
        <v>11</v>
      </c>
    </row>
    <row r="10" spans="1:11">
      <c r="D10">
        <v>21</v>
      </c>
      <c r="E10" s="7">
        <v>-5.7</v>
      </c>
    </row>
    <row r="11" spans="1:11">
      <c r="D11" s="6"/>
      <c r="E11" s="6"/>
    </row>
    <row r="12" spans="1:11">
      <c r="A12" s="1" t="s">
        <v>15</v>
      </c>
    </row>
    <row r="13" spans="1:11">
      <c r="A13" s="4">
        <v>175</v>
      </c>
      <c r="B13" s="4" t="s">
        <v>16</v>
      </c>
      <c r="C13" s="5">
        <v>43313</v>
      </c>
      <c r="D13" s="4">
        <v>0</v>
      </c>
      <c r="E13" s="7">
        <v>1.57</v>
      </c>
      <c r="G13" s="15">
        <v>-5.6984699999990696</v>
      </c>
      <c r="H13" s="13">
        <f>+I8-G13</f>
        <v>-2.1079999998619314E-2</v>
      </c>
    </row>
    <row r="16" spans="1:11">
      <c r="B16" s="6" t="s">
        <v>18</v>
      </c>
      <c r="C16" s="6" t="s">
        <v>19</v>
      </c>
      <c r="D16" s="6" t="s">
        <v>20</v>
      </c>
      <c r="E16" s="6" t="s">
        <v>21</v>
      </c>
    </row>
    <row r="17" spans="2:5">
      <c r="B17" s="6" t="s">
        <v>22</v>
      </c>
      <c r="C17" s="6">
        <v>777.35</v>
      </c>
      <c r="D17" s="6">
        <v>777.35699999999997</v>
      </c>
      <c r="E17" s="6">
        <v>-7.0000000000000001E-3</v>
      </c>
    </row>
    <row r="18" spans="2:5">
      <c r="B18" s="6" t="s">
        <v>23</v>
      </c>
      <c r="C18" s="6">
        <v>6132.72</v>
      </c>
      <c r="D18" s="6">
        <v>6511.21</v>
      </c>
      <c r="E18" s="6">
        <v>-378.49</v>
      </c>
    </row>
    <row r="19" spans="2:5">
      <c r="B19" s="6" t="s">
        <v>24</v>
      </c>
      <c r="C19" s="6">
        <v>17922.04</v>
      </c>
      <c r="D19" s="6">
        <v>17928.550999999999</v>
      </c>
      <c r="E19" s="6">
        <v>-6.5110000000000001</v>
      </c>
    </row>
    <row r="20" spans="2:5">
      <c r="B20" s="6" t="s">
        <v>25</v>
      </c>
      <c r="C20" s="6">
        <v>1588.63</v>
      </c>
      <c r="D20" s="6">
        <v>1583.24</v>
      </c>
      <c r="E20" s="6">
        <v>5.39</v>
      </c>
    </row>
    <row r="21" spans="2:5">
      <c r="B21" s="6" t="s">
        <v>26</v>
      </c>
      <c r="C21" s="6">
        <v>27338.26</v>
      </c>
      <c r="D21" s="6">
        <v>27337.143</v>
      </c>
      <c r="E21" s="6">
        <v>1.117</v>
      </c>
    </row>
    <row r="22" spans="2:5">
      <c r="B22" s="6" t="s">
        <v>8</v>
      </c>
      <c r="C22" s="6">
        <v>26084.35</v>
      </c>
      <c r="D22" s="6">
        <v>26084.298999999999</v>
      </c>
      <c r="E22" s="6">
        <v>5.0999999999999997E-2</v>
      </c>
    </row>
    <row r="23" spans="2:5">
      <c r="B23" s="6" t="s">
        <v>27</v>
      </c>
      <c r="C23" s="6">
        <v>79843.350000000006</v>
      </c>
      <c r="D23" s="6">
        <v>80221.8</v>
      </c>
      <c r="E23" s="6">
        <v>-378.45</v>
      </c>
    </row>
    <row r="26" spans="2:5">
      <c r="B26" t="s">
        <v>28</v>
      </c>
      <c r="C26">
        <v>64911.250999999997</v>
      </c>
      <c r="D26">
        <f>C26</f>
        <v>64911.250999999997</v>
      </c>
    </row>
    <row r="27" spans="2:5">
      <c r="B27" t="s">
        <v>29</v>
      </c>
      <c r="C27">
        <v>56026.048000000003</v>
      </c>
      <c r="D27">
        <f>+D26-C27</f>
        <v>8885.2029999999941</v>
      </c>
    </row>
    <row r="28" spans="2:5">
      <c r="B28" t="s">
        <v>30</v>
      </c>
      <c r="C28">
        <v>3787.0189999999998</v>
      </c>
      <c r="D28">
        <f>+D27-C28</f>
        <v>5098.1839999999938</v>
      </c>
    </row>
    <row r="29" spans="2:5">
      <c r="B29" t="s">
        <v>31</v>
      </c>
      <c r="C29">
        <v>5098.1840000000002</v>
      </c>
    </row>
    <row r="33" spans="1:8">
      <c r="A33" s="4">
        <v>166</v>
      </c>
      <c r="B33" s="18" t="s">
        <v>3</v>
      </c>
      <c r="C33" s="5">
        <v>43389</v>
      </c>
      <c r="D33" s="8">
        <v>1600</v>
      </c>
      <c r="E33" s="17">
        <f>D33</f>
        <v>1600</v>
      </c>
    </row>
    <row r="34" spans="1:8">
      <c r="A34" s="4">
        <v>169</v>
      </c>
      <c r="B34" s="4" t="s">
        <v>4</v>
      </c>
      <c r="C34" s="5">
        <v>43458</v>
      </c>
      <c r="D34" s="4">
        <v>648</v>
      </c>
      <c r="E34" s="17">
        <f>E33-D34</f>
        <v>952</v>
      </c>
      <c r="F34" s="19">
        <f>D34</f>
        <v>648</v>
      </c>
    </row>
    <row r="35" spans="1:8">
      <c r="A35" s="4">
        <v>174</v>
      </c>
      <c r="B35" s="20" t="s">
        <v>3</v>
      </c>
      <c r="C35" s="5">
        <v>43550</v>
      </c>
      <c r="D35" s="4">
        <v>700</v>
      </c>
      <c r="E35" s="17">
        <f>E34+D35</f>
        <v>1652</v>
      </c>
    </row>
    <row r="36" spans="1:8">
      <c r="A36" s="4">
        <v>177</v>
      </c>
      <c r="B36" s="4" t="s">
        <v>4</v>
      </c>
      <c r="C36" s="5">
        <v>43797</v>
      </c>
      <c r="D36" s="8">
        <v>1252</v>
      </c>
      <c r="E36" s="17">
        <f>E35-D36</f>
        <v>400</v>
      </c>
      <c r="F36" s="19">
        <f>D33-F34</f>
        <v>952</v>
      </c>
      <c r="G36" s="21">
        <f>D36-F36</f>
        <v>300</v>
      </c>
    </row>
    <row r="37" spans="1:8">
      <c r="A37" s="4">
        <v>178</v>
      </c>
      <c r="B37" s="22" t="s">
        <v>3</v>
      </c>
      <c r="C37" s="5">
        <v>43802</v>
      </c>
      <c r="D37" s="8">
        <v>1252</v>
      </c>
      <c r="E37" s="17">
        <f>E36+D37</f>
        <v>1652</v>
      </c>
      <c r="F37" s="17"/>
    </row>
    <row r="38" spans="1:8">
      <c r="A38" s="4">
        <v>179</v>
      </c>
      <c r="B38" s="4" t="s">
        <v>4</v>
      </c>
      <c r="C38" s="5">
        <v>43872</v>
      </c>
      <c r="D38" s="8">
        <v>1252</v>
      </c>
      <c r="E38" s="17">
        <f>E37-D38</f>
        <v>400</v>
      </c>
      <c r="G38" s="21">
        <f>D35-G36</f>
        <v>400</v>
      </c>
      <c r="H38" s="23">
        <f>D38-G38</f>
        <v>852</v>
      </c>
    </row>
    <row r="39" spans="1:8">
      <c r="A39" s="4">
        <v>182</v>
      </c>
      <c r="B39" s="4" t="s">
        <v>3</v>
      </c>
      <c r="C39" s="5">
        <v>43893</v>
      </c>
      <c r="D39" s="8">
        <v>1500</v>
      </c>
      <c r="E39" s="17">
        <f>E38+D39</f>
        <v>1900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2021-04-27T15:16:20Z</dcterms:created>
  <dcterms:modified xsi:type="dcterms:W3CDTF">2021-05-03T11:58:44Z</dcterms:modified>
</cp:coreProperties>
</file>