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5" r:id="rId1"/>
  </sheets>
  <calcPr calcId="125725"/>
</workbook>
</file>

<file path=xl/calcChain.xml><?xml version="1.0" encoding="utf-8"?>
<calcChain xmlns="http://schemas.openxmlformats.org/spreadsheetml/2006/main">
  <c r="I6" i="5"/>
  <c r="I3"/>
  <c r="J7"/>
  <c r="G6"/>
  <c r="H6" s="1"/>
  <c r="G5"/>
  <c r="G4"/>
  <c r="H4" s="1"/>
  <c r="I4" s="1"/>
  <c r="K4" s="1"/>
  <c r="G3"/>
  <c r="H3" s="1"/>
  <c r="H5" l="1"/>
  <c r="H7" l="1"/>
  <c r="I5"/>
  <c r="K6" l="1"/>
  <c r="I7"/>
  <c r="I8" s="1"/>
  <c r="H13" s="1"/>
</calcChain>
</file>

<file path=xl/sharedStrings.xml><?xml version="1.0" encoding="utf-8"?>
<sst xmlns="http://schemas.openxmlformats.org/spreadsheetml/2006/main" count="20" uniqueCount="18">
  <si>
    <t>Data</t>
  </si>
  <si>
    <t>Parts</t>
  </si>
  <si>
    <t>PU</t>
  </si>
  <si>
    <t>Compra</t>
  </si>
  <si>
    <t>Venda</t>
  </si>
  <si>
    <t>Saldo parts</t>
  </si>
  <si>
    <t>Parts utilitz</t>
  </si>
  <si>
    <t>Id</t>
  </si>
  <si>
    <t>Arcelor Mittal Steel</t>
  </si>
  <si>
    <t>PiG que tributen</t>
  </si>
  <si>
    <t>Proves</t>
  </si>
  <si>
    <t>Prod</t>
  </si>
  <si>
    <t>Desp</t>
  </si>
  <si>
    <t>Import Brut</t>
  </si>
  <si>
    <t>Import Net</t>
  </si>
  <si>
    <t>4-Thailand A-USD</t>
  </si>
  <si>
    <t>Dividends</t>
  </si>
  <si>
    <t>PiG</t>
  </si>
</sst>
</file>

<file path=xl/styles.xml><?xml version="1.0" encoding="utf-8"?>
<styleSheet xmlns="http://schemas.openxmlformats.org/spreadsheetml/2006/main">
  <numFmts count="4">
    <numFmt numFmtId="8" formatCode="#,##0.00\ &quot;€&quot;;[Red]\-#,##0.00\ &quot;€&quot;"/>
    <numFmt numFmtId="164" formatCode="#,##0.00\ &quot;€&quot;"/>
    <numFmt numFmtId="169" formatCode="0.0000"/>
    <numFmt numFmtId="172" formatCode="#,##0.0000\ &quot;€&quot;;[Red]\-#,##0.0000\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8" fontId="0" fillId="0" borderId="0" xfId="0" applyNumberFormat="1"/>
    <xf numFmtId="8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8" fontId="1" fillId="0" borderId="0" xfId="0" applyNumberFormat="1" applyFont="1"/>
    <xf numFmtId="0" fontId="1" fillId="0" borderId="0" xfId="0" applyFont="1" applyAlignment="1">
      <alignment horizontal="right"/>
    </xf>
    <xf numFmtId="8" fontId="1" fillId="0" borderId="0" xfId="0" applyNumberFormat="1" applyFont="1" applyAlignment="1">
      <alignment horizontal="center"/>
    </xf>
    <xf numFmtId="8" fontId="1" fillId="0" borderId="0" xfId="0" applyNumberFormat="1" applyFont="1" applyAlignment="1"/>
    <xf numFmtId="8" fontId="0" fillId="0" borderId="0" xfId="0" applyNumberFormat="1" applyAlignment="1"/>
    <xf numFmtId="0" fontId="0" fillId="0" borderId="0" xfId="0" applyFont="1"/>
    <xf numFmtId="169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zoomScale="130" zoomScaleNormal="130" workbookViewId="0">
      <pane ySplit="1" topLeftCell="A8" activePane="bottomLeft" state="frozen"/>
      <selection pane="bottomLeft" activeCell="C15" sqref="C15"/>
    </sheetView>
  </sheetViews>
  <sheetFormatPr defaultRowHeight="14.5"/>
  <cols>
    <col min="1" max="1" width="5.7265625" style="14" customWidth="1"/>
    <col min="2" max="2" width="13.7265625" customWidth="1"/>
    <col min="3" max="3" width="16.36328125" customWidth="1"/>
    <col min="6" max="6" width="10" customWidth="1"/>
    <col min="7" max="7" width="10.81640625" customWidth="1"/>
    <col min="8" max="8" width="11.6328125" style="13" customWidth="1"/>
    <col min="9" max="9" width="11.6328125" customWidth="1"/>
    <col min="10" max="11" width="10.6328125" bestFit="1" customWidth="1"/>
  </cols>
  <sheetData>
    <row r="1" spans="1:11">
      <c r="A1" s="2" t="s">
        <v>7</v>
      </c>
      <c r="C1" s="2" t="s">
        <v>0</v>
      </c>
      <c r="D1" s="2" t="s">
        <v>1</v>
      </c>
      <c r="E1" s="3" t="s">
        <v>2</v>
      </c>
      <c r="F1" s="2" t="s">
        <v>5</v>
      </c>
      <c r="G1" s="10" t="s">
        <v>6</v>
      </c>
      <c r="H1" s="11" t="s">
        <v>13</v>
      </c>
      <c r="I1" s="11" t="s">
        <v>14</v>
      </c>
      <c r="J1" s="2" t="s">
        <v>12</v>
      </c>
      <c r="K1" s="2" t="s">
        <v>17</v>
      </c>
    </row>
    <row r="2" spans="1:11">
      <c r="A2" s="1" t="s">
        <v>8</v>
      </c>
    </row>
    <row r="3" spans="1:11">
      <c r="A3" s="4">
        <v>151</v>
      </c>
      <c r="B3" s="4" t="s">
        <v>3</v>
      </c>
      <c r="C3" s="5">
        <v>42822</v>
      </c>
      <c r="D3" s="4">
        <v>527</v>
      </c>
      <c r="E3" s="7">
        <v>22.773</v>
      </c>
      <c r="G3">
        <f>D4</f>
        <v>527</v>
      </c>
      <c r="H3" s="13">
        <f>-E3*G3</f>
        <v>-12001.370999999999</v>
      </c>
      <c r="I3" s="6">
        <f>+H3-J3</f>
        <v>-12016.520999999999</v>
      </c>
      <c r="J3" s="6">
        <v>15.15</v>
      </c>
    </row>
    <row r="4" spans="1:11">
      <c r="A4" s="4">
        <v>165</v>
      </c>
      <c r="B4" s="4" t="s">
        <v>4</v>
      </c>
      <c r="C4" s="5">
        <v>43236</v>
      </c>
      <c r="D4" s="4">
        <v>527</v>
      </c>
      <c r="E4" s="7">
        <v>30.416</v>
      </c>
      <c r="G4">
        <f>D4</f>
        <v>527</v>
      </c>
      <c r="H4" s="13">
        <f>E4*G4</f>
        <v>16029.232</v>
      </c>
      <c r="I4" s="6">
        <f t="shared" ref="I4:I6" si="0">+H4-J4</f>
        <v>16001.781999999999</v>
      </c>
      <c r="J4" s="6">
        <v>27.45</v>
      </c>
      <c r="K4" s="6">
        <f>I4+I3</f>
        <v>3985.2610000000004</v>
      </c>
    </row>
    <row r="5" spans="1:11">
      <c r="A5" s="4">
        <v>166</v>
      </c>
      <c r="B5" s="4" t="s">
        <v>3</v>
      </c>
      <c r="C5" s="5">
        <v>43389</v>
      </c>
      <c r="D5" s="8">
        <v>1600</v>
      </c>
      <c r="E5" s="7">
        <v>24.388000000000002</v>
      </c>
      <c r="G5">
        <f>D6</f>
        <v>648</v>
      </c>
      <c r="H5" s="13">
        <f>-E5*G5</f>
        <v>-15803.424000000001</v>
      </c>
      <c r="I5" s="6">
        <f t="shared" si="0"/>
        <v>-15814.97055</v>
      </c>
      <c r="J5" s="6">
        <v>11.546550000000002</v>
      </c>
    </row>
    <row r="6" spans="1:11">
      <c r="A6" s="4">
        <v>169</v>
      </c>
      <c r="B6" s="4" t="s">
        <v>4</v>
      </c>
      <c r="C6" s="5">
        <v>43458</v>
      </c>
      <c r="D6" s="4">
        <v>648</v>
      </c>
      <c r="E6" s="7">
        <v>18.260000000000002</v>
      </c>
      <c r="G6">
        <f>D6</f>
        <v>648</v>
      </c>
      <c r="H6" s="13">
        <f>E6*G6</f>
        <v>11832.480000000001</v>
      </c>
      <c r="I6" s="6">
        <f t="shared" si="0"/>
        <v>11822.420000000002</v>
      </c>
      <c r="J6" s="6">
        <v>10.06</v>
      </c>
      <c r="K6" s="6">
        <f>I6+I5</f>
        <v>-3992.5505499999981</v>
      </c>
    </row>
    <row r="7" spans="1:11">
      <c r="H7" s="12">
        <f>SUM(H3:H6)</f>
        <v>56.917000000001281</v>
      </c>
      <c r="I7" s="9">
        <f>SUM(I3:I6)</f>
        <v>-7.2895499999976892</v>
      </c>
      <c r="J7" s="9">
        <f>SUM(J3:J6)</f>
        <v>64.206550000000007</v>
      </c>
      <c r="K7" s="6"/>
    </row>
    <row r="8" spans="1:11">
      <c r="D8" s="1" t="s">
        <v>9</v>
      </c>
      <c r="E8" s="1"/>
      <c r="I8" s="16">
        <f>+I7+E13</f>
        <v>-5.7195499999976889</v>
      </c>
      <c r="J8" s="9"/>
    </row>
    <row r="9" spans="1:11">
      <c r="D9" s="1" t="s">
        <v>10</v>
      </c>
      <c r="E9" s="1" t="s">
        <v>11</v>
      </c>
    </row>
    <row r="10" spans="1:11">
      <c r="D10">
        <v>21</v>
      </c>
      <c r="E10" s="7">
        <v>-5.7</v>
      </c>
    </row>
    <row r="11" spans="1:11">
      <c r="D11" s="6"/>
      <c r="E11" s="6"/>
    </row>
    <row r="12" spans="1:11">
      <c r="A12" s="1" t="s">
        <v>15</v>
      </c>
    </row>
    <row r="13" spans="1:11">
      <c r="A13" s="4">
        <v>175</v>
      </c>
      <c r="B13" s="4" t="s">
        <v>16</v>
      </c>
      <c r="C13" s="5">
        <v>43313</v>
      </c>
      <c r="D13" s="4">
        <v>0</v>
      </c>
      <c r="E13" s="7">
        <v>1.57</v>
      </c>
      <c r="G13" s="15">
        <v>-5.6984699999990696</v>
      </c>
      <c r="H13" s="13">
        <f>+I8-G13</f>
        <v>-2.1079999998619314E-2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2021-04-27T15:16:20Z</dcterms:created>
  <dcterms:modified xsi:type="dcterms:W3CDTF">2021-04-28T10:03:50Z</dcterms:modified>
</cp:coreProperties>
</file>