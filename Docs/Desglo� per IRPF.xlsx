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Meus\InversionsV2\Docs\"/>
    </mc:Choice>
  </mc:AlternateContent>
  <xr:revisionPtr revIDLastSave="0" documentId="13_ncr:1_{79CA455F-E165-47A5-9819-211A0B375024}" xr6:coauthVersionLast="47" xr6:coauthVersionMax="47" xr10:uidLastSave="{00000000-0000-0000-0000-000000000000}"/>
  <bookViews>
    <workbookView xWindow="-110" yWindow="-110" windowWidth="19420" windowHeight="10420" activeTab="1" xr2:uid="{D5391FB0-AD89-473B-AA62-C3B5FCAECA9A}"/>
  </bookViews>
  <sheets>
    <sheet name="Hisenda" sheetId="1" r:id="rId1"/>
    <sheet name="Arcel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8" i="2" l="1"/>
  <c r="N20" i="2" s="1"/>
  <c r="N22" i="2" s="1"/>
  <c r="N21" i="2"/>
  <c r="N19" i="2"/>
  <c r="N17" i="2"/>
  <c r="M17" i="2"/>
  <c r="N16" i="2"/>
  <c r="M16" i="2"/>
  <c r="N15" i="2"/>
  <c r="M15" i="2"/>
  <c r="M12" i="2"/>
  <c r="M11" i="2"/>
  <c r="M9" i="2"/>
  <c r="O8" i="2"/>
  <c r="M8" i="2"/>
  <c r="L2" i="2"/>
  <c r="D6" i="1"/>
  <c r="C6" i="1"/>
  <c r="D7" i="1" l="1"/>
  <c r="L3" i="2" l="1"/>
  <c r="L4" i="2" l="1"/>
  <c r="L5" i="2" s="1"/>
  <c r="L6" i="2" s="1"/>
  <c r="L7" i="2" l="1"/>
  <c r="L8" i="2" s="1"/>
  <c r="L9" i="2" s="1"/>
  <c r="L10" i="2" s="1"/>
  <c r="L11" i="2" s="1"/>
  <c r="L12" i="2" s="1"/>
  <c r="L13" i="2" s="1"/>
  <c r="L14" i="2" s="1"/>
  <c r="L15" i="2" s="1"/>
  <c r="L16" i="2" s="1"/>
</calcChain>
</file>

<file path=xl/sharedStrings.xml><?xml version="1.0" encoding="utf-8"?>
<sst xmlns="http://schemas.openxmlformats.org/spreadsheetml/2006/main" count="54" uniqueCount="23">
  <si>
    <t>PiG ---&gt;</t>
  </si>
  <si>
    <t>Compra</t>
  </si>
  <si>
    <t>Venda</t>
  </si>
  <si>
    <t>Dividends</t>
  </si>
  <si>
    <t>Data</t>
  </si>
  <si>
    <t>Parts</t>
  </si>
  <si>
    <t>PU</t>
  </si>
  <si>
    <t>Brut</t>
  </si>
  <si>
    <t>Net</t>
  </si>
  <si>
    <t>Desp</t>
  </si>
  <si>
    <t>Adquisició/subscripció</t>
  </si>
  <si>
    <t>Transmissió</t>
  </si>
  <si>
    <t>Descripció</t>
  </si>
  <si>
    <t>Títols</t>
  </si>
  <si>
    <t>Import</t>
  </si>
  <si>
    <t>Total</t>
  </si>
  <si>
    <t>Data C</t>
  </si>
  <si>
    <t>Data V</t>
  </si>
  <si>
    <t>Valor C</t>
  </si>
  <si>
    <t>Valor V</t>
  </si>
  <si>
    <t>PiG</t>
  </si>
  <si>
    <t>Hisenda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</si>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</sst>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636363"/>
      <name val="Inherit"/>
    </font>
    <font>
      <b/>
      <sz val="10"/>
      <color rgb="FF636363"/>
      <name val="Inherit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FFFFFF"/>
      </left>
      <right/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FFFFFF"/>
      </left>
      <right/>
      <top/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/>
      <bottom style="medium">
        <color indexed="64"/>
      </bottom>
      <diagonal/>
    </border>
    <border>
      <left style="medium">
        <color rgb="FFCFCFCF"/>
      </left>
      <right style="medium">
        <color rgb="FFCED4DA"/>
      </right>
      <top style="medium">
        <color indexed="64"/>
      </top>
      <bottom style="medium">
        <color indexed="64"/>
      </bottom>
      <diagonal/>
    </border>
    <border>
      <left style="medium">
        <color rgb="FFCFCFCF"/>
      </left>
      <right style="medium">
        <color rgb="FFCFCFCF"/>
      </right>
      <top style="medium">
        <color indexed="64"/>
      </top>
      <bottom style="medium">
        <color indexed="64"/>
      </bottom>
      <diagonal/>
    </border>
    <border>
      <left style="medium">
        <color rgb="FFCFCFC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8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4" fontId="2" fillId="2" borderId="3" xfId="0" applyNumberFormat="1" applyFont="1" applyFill="1" applyBorder="1" applyAlignment="1">
      <alignment horizontal="center" vertical="top" wrapText="1"/>
    </xf>
    <xf numFmtId="164" fontId="2" fillId="2" borderId="3" xfId="0" applyNumberFormat="1" applyFont="1" applyFill="1" applyBorder="1" applyAlignment="1">
      <alignment horizontal="right" vertical="top" wrapText="1"/>
    </xf>
    <xf numFmtId="164" fontId="2" fillId="2" borderId="4" xfId="0" applyNumberFormat="1" applyFont="1" applyFill="1" applyBorder="1" applyAlignment="1">
      <alignment horizontal="right" vertical="top" wrapText="1"/>
    </xf>
    <xf numFmtId="14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right" vertical="top" wrapText="1"/>
    </xf>
    <xf numFmtId="164" fontId="2" fillId="2" borderId="6" xfId="0" applyNumberFormat="1" applyFont="1" applyFill="1" applyBorder="1" applyAlignment="1">
      <alignment horizontal="right" vertical="top" wrapText="1"/>
    </xf>
    <xf numFmtId="14" fontId="2" fillId="3" borderId="8" xfId="0" applyNumberFormat="1" applyFont="1" applyFill="1" applyBorder="1" applyAlignment="1">
      <alignment horizontal="center" vertical="top" wrapText="1"/>
    </xf>
    <xf numFmtId="164" fontId="2" fillId="3" borderId="8" xfId="0" applyNumberFormat="1" applyFont="1" applyFill="1" applyBorder="1" applyAlignment="1">
      <alignment horizontal="right" vertical="top" wrapText="1"/>
    </xf>
    <xf numFmtId="164" fontId="2" fillId="3" borderId="9" xfId="0" applyNumberFormat="1" applyFont="1" applyFill="1" applyBorder="1" applyAlignment="1">
      <alignment horizontal="right" vertical="top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/>
    <xf numFmtId="14" fontId="2" fillId="0" borderId="2" xfId="0" applyNumberFormat="1" applyFont="1" applyBorder="1" applyAlignment="1">
      <alignment wrapText="1"/>
    </xf>
    <xf numFmtId="0" fontId="2" fillId="0" borderId="13" xfId="0" applyFont="1" applyBorder="1" applyAlignment="1">
      <alignment vertical="center"/>
    </xf>
    <xf numFmtId="3" fontId="2" fillId="0" borderId="13" xfId="0" applyNumberFormat="1" applyFont="1" applyBorder="1" applyAlignment="1">
      <alignment wrapText="1"/>
    </xf>
    <xf numFmtId="8" fontId="2" fillId="0" borderId="13" xfId="0" applyNumberFormat="1" applyFont="1" applyBorder="1" applyAlignment="1">
      <alignment wrapText="1"/>
    </xf>
    <xf numFmtId="3" fontId="2" fillId="0" borderId="14" xfId="0" applyNumberFormat="1" applyFont="1" applyBorder="1" applyAlignment="1">
      <alignment wrapText="1"/>
    </xf>
    <xf numFmtId="14" fontId="2" fillId="0" borderId="5" xfId="0" applyNumberFormat="1" applyFont="1" applyBorder="1" applyAlignment="1"/>
    <xf numFmtId="0" fontId="2" fillId="0" borderId="0" xfId="0" applyFont="1" applyBorder="1" applyAlignment="1">
      <alignment vertical="center"/>
    </xf>
    <xf numFmtId="3" fontId="2" fillId="0" borderId="0" xfId="0" applyNumberFormat="1" applyFont="1" applyBorder="1" applyAlignment="1"/>
    <xf numFmtId="8" fontId="2" fillId="0" borderId="0" xfId="0" applyNumberFormat="1" applyFont="1" applyBorder="1" applyAlignment="1"/>
    <xf numFmtId="3" fontId="2" fillId="0" borderId="15" xfId="0" applyNumberFormat="1" applyFont="1" applyBorder="1" applyAlignment="1"/>
    <xf numFmtId="14" fontId="2" fillId="0" borderId="7" xfId="0" applyNumberFormat="1" applyFont="1" applyBorder="1" applyAlignment="1"/>
    <xf numFmtId="0" fontId="2" fillId="0" borderId="16" xfId="0" applyFont="1" applyBorder="1" applyAlignment="1">
      <alignment vertical="center"/>
    </xf>
    <xf numFmtId="3" fontId="2" fillId="0" borderId="16" xfId="0" applyNumberFormat="1" applyFont="1" applyBorder="1" applyAlignment="1"/>
    <xf numFmtId="8" fontId="2" fillId="0" borderId="16" xfId="0" applyNumberFormat="1" applyFont="1" applyBorder="1" applyAlignment="1"/>
    <xf numFmtId="3" fontId="2" fillId="0" borderId="17" xfId="0" applyNumberFormat="1" applyFont="1" applyBorder="1" applyAlignment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left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3" fontId="0" fillId="8" borderId="0" xfId="0" applyNumberFormat="1" applyFill="1" applyAlignment="1">
      <alignment vertical="center" wrapText="1"/>
    </xf>
    <xf numFmtId="0" fontId="0" fillId="9" borderId="0" xfId="0" applyFill="1" applyAlignment="1">
      <alignment vertical="center" wrapText="1"/>
    </xf>
    <xf numFmtId="3" fontId="0" fillId="9" borderId="0" xfId="0" applyNumberFormat="1" applyFill="1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8" fontId="1" fillId="0" borderId="5" xfId="0" applyNumberFormat="1" applyFont="1" applyBorder="1"/>
    <xf numFmtId="8" fontId="1" fillId="0" borderId="15" xfId="0" applyNumberFormat="1" applyFont="1" applyBorder="1"/>
    <xf numFmtId="8" fontId="1" fillId="0" borderId="7" xfId="0" applyNumberFormat="1" applyFont="1" applyBorder="1"/>
    <xf numFmtId="8" fontId="1" fillId="0" borderId="17" xfId="0" applyNumberFormat="1" applyFont="1" applyBorder="1"/>
    <xf numFmtId="8" fontId="1" fillId="0" borderId="18" xfId="0" applyNumberFormat="1" applyFont="1" applyBorder="1"/>
    <xf numFmtId="8" fontId="1" fillId="0" borderId="20" xfId="0" applyNumberFormat="1" applyFont="1" applyBorder="1"/>
    <xf numFmtId="0" fontId="1" fillId="0" borderId="2" xfId="0" applyFont="1" applyBorder="1"/>
    <xf numFmtId="8" fontId="1" fillId="0" borderId="14" xfId="0" applyNumberFormat="1" applyFont="1" applyBorder="1"/>
    <xf numFmtId="0" fontId="1" fillId="0" borderId="5" xfId="0" applyFont="1" applyBorder="1"/>
    <xf numFmtId="0" fontId="1" fillId="0" borderId="7" xfId="0" applyFont="1" applyBorder="1"/>
    <xf numFmtId="8" fontId="0" fillId="0" borderId="1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CFA17-404F-4DA8-8891-F2A744C8D48D}">
  <dimension ref="A1:K9"/>
  <sheetViews>
    <sheetView zoomScale="175" zoomScaleNormal="175" workbookViewId="0">
      <selection activeCell="K2" sqref="K2"/>
    </sheetView>
  </sheetViews>
  <sheetFormatPr defaultRowHeight="14.5"/>
  <cols>
    <col min="1" max="2" width="8.08984375" bestFit="1" customWidth="1"/>
    <col min="3" max="4" width="10.36328125" bestFit="1" customWidth="1"/>
    <col min="5" max="5" width="2" customWidth="1"/>
    <col min="6" max="6" width="8.08984375" bestFit="1" customWidth="1"/>
    <col min="7" max="7" width="15.26953125" bestFit="1" customWidth="1"/>
    <col min="8" max="8" width="5.26953125" bestFit="1" customWidth="1"/>
    <col min="9" max="9" width="10.26953125" bestFit="1" customWidth="1"/>
    <col min="10" max="10" width="5" bestFit="1" customWidth="1"/>
  </cols>
  <sheetData>
    <row r="1" spans="1:11" ht="15" thickBot="1">
      <c r="A1" s="25" t="s">
        <v>16</v>
      </c>
      <c r="B1" s="26" t="s">
        <v>17</v>
      </c>
      <c r="C1" s="26" t="s">
        <v>18</v>
      </c>
      <c r="D1" s="27" t="s">
        <v>19</v>
      </c>
      <c r="E1" s="28"/>
      <c r="F1" s="44" t="s">
        <v>4</v>
      </c>
      <c r="G1" s="45" t="s">
        <v>12</v>
      </c>
      <c r="H1" s="46" t="s">
        <v>13</v>
      </c>
      <c r="I1" s="46" t="s">
        <v>14</v>
      </c>
      <c r="J1" s="47" t="s">
        <v>15</v>
      </c>
    </row>
    <row r="2" spans="1:11">
      <c r="A2" s="13">
        <v>43802</v>
      </c>
      <c r="B2" s="13">
        <v>44559</v>
      </c>
      <c r="C2" s="14">
        <v>4721.46</v>
      </c>
      <c r="D2" s="15">
        <v>8805.32</v>
      </c>
      <c r="F2" s="29">
        <v>43802</v>
      </c>
      <c r="G2" s="30" t="s">
        <v>10</v>
      </c>
      <c r="H2" s="31">
        <v>500</v>
      </c>
      <c r="I2" s="32">
        <v>7669.06</v>
      </c>
      <c r="J2" s="33">
        <v>900</v>
      </c>
      <c r="K2">
        <v>178</v>
      </c>
    </row>
    <row r="3" spans="1:11">
      <c r="A3" s="16">
        <v>43802</v>
      </c>
      <c r="B3" s="16">
        <v>44559</v>
      </c>
      <c r="C3" s="17">
        <v>1414.68</v>
      </c>
      <c r="D3" s="18">
        <v>2630.16</v>
      </c>
      <c r="F3" s="34">
        <v>43802</v>
      </c>
      <c r="G3" s="35" t="s">
        <v>10</v>
      </c>
      <c r="H3" s="36">
        <v>660</v>
      </c>
      <c r="I3" s="37">
        <v>10117.41</v>
      </c>
      <c r="J3" s="38">
        <v>1560</v>
      </c>
    </row>
    <row r="4" spans="1:11">
      <c r="A4" s="19">
        <v>43893</v>
      </c>
      <c r="B4" s="19">
        <v>44559</v>
      </c>
      <c r="C4" s="20">
        <v>5760.89</v>
      </c>
      <c r="D4" s="21">
        <v>12378.91</v>
      </c>
      <c r="F4" s="34">
        <v>43802</v>
      </c>
      <c r="G4" s="35" t="s">
        <v>10</v>
      </c>
      <c r="H4" s="36">
        <v>92</v>
      </c>
      <c r="I4" s="37">
        <v>1414.68</v>
      </c>
      <c r="J4" s="38">
        <v>1652</v>
      </c>
    </row>
    <row r="5" spans="1:11" ht="15" thickBot="1">
      <c r="A5" s="22">
        <v>43893</v>
      </c>
      <c r="B5" s="22">
        <v>44559</v>
      </c>
      <c r="C5" s="23">
        <v>891.11</v>
      </c>
      <c r="D5" s="24">
        <v>1915.44</v>
      </c>
      <c r="F5" s="34">
        <v>43872</v>
      </c>
      <c r="G5" s="35" t="s">
        <v>11</v>
      </c>
      <c r="H5" s="36">
        <v>1252</v>
      </c>
      <c r="I5" s="37">
        <v>20781.68</v>
      </c>
      <c r="J5" s="38">
        <v>400</v>
      </c>
    </row>
    <row r="6" spans="1:11">
      <c r="C6" s="1">
        <f>SUM(C2:C5)</f>
        <v>12788.140000000001</v>
      </c>
      <c r="D6" s="1">
        <f>SUM(D2:D5)</f>
        <v>25729.829999999998</v>
      </c>
      <c r="F6" s="34">
        <v>43893</v>
      </c>
      <c r="G6" s="35" t="s">
        <v>10</v>
      </c>
      <c r="H6" s="36">
        <v>433</v>
      </c>
      <c r="I6" s="37">
        <v>5760.89</v>
      </c>
      <c r="J6" s="38">
        <v>833</v>
      </c>
    </row>
    <row r="7" spans="1:11">
      <c r="C7" s="2" t="s">
        <v>0</v>
      </c>
      <c r="D7" s="1">
        <f>D6-C6</f>
        <v>12941.689999999997</v>
      </c>
      <c r="F7" s="34">
        <v>43893</v>
      </c>
      <c r="G7" s="35" t="s">
        <v>10</v>
      </c>
      <c r="H7" s="36">
        <v>500</v>
      </c>
      <c r="I7" s="37">
        <v>6650.06</v>
      </c>
      <c r="J7" s="38">
        <v>1333</v>
      </c>
    </row>
    <row r="8" spans="1:11">
      <c r="F8" s="34">
        <v>43893</v>
      </c>
      <c r="G8" s="35" t="s">
        <v>10</v>
      </c>
      <c r="H8" s="36">
        <v>567</v>
      </c>
      <c r="I8" s="37">
        <v>7538.79</v>
      </c>
      <c r="J8" s="38">
        <v>1900</v>
      </c>
    </row>
    <row r="9" spans="1:11" ht="15" thickBot="1">
      <c r="F9" s="39">
        <v>44559</v>
      </c>
      <c r="G9" s="40" t="s">
        <v>11</v>
      </c>
      <c r="H9" s="41">
        <v>900</v>
      </c>
      <c r="I9" s="42">
        <v>25729.83</v>
      </c>
      <c r="J9" s="43">
        <v>1000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BEC9-2BA1-4AC7-AE63-E9CBF2F6D6B4}">
  <dimension ref="B1:P28"/>
  <sheetViews>
    <sheetView tabSelected="1" topLeftCell="D1" zoomScale="130" zoomScaleNormal="130" workbookViewId="0">
      <pane ySplit="1" topLeftCell="A9" activePane="bottomLeft" state="frozen"/>
      <selection activeCell="B1" sqref="B1"/>
      <selection pane="bottomLeft" activeCell="N21" sqref="N21"/>
    </sheetView>
  </sheetViews>
  <sheetFormatPr defaultRowHeight="14.5"/>
  <cols>
    <col min="1" max="1" width="0" hidden="1" customWidth="1"/>
    <col min="2" max="2" width="3.90625" bestFit="1" customWidth="1"/>
    <col min="3" max="3" width="10" bestFit="1" customWidth="1"/>
    <col min="4" max="4" width="10.7265625" bestFit="1" customWidth="1"/>
    <col min="5" max="5" width="5.453125" bestFit="1" customWidth="1"/>
    <col min="6" max="6" width="8.08984375" bestFit="1" customWidth="1"/>
    <col min="7" max="8" width="10.6328125" bestFit="1" customWidth="1"/>
    <col min="9" max="9" width="1.81640625" hidden="1" customWidth="1"/>
    <col min="10" max="10" width="7" bestFit="1" customWidth="1"/>
    <col min="11" max="11" width="1.26953125" customWidth="1"/>
    <col min="13" max="14" width="10.6328125" bestFit="1" customWidth="1"/>
    <col min="15" max="15" width="3.90625" bestFit="1" customWidth="1"/>
    <col min="16" max="17" width="10.6328125" bestFit="1" customWidth="1"/>
  </cols>
  <sheetData>
    <row r="1" spans="2:16">
      <c r="D1" s="12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2"/>
      <c r="J1" s="12" t="s">
        <v>9</v>
      </c>
    </row>
    <row r="2" spans="2:16">
      <c r="B2" s="3">
        <v>166</v>
      </c>
      <c r="C2" s="3" t="s">
        <v>1</v>
      </c>
      <c r="D2" s="4">
        <v>43389</v>
      </c>
      <c r="E2" s="10">
        <v>1600</v>
      </c>
      <c r="F2" s="5">
        <v>24.388000000000002</v>
      </c>
      <c r="G2" s="5">
        <v>39020.800000000003</v>
      </c>
      <c r="H2" s="5">
        <v>39049.31</v>
      </c>
      <c r="I2" s="3">
        <v>1</v>
      </c>
      <c r="J2" s="5">
        <v>28.51</v>
      </c>
      <c r="K2" s="3"/>
      <c r="L2" s="9">
        <f>E2</f>
        <v>1600</v>
      </c>
    </row>
    <row r="3" spans="2:16">
      <c r="B3" s="3">
        <v>169</v>
      </c>
      <c r="C3" s="50" t="s">
        <v>2</v>
      </c>
      <c r="D3" s="4">
        <v>43458</v>
      </c>
      <c r="E3" s="10">
        <v>648</v>
      </c>
      <c r="F3" s="5">
        <v>18.260000000000002</v>
      </c>
      <c r="G3" s="5">
        <v>11832.48</v>
      </c>
      <c r="H3" s="5">
        <v>11822.42</v>
      </c>
      <c r="I3" s="3">
        <v>1</v>
      </c>
      <c r="J3" s="5">
        <v>10.06</v>
      </c>
      <c r="K3" s="3"/>
      <c r="L3" s="9">
        <f t="shared" ref="L3:L27" si="0">L2-E3</f>
        <v>952</v>
      </c>
    </row>
    <row r="4" spans="2:16">
      <c r="B4" s="3">
        <v>174</v>
      </c>
      <c r="C4" s="3" t="s">
        <v>1</v>
      </c>
      <c r="D4" s="4">
        <v>43550</v>
      </c>
      <c r="E4" s="10">
        <v>700</v>
      </c>
      <c r="F4" s="5">
        <v>18.027999999999999</v>
      </c>
      <c r="G4" s="5">
        <v>12619.6</v>
      </c>
      <c r="H4" s="5">
        <v>12629.66</v>
      </c>
      <c r="I4" s="3">
        <v>1</v>
      </c>
      <c r="J4" s="5">
        <v>10.06</v>
      </c>
      <c r="K4" s="3"/>
      <c r="L4" s="9">
        <f>L3+E4</f>
        <v>1652</v>
      </c>
    </row>
    <row r="5" spans="2:16">
      <c r="B5" s="6">
        <v>176</v>
      </c>
      <c r="C5" s="3" t="s">
        <v>3</v>
      </c>
      <c r="D5" s="4">
        <v>43629</v>
      </c>
      <c r="E5" s="10">
        <v>0</v>
      </c>
      <c r="F5" s="5">
        <v>294.32</v>
      </c>
      <c r="G5" s="5">
        <v>294.32</v>
      </c>
      <c r="H5" s="5">
        <v>294.32</v>
      </c>
      <c r="I5" s="3">
        <v>1</v>
      </c>
      <c r="J5" s="5">
        <v>0</v>
      </c>
      <c r="K5" s="3"/>
      <c r="L5" s="9">
        <f t="shared" si="0"/>
        <v>1652</v>
      </c>
    </row>
    <row r="6" spans="2:16">
      <c r="B6" s="3">
        <v>177</v>
      </c>
      <c r="C6" s="51" t="s">
        <v>2</v>
      </c>
      <c r="D6" s="4">
        <v>43797</v>
      </c>
      <c r="E6" s="10">
        <v>1252</v>
      </c>
      <c r="F6" s="5">
        <v>15.624000000000001</v>
      </c>
      <c r="G6" s="5">
        <v>19561.25</v>
      </c>
      <c r="H6" s="5">
        <v>19551.189999999999</v>
      </c>
      <c r="I6" s="3">
        <v>1</v>
      </c>
      <c r="J6" s="5">
        <v>10.06</v>
      </c>
      <c r="K6" s="3"/>
      <c r="L6" s="9">
        <f t="shared" si="0"/>
        <v>400</v>
      </c>
    </row>
    <row r="7" spans="2:16">
      <c r="B7" s="3">
        <v>178</v>
      </c>
      <c r="C7" s="3" t="s">
        <v>1</v>
      </c>
      <c r="D7" s="4">
        <v>43802</v>
      </c>
      <c r="E7" s="10">
        <v>500</v>
      </c>
      <c r="F7" s="5">
        <v>15.32</v>
      </c>
      <c r="G7" s="5">
        <v>7660</v>
      </c>
      <c r="H7" s="5">
        <v>7670.06</v>
      </c>
      <c r="I7" s="3">
        <v>1</v>
      </c>
      <c r="J7" s="5">
        <v>10.06</v>
      </c>
      <c r="K7" s="3"/>
      <c r="L7" s="9">
        <f>L6+E7</f>
        <v>900</v>
      </c>
      <c r="M7" s="52">
        <v>0</v>
      </c>
    </row>
    <row r="8" spans="2:16">
      <c r="B8" s="3">
        <v>191</v>
      </c>
      <c r="C8" s="48" t="s">
        <v>1</v>
      </c>
      <c r="D8" s="4">
        <v>43802</v>
      </c>
      <c r="E8" s="10">
        <v>660</v>
      </c>
      <c r="F8" s="5">
        <v>15.31</v>
      </c>
      <c r="G8" s="5">
        <v>10104.6</v>
      </c>
      <c r="H8" s="5">
        <v>10114.77</v>
      </c>
      <c r="I8" s="3">
        <v>1</v>
      </c>
      <c r="J8" s="5">
        <v>10.17</v>
      </c>
      <c r="K8" s="3"/>
      <c r="L8" s="9">
        <f t="shared" ref="L8:L13" si="1">L7+E8</f>
        <v>1560</v>
      </c>
      <c r="M8" s="53">
        <f>E10-L7</f>
        <v>352</v>
      </c>
      <c r="N8" s="49">
        <v>54</v>
      </c>
      <c r="O8" s="55">
        <f>E8-M8-N8</f>
        <v>254</v>
      </c>
      <c r="P8" s="9"/>
    </row>
    <row r="9" spans="2:16">
      <c r="B9" s="3">
        <v>190</v>
      </c>
      <c r="C9" s="48" t="s">
        <v>1</v>
      </c>
      <c r="D9" s="4">
        <v>43802</v>
      </c>
      <c r="E9" s="10">
        <v>92</v>
      </c>
      <c r="F9" s="5">
        <v>15.32</v>
      </c>
      <c r="G9" s="5">
        <v>1409.44</v>
      </c>
      <c r="H9" s="5">
        <v>1414.5</v>
      </c>
      <c r="I9" s="3">
        <v>1</v>
      </c>
      <c r="J9" s="5">
        <v>5.0599999999999996</v>
      </c>
      <c r="K9" s="3"/>
      <c r="L9" s="9">
        <f t="shared" si="1"/>
        <v>1652</v>
      </c>
      <c r="M9" s="55">
        <f>E9</f>
        <v>92</v>
      </c>
    </row>
    <row r="10" spans="2:16">
      <c r="B10" s="3">
        <v>179</v>
      </c>
      <c r="C10" s="52" t="s">
        <v>2</v>
      </c>
      <c r="D10" s="4">
        <v>43872</v>
      </c>
      <c r="E10" s="10">
        <v>1252</v>
      </c>
      <c r="F10" s="5">
        <v>16.611999999999998</v>
      </c>
      <c r="G10" s="5">
        <v>20798.22</v>
      </c>
      <c r="H10" s="5">
        <v>20781.68</v>
      </c>
      <c r="I10" s="3">
        <v>1</v>
      </c>
      <c r="J10" s="5">
        <v>16.54</v>
      </c>
      <c r="K10" s="3"/>
      <c r="L10" s="9">
        <f t="shared" si="0"/>
        <v>400</v>
      </c>
    </row>
    <row r="11" spans="2:16">
      <c r="B11" s="3">
        <v>193</v>
      </c>
      <c r="C11" s="48" t="s">
        <v>1</v>
      </c>
      <c r="D11" s="4">
        <v>43893</v>
      </c>
      <c r="E11" s="10">
        <v>433</v>
      </c>
      <c r="F11" s="5">
        <v>13.29</v>
      </c>
      <c r="G11" s="5">
        <v>5754.57</v>
      </c>
      <c r="H11" s="5">
        <v>5762.63</v>
      </c>
      <c r="I11" s="3">
        <v>1</v>
      </c>
      <c r="J11" s="5">
        <v>8.06</v>
      </c>
      <c r="K11" s="3"/>
      <c r="L11" s="9">
        <f t="shared" si="1"/>
        <v>833</v>
      </c>
      <c r="M11" s="55">
        <f>E11</f>
        <v>433</v>
      </c>
    </row>
    <row r="12" spans="2:16">
      <c r="B12" s="3">
        <v>192</v>
      </c>
      <c r="C12" s="48" t="s">
        <v>1</v>
      </c>
      <c r="D12" s="4">
        <v>43893</v>
      </c>
      <c r="E12" s="10">
        <v>500</v>
      </c>
      <c r="F12" s="5">
        <v>13.28</v>
      </c>
      <c r="G12" s="5">
        <v>6640</v>
      </c>
      <c r="H12" s="5">
        <v>6650.06</v>
      </c>
      <c r="I12" s="3">
        <v>1</v>
      </c>
      <c r="J12" s="5">
        <v>10.06</v>
      </c>
      <c r="K12" s="3"/>
      <c r="L12" s="9">
        <f t="shared" si="1"/>
        <v>1333</v>
      </c>
      <c r="M12" s="55">
        <f>E16-O8-M9-M11</f>
        <v>67</v>
      </c>
    </row>
    <row r="13" spans="2:16" ht="15" thickBot="1">
      <c r="B13" s="3">
        <v>182</v>
      </c>
      <c r="C13" s="6" t="s">
        <v>1</v>
      </c>
      <c r="D13" s="4">
        <v>43893</v>
      </c>
      <c r="E13" s="10">
        <v>567</v>
      </c>
      <c r="F13" s="5">
        <v>13.28</v>
      </c>
      <c r="G13" s="5">
        <v>7529.76</v>
      </c>
      <c r="H13" s="5">
        <v>7539.93</v>
      </c>
      <c r="I13" s="3">
        <v>1</v>
      </c>
      <c r="J13" s="5">
        <v>10.17</v>
      </c>
      <c r="K13" s="3"/>
      <c r="L13" s="9">
        <f t="shared" si="1"/>
        <v>1900</v>
      </c>
      <c r="M13" s="9"/>
    </row>
    <row r="14" spans="2:16">
      <c r="B14" s="6">
        <v>195</v>
      </c>
      <c r="C14" s="6" t="s">
        <v>3</v>
      </c>
      <c r="D14" s="8">
        <v>44362</v>
      </c>
      <c r="E14" s="11">
        <v>0</v>
      </c>
      <c r="F14" s="7">
        <v>467.17</v>
      </c>
      <c r="G14" s="7">
        <v>467.17</v>
      </c>
      <c r="H14" s="7">
        <v>467.17</v>
      </c>
      <c r="I14" s="6">
        <v>1</v>
      </c>
      <c r="J14" s="7">
        <v>0</v>
      </c>
      <c r="K14" s="6"/>
      <c r="L14" s="9">
        <f>L13</f>
        <v>1900</v>
      </c>
      <c r="M14" s="56" t="s">
        <v>1</v>
      </c>
      <c r="N14" s="57" t="s">
        <v>2</v>
      </c>
    </row>
    <row r="15" spans="2:16">
      <c r="B15" s="3">
        <v>206</v>
      </c>
      <c r="C15" s="49" t="s">
        <v>2</v>
      </c>
      <c r="D15" s="4">
        <v>44559</v>
      </c>
      <c r="E15" s="10">
        <v>54</v>
      </c>
      <c r="F15" s="5">
        <v>28.6</v>
      </c>
      <c r="G15" s="5">
        <v>1544.4</v>
      </c>
      <c r="H15" s="5">
        <v>1543.79</v>
      </c>
      <c r="I15" s="3">
        <v>1</v>
      </c>
      <c r="J15" s="5">
        <v>0.61</v>
      </c>
      <c r="K15" s="3"/>
      <c r="L15" s="9">
        <f t="shared" si="0"/>
        <v>1846</v>
      </c>
      <c r="M15" s="58">
        <f>N8*F8</f>
        <v>826.74</v>
      </c>
      <c r="N15" s="59">
        <f>G15</f>
        <v>1544.4</v>
      </c>
    </row>
    <row r="16" spans="2:16" ht="15" thickBot="1">
      <c r="B16" s="3">
        <v>207</v>
      </c>
      <c r="C16" s="54" t="s">
        <v>2</v>
      </c>
      <c r="D16" s="4">
        <v>44559</v>
      </c>
      <c r="E16" s="10">
        <v>846</v>
      </c>
      <c r="F16" s="5">
        <v>28.6</v>
      </c>
      <c r="G16" s="5">
        <v>24195.599999999999</v>
      </c>
      <c r="H16" s="5">
        <v>24186.04</v>
      </c>
      <c r="I16" s="3">
        <v>1</v>
      </c>
      <c r="J16" s="5">
        <v>9.56</v>
      </c>
      <c r="K16" s="3"/>
      <c r="L16" s="9">
        <f t="shared" si="0"/>
        <v>1000</v>
      </c>
      <c r="M16" s="60">
        <f>O8*F8+M9*F9+M11*F11+M12*F12</f>
        <v>11942.51</v>
      </c>
      <c r="N16" s="61">
        <f>G16</f>
        <v>24195.599999999999</v>
      </c>
    </row>
    <row r="17" spans="2:14" ht="15" thickBot="1">
      <c r="B17" s="3"/>
      <c r="C17" s="3"/>
      <c r="D17" s="4"/>
      <c r="E17" s="10"/>
      <c r="F17" s="5"/>
      <c r="G17" s="5"/>
      <c r="H17" s="5"/>
      <c r="I17" s="3"/>
      <c r="J17" s="5"/>
      <c r="K17" s="3"/>
      <c r="L17" s="9"/>
      <c r="M17" s="62">
        <f>SUM(M15:M16)</f>
        <v>12769.25</v>
      </c>
      <c r="N17" s="63">
        <f>SUM(N15:N16)</f>
        <v>25740</v>
      </c>
    </row>
    <row r="18" spans="2:14">
      <c r="B18" s="3"/>
      <c r="C18" s="3"/>
      <c r="D18" s="4"/>
      <c r="E18" s="10"/>
      <c r="F18" s="5"/>
      <c r="G18" s="5"/>
      <c r="H18" s="5"/>
      <c r="I18" s="3"/>
      <c r="J18" s="5"/>
      <c r="K18" s="3"/>
      <c r="L18" s="9"/>
      <c r="M18" s="64" t="s">
        <v>20</v>
      </c>
      <c r="N18" s="65">
        <f>N17-M17</f>
        <v>12970.75</v>
      </c>
    </row>
    <row r="19" spans="2:14">
      <c r="B19" s="3"/>
      <c r="C19" s="3"/>
      <c r="D19" s="4"/>
      <c r="E19" s="10"/>
      <c r="F19" s="5"/>
      <c r="G19" s="5"/>
      <c r="H19" s="5"/>
      <c r="I19" s="3"/>
      <c r="J19" s="5"/>
      <c r="K19" s="3"/>
      <c r="L19" s="9"/>
      <c r="M19" s="66" t="s">
        <v>9</v>
      </c>
      <c r="N19" s="59">
        <f>J8/E8*(N8+O8)+J9+J11+J12/E12*M12+J15+J16</f>
        <v>29.384039999999999</v>
      </c>
    </row>
    <row r="20" spans="2:14">
      <c r="B20" s="3">
        <v>208</v>
      </c>
      <c r="C20" s="3" t="s">
        <v>2</v>
      </c>
      <c r="D20" s="4"/>
      <c r="E20" s="10"/>
      <c r="F20" s="5"/>
      <c r="G20" s="5"/>
      <c r="H20" s="5"/>
      <c r="I20" s="3"/>
      <c r="J20" s="5"/>
      <c r="K20" s="3"/>
      <c r="L20" s="9"/>
      <c r="M20" s="66" t="s">
        <v>15</v>
      </c>
      <c r="N20" s="59">
        <f>+N18-N19</f>
        <v>12941.365959999999</v>
      </c>
    </row>
    <row r="21" spans="2:14">
      <c r="B21" s="3">
        <v>209</v>
      </c>
      <c r="C21" s="3" t="s">
        <v>2</v>
      </c>
      <c r="D21" s="4"/>
      <c r="E21" s="10"/>
      <c r="F21" s="5"/>
      <c r="G21" s="5"/>
      <c r="H21" s="5"/>
      <c r="I21" s="3"/>
      <c r="J21" s="5"/>
      <c r="K21" s="3"/>
      <c r="L21" s="9"/>
      <c r="M21" s="66" t="s">
        <v>21</v>
      </c>
      <c r="N21" s="59">
        <f>Hisenda!D7</f>
        <v>12941.689999999997</v>
      </c>
    </row>
    <row r="22" spans="2:14" ht="15" thickBot="1">
      <c r="B22" s="3">
        <v>210</v>
      </c>
      <c r="C22" s="3" t="s">
        <v>2</v>
      </c>
      <c r="D22" s="4"/>
      <c r="E22" s="10"/>
      <c r="F22" s="5"/>
      <c r="G22" s="5"/>
      <c r="H22" s="5"/>
      <c r="I22" s="3"/>
      <c r="J22" s="5"/>
      <c r="K22" s="3"/>
      <c r="L22" s="9"/>
      <c r="M22" s="67" t="s">
        <v>22</v>
      </c>
      <c r="N22" s="68">
        <f>+N20-N21</f>
        <v>-0.32403999999769439</v>
      </c>
    </row>
    <row r="23" spans="2:14">
      <c r="B23" s="3">
        <v>211</v>
      </c>
      <c r="C23" s="3" t="s">
        <v>2</v>
      </c>
      <c r="D23" s="4"/>
      <c r="E23" s="10"/>
      <c r="F23" s="5"/>
      <c r="G23" s="5"/>
      <c r="H23" s="5"/>
      <c r="I23" s="3"/>
      <c r="J23" s="5"/>
      <c r="K23" s="3"/>
      <c r="L23" s="9"/>
    </row>
    <row r="24" spans="2:14">
      <c r="B24" s="3">
        <v>212</v>
      </c>
      <c r="C24" s="3" t="s">
        <v>2</v>
      </c>
      <c r="D24" s="4"/>
      <c r="E24" s="10"/>
      <c r="F24" s="5"/>
      <c r="G24" s="5"/>
      <c r="H24" s="5"/>
      <c r="I24" s="3"/>
      <c r="J24" s="5"/>
      <c r="K24" s="3"/>
      <c r="L24" s="9"/>
    </row>
    <row r="25" spans="2:14">
      <c r="B25" s="3">
        <v>213</v>
      </c>
      <c r="C25" s="3" t="s">
        <v>2</v>
      </c>
      <c r="D25" s="4"/>
      <c r="E25" s="10"/>
      <c r="F25" s="5"/>
      <c r="G25" s="5"/>
      <c r="H25" s="5"/>
      <c r="I25" s="3"/>
      <c r="J25" s="5"/>
      <c r="K25" s="3"/>
      <c r="L25" s="9"/>
    </row>
    <row r="26" spans="2:14">
      <c r="B26" s="3">
        <v>214</v>
      </c>
      <c r="C26" s="3" t="s">
        <v>2</v>
      </c>
      <c r="D26" s="4"/>
      <c r="E26" s="10"/>
      <c r="F26" s="5"/>
      <c r="G26" s="5"/>
      <c r="H26" s="5"/>
      <c r="I26" s="3"/>
      <c r="J26" s="5"/>
      <c r="K26" s="3"/>
      <c r="L26" s="9"/>
    </row>
    <row r="27" spans="2:14">
      <c r="B27" s="3">
        <v>215</v>
      </c>
      <c r="C27" s="3" t="s">
        <v>2</v>
      </c>
      <c r="D27" s="4"/>
      <c r="E27" s="10"/>
      <c r="F27" s="5"/>
      <c r="G27" s="5"/>
      <c r="H27" s="5"/>
      <c r="I27" s="3"/>
      <c r="J27" s="5"/>
      <c r="K27" s="3"/>
      <c r="L27" s="9"/>
    </row>
    <row r="28" spans="2:14">
      <c r="E28" s="9"/>
    </row>
  </sheetData>
  <pageMargins left="0.7" right="0.7" top="0.75" bottom="0.75" header="0.3" footer="0.3"/>
  <ignoredErrors>
    <ignoredError sqref="N2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Hisenda</vt:lpstr>
      <vt:lpstr>Arcelor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2022-04-30T15:38:58Z</dcterms:created>
  <dcterms:modified xsi:type="dcterms:W3CDTF">2022-04-30T17:02:30Z</dcterms:modified>
</cp:coreProperties>
</file>